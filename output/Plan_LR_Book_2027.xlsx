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hns\PyProjects\Planning\output\"/>
    </mc:Choice>
  </mc:AlternateContent>
  <xr:revisionPtr revIDLastSave="0" documentId="13_ncr:1_{0F3F32F4-AE10-4668-B127-D4BA15E338B0}" xr6:coauthVersionLast="47" xr6:coauthVersionMax="47" xr10:uidLastSave="{00000000-0000-0000-0000-000000000000}"/>
  <bookViews>
    <workbookView xWindow="-108" yWindow="-108" windowWidth="61656" windowHeight="25416" xr2:uid="{00000000-000D-0000-FFFF-FFFF00000000}"/>
  </bookViews>
  <sheets>
    <sheet name="Read Me" sheetId="1" r:id="rId1"/>
    <sheet name="Control" sheetId="2" r:id="rId2"/>
    <sheet name="State Summary" sheetId="3" r:id="rId3"/>
    <sheet name="Portfolio" sheetId="4" r:id="rId4"/>
    <sheet name="Roll-ups" sheetId="5" r:id="rId5"/>
    <sheet name="Program Flow" sheetId="6" r:id="rId6"/>
    <sheet name="Checks" sheetId="7" r:id="rId7"/>
    <sheet name="_book" sheetId="8" state="hidden" r:id="rId8"/>
  </sheets>
  <definedNames>
    <definedName name="_xlnm._FilterDatabase" localSheetId="3" hidden="1">Portfolio!$A$6:$Q$384</definedName>
    <definedName name="bk_bu">_book!$B$2:$B$379</definedName>
    <definedName name="bk_cylr_p">_book!$O$2:$O$379</definedName>
    <definedName name="bk_cylr_prog">_book!$Y$2:$Y$379</definedName>
    <definedName name="bk_ep">_book!$F$2:$F$379</definedName>
    <definedName name="bk_key">_book!$D$2:$D$379</definedName>
    <definedName name="bk_lob">_book!$A$2:$A$379</definedName>
    <definedName name="bk_lob_ep">'Roll-ups'!$C$13</definedName>
    <definedName name="bk_lob_first">'Roll-ups'!$C$7</definedName>
    <definedName name="bk_modeff">_book!$X$2:$X$379</definedName>
    <definedName name="bk_netmode">_book!$V$2:$V$379</definedName>
    <definedName name="bk_netx">_book!$W$2:$W$379</definedName>
    <definedName name="bk_nplanned">_book!$AD$2:$AD$379</definedName>
    <definedName name="bk_ntaken">_book!$AC$2:$AC$379</definedName>
    <definedName name="bk_overall">Checks!$C$3</definedName>
    <definedName name="bk_pf_first">'Program Flow'!$B$8</definedName>
    <definedName name="bk_proggap">_book!$AA$2:$AA$379</definedName>
    <definedName name="bk_progident">_book!$AB$2:$AB$379</definedName>
    <definedName name="bk_srccombos">Control!$E$24</definedName>
    <definedName name="bk_ss_ep">'State Summary'!$B$30</definedName>
    <definedName name="bk_ss_lr">'State Summary'!$AA$30</definedName>
    <definedName name="bk_ss_prog">'State Summary'!$AH$30</definedName>
    <definedName name="bk_state">_book!$C$2:$C$379</definedName>
    <definedName name="bk_ukey">_book!$E$2:$E$379</definedName>
    <definedName name="bkc_bu">Control!$D$8</definedName>
    <definedName name="bkc_lob">Control!$D$7</definedName>
    <definedName name="bkc_state">Control!$D$9</definedName>
    <definedName name="bkf_bu">Control!$B$8</definedName>
    <definedName name="bkf_lob">Control!$B$7</definedName>
    <definedName name="bkf_state">Control!$B$9</definedName>
  </definedNames>
  <calcPr fullCalcOnLoad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7" l="1"/>
  <c r="D14" i="7"/>
  <c r="E13" i="7"/>
  <c r="D13" i="7"/>
  <c r="E12" i="7"/>
  <c r="D12" i="7"/>
  <c r="E9" i="7"/>
  <c r="D9" i="7"/>
  <c r="E8" i="7"/>
  <c r="D8" i="7"/>
  <c r="D7" i="7"/>
  <c r="E6" i="7"/>
  <c r="D6" i="7"/>
  <c r="L3" i="7"/>
  <c r="J3" i="7"/>
  <c r="H3" i="7"/>
  <c r="A83" i="6"/>
  <c r="M61" i="6"/>
  <c r="L61" i="6"/>
  <c r="K61" i="6"/>
  <c r="J61" i="6"/>
  <c r="I61" i="6"/>
  <c r="H61" i="6"/>
  <c r="G61" i="6"/>
  <c r="F61" i="6"/>
  <c r="E61" i="6"/>
  <c r="D61" i="6"/>
  <c r="C61" i="6"/>
  <c r="B61" i="6"/>
  <c r="A56" i="6"/>
  <c r="M34" i="6"/>
  <c r="L34" i="6"/>
  <c r="K34" i="6"/>
  <c r="J34" i="6"/>
  <c r="I34" i="6"/>
  <c r="H34" i="6"/>
  <c r="G34" i="6"/>
  <c r="F34" i="6"/>
  <c r="E34" i="6"/>
  <c r="D34" i="6"/>
  <c r="C34" i="6"/>
  <c r="B34" i="6"/>
  <c r="A29" i="6"/>
  <c r="M7" i="6"/>
  <c r="L7" i="6"/>
  <c r="K7" i="6"/>
  <c r="J7" i="6"/>
  <c r="I7" i="6"/>
  <c r="H7" i="6"/>
  <c r="G7" i="6"/>
  <c r="F7" i="6"/>
  <c r="E7" i="6"/>
  <c r="D7" i="6"/>
  <c r="C7" i="6"/>
  <c r="B7" i="6"/>
  <c r="K3" i="6"/>
  <c r="I3" i="6"/>
  <c r="G3" i="6"/>
  <c r="E3" i="6"/>
  <c r="C3" i="6"/>
  <c r="K3" i="5"/>
  <c r="I3" i="5"/>
  <c r="G3" i="5"/>
  <c r="E3" i="5"/>
  <c r="C3" i="5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A384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A383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A382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A381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A380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A379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A378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A377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A376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A375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A374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A373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A372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A371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A370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A369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A368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A367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A366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A365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A364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A363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A362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A361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A360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A359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A358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A357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A356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A355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A354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A353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352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A351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A350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A349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A348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A347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A346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A345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A344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A343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A342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A341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A340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A339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A338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A337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A336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A335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A334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A333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A332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A331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A330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A329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A328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A327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A326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A325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A324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A323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A322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A321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A320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A319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A318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A317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A316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A315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A314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A313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A312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A311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A310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A309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A308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307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306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A304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A303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302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A301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A300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A299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A298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A297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A296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A295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A293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A291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A290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289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A288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287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A286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A285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284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283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A282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281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A280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A279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278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A277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276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275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270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269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263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261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259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257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A256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A255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254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A253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252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251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250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249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A248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247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244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240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A232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231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229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227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224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223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A222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A221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220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219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218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216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214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213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212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211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209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206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205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203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202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201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200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199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198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197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196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K3" i="4"/>
  <c r="I3" i="4"/>
  <c r="G3" i="4"/>
  <c r="E3" i="4"/>
  <c r="C3" i="4"/>
  <c r="AA7" i="3"/>
  <c r="A5" i="3"/>
  <c r="K3" i="3"/>
  <c r="I3" i="3"/>
  <c r="G3" i="3"/>
  <c r="E3" i="3"/>
  <c r="C3" i="3"/>
  <c r="E24" i="2"/>
  <c r="E7" i="7" s="1"/>
  <c r="G7" i="7" s="1"/>
  <c r="D9" i="2"/>
  <c r="D8" i="2"/>
  <c r="D10" i="7" s="1"/>
  <c r="D7" i="2"/>
  <c r="M3" i="2"/>
  <c r="K3" i="2"/>
  <c r="I3" i="2"/>
  <c r="G3" i="2"/>
  <c r="E3" i="2"/>
  <c r="C3" i="2"/>
  <c r="B18" i="1"/>
  <c r="B17" i="1"/>
  <c r="B16" i="1"/>
  <c r="B15" i="1"/>
  <c r="B14" i="1"/>
  <c r="B13" i="1"/>
  <c r="G14" i="7" l="1"/>
  <c r="G13" i="7"/>
  <c r="G12" i="7"/>
  <c r="G9" i="7"/>
  <c r="G8" i="7"/>
  <c r="G6" i="7"/>
  <c r="D11" i="7"/>
  <c r="M83" i="6"/>
  <c r="L83" i="6"/>
  <c r="K83" i="6"/>
  <c r="J83" i="6"/>
  <c r="I83" i="6"/>
  <c r="H83" i="6"/>
  <c r="G83" i="6"/>
  <c r="F83" i="6"/>
  <c r="E83" i="6"/>
  <c r="D83" i="6"/>
  <c r="C83" i="6"/>
  <c r="B83" i="6"/>
  <c r="M82" i="6"/>
  <c r="L82" i="6"/>
  <c r="K82" i="6"/>
  <c r="J82" i="6"/>
  <c r="I82" i="6"/>
  <c r="H82" i="6"/>
  <c r="G82" i="6"/>
  <c r="F82" i="6"/>
  <c r="E82" i="6"/>
  <c r="D82" i="6"/>
  <c r="C82" i="6"/>
  <c r="B82" i="6"/>
  <c r="M81" i="6"/>
  <c r="L81" i="6"/>
  <c r="K81" i="6"/>
  <c r="J81" i="6"/>
  <c r="I81" i="6"/>
  <c r="H81" i="6"/>
  <c r="G81" i="6"/>
  <c r="F81" i="6"/>
  <c r="E81" i="6"/>
  <c r="D81" i="6"/>
  <c r="C81" i="6"/>
  <c r="B81" i="6"/>
  <c r="M80" i="6"/>
  <c r="L80" i="6"/>
  <c r="K80" i="6"/>
  <c r="J80" i="6"/>
  <c r="I80" i="6"/>
  <c r="H80" i="6"/>
  <c r="G80" i="6"/>
  <c r="F80" i="6"/>
  <c r="E80" i="6"/>
  <c r="D80" i="6"/>
  <c r="C80" i="6"/>
  <c r="B80" i="6"/>
  <c r="M79" i="6"/>
  <c r="L79" i="6"/>
  <c r="K79" i="6"/>
  <c r="J79" i="6"/>
  <c r="I79" i="6"/>
  <c r="H79" i="6"/>
  <c r="G79" i="6"/>
  <c r="F79" i="6"/>
  <c r="E79" i="6"/>
  <c r="D79" i="6"/>
  <c r="C79" i="6"/>
  <c r="B79" i="6"/>
  <c r="M78" i="6"/>
  <c r="L78" i="6"/>
  <c r="K78" i="6"/>
  <c r="J78" i="6"/>
  <c r="I78" i="6"/>
  <c r="H78" i="6"/>
  <c r="G78" i="6"/>
  <c r="F78" i="6"/>
  <c r="E78" i="6"/>
  <c r="D78" i="6"/>
  <c r="C78" i="6"/>
  <c r="B78" i="6"/>
  <c r="M77" i="6"/>
  <c r="L77" i="6"/>
  <c r="K77" i="6"/>
  <c r="J77" i="6"/>
  <c r="I77" i="6"/>
  <c r="H77" i="6"/>
  <c r="G77" i="6"/>
  <c r="F77" i="6"/>
  <c r="E77" i="6"/>
  <c r="D77" i="6"/>
  <c r="C77" i="6"/>
  <c r="B77" i="6"/>
  <c r="M76" i="6"/>
  <c r="L76" i="6"/>
  <c r="K76" i="6"/>
  <c r="J76" i="6"/>
  <c r="I76" i="6"/>
  <c r="H76" i="6"/>
  <c r="G76" i="6"/>
  <c r="F76" i="6"/>
  <c r="E76" i="6"/>
  <c r="D76" i="6"/>
  <c r="C76" i="6"/>
  <c r="B76" i="6"/>
  <c r="M75" i="6"/>
  <c r="L75" i="6"/>
  <c r="K75" i="6"/>
  <c r="J75" i="6"/>
  <c r="I75" i="6"/>
  <c r="H75" i="6"/>
  <c r="G75" i="6"/>
  <c r="F75" i="6"/>
  <c r="E75" i="6"/>
  <c r="D75" i="6"/>
  <c r="C75" i="6"/>
  <c r="B75" i="6"/>
  <c r="M74" i="6"/>
  <c r="L74" i="6"/>
  <c r="K74" i="6"/>
  <c r="J74" i="6"/>
  <c r="I74" i="6"/>
  <c r="H74" i="6"/>
  <c r="G74" i="6"/>
  <c r="F74" i="6"/>
  <c r="E74" i="6"/>
  <c r="D74" i="6"/>
  <c r="C74" i="6"/>
  <c r="B74" i="6"/>
  <c r="M73" i="6"/>
  <c r="L73" i="6"/>
  <c r="K73" i="6"/>
  <c r="J73" i="6"/>
  <c r="I73" i="6"/>
  <c r="H73" i="6"/>
  <c r="G73" i="6"/>
  <c r="F73" i="6"/>
  <c r="E73" i="6"/>
  <c r="D73" i="6"/>
  <c r="C73" i="6"/>
  <c r="B73" i="6"/>
  <c r="M72" i="6"/>
  <c r="L72" i="6"/>
  <c r="K72" i="6"/>
  <c r="J72" i="6"/>
  <c r="I72" i="6"/>
  <c r="H72" i="6"/>
  <c r="G72" i="6"/>
  <c r="F72" i="6"/>
  <c r="E72" i="6"/>
  <c r="D72" i="6"/>
  <c r="C72" i="6"/>
  <c r="B72" i="6"/>
  <c r="M71" i="6"/>
  <c r="L71" i="6"/>
  <c r="K71" i="6"/>
  <c r="J71" i="6"/>
  <c r="I71" i="6"/>
  <c r="H71" i="6"/>
  <c r="G71" i="6"/>
  <c r="F71" i="6"/>
  <c r="E71" i="6"/>
  <c r="D71" i="6"/>
  <c r="C71" i="6"/>
  <c r="B71" i="6"/>
  <c r="M70" i="6"/>
  <c r="L70" i="6"/>
  <c r="K70" i="6"/>
  <c r="J70" i="6"/>
  <c r="I70" i="6"/>
  <c r="H70" i="6"/>
  <c r="G70" i="6"/>
  <c r="F70" i="6"/>
  <c r="E70" i="6"/>
  <c r="D70" i="6"/>
  <c r="C70" i="6"/>
  <c r="B70" i="6"/>
  <c r="M69" i="6"/>
  <c r="L69" i="6"/>
  <c r="K69" i="6"/>
  <c r="J69" i="6"/>
  <c r="I69" i="6"/>
  <c r="H69" i="6"/>
  <c r="G69" i="6"/>
  <c r="F69" i="6"/>
  <c r="E69" i="6"/>
  <c r="D69" i="6"/>
  <c r="C69" i="6"/>
  <c r="B69" i="6"/>
  <c r="M68" i="6"/>
  <c r="L68" i="6"/>
  <c r="K68" i="6"/>
  <c r="J68" i="6"/>
  <c r="I68" i="6"/>
  <c r="H68" i="6"/>
  <c r="G68" i="6"/>
  <c r="F68" i="6"/>
  <c r="E68" i="6"/>
  <c r="D68" i="6"/>
  <c r="C68" i="6"/>
  <c r="B68" i="6"/>
  <c r="M67" i="6"/>
  <c r="L67" i="6"/>
  <c r="K67" i="6"/>
  <c r="J67" i="6"/>
  <c r="I67" i="6"/>
  <c r="H67" i="6"/>
  <c r="G67" i="6"/>
  <c r="F67" i="6"/>
  <c r="E67" i="6"/>
  <c r="D67" i="6"/>
  <c r="C67" i="6"/>
  <c r="B67" i="6"/>
  <c r="M66" i="6"/>
  <c r="L66" i="6"/>
  <c r="K66" i="6"/>
  <c r="J66" i="6"/>
  <c r="I66" i="6"/>
  <c r="H66" i="6"/>
  <c r="G66" i="6"/>
  <c r="F66" i="6"/>
  <c r="E66" i="6"/>
  <c r="D66" i="6"/>
  <c r="C66" i="6"/>
  <c r="B66" i="6"/>
  <c r="M65" i="6"/>
  <c r="L65" i="6"/>
  <c r="K65" i="6"/>
  <c r="J65" i="6"/>
  <c r="I65" i="6"/>
  <c r="H65" i="6"/>
  <c r="G65" i="6"/>
  <c r="F65" i="6"/>
  <c r="E65" i="6"/>
  <c r="D65" i="6"/>
  <c r="C65" i="6"/>
  <c r="B65" i="6"/>
  <c r="M64" i="6"/>
  <c r="L64" i="6"/>
  <c r="K64" i="6"/>
  <c r="J64" i="6"/>
  <c r="I64" i="6"/>
  <c r="H64" i="6"/>
  <c r="G64" i="6"/>
  <c r="F64" i="6"/>
  <c r="E64" i="6"/>
  <c r="D64" i="6"/>
  <c r="C64" i="6"/>
  <c r="B64" i="6"/>
  <c r="M63" i="6"/>
  <c r="L63" i="6"/>
  <c r="K63" i="6"/>
  <c r="J63" i="6"/>
  <c r="I63" i="6"/>
  <c r="H63" i="6"/>
  <c r="G63" i="6"/>
  <c r="F63" i="6"/>
  <c r="E63" i="6"/>
  <c r="D63" i="6"/>
  <c r="C63" i="6"/>
  <c r="B63" i="6"/>
  <c r="M62" i="6"/>
  <c r="L62" i="6"/>
  <c r="K62" i="6"/>
  <c r="J62" i="6"/>
  <c r="I62" i="6"/>
  <c r="H62" i="6"/>
  <c r="G62" i="6"/>
  <c r="F62" i="6"/>
  <c r="E62" i="6"/>
  <c r="D62" i="6"/>
  <c r="C62" i="6"/>
  <c r="B62" i="6"/>
  <c r="AA30" i="3"/>
  <c r="Y30" i="3"/>
  <c r="V30" i="3"/>
  <c r="D30" i="3"/>
  <c r="AF28" i="3"/>
  <c r="W28" i="3"/>
  <c r="T28" i="3"/>
  <c r="I28" i="3"/>
  <c r="M56" i="6"/>
  <c r="L56" i="6"/>
  <c r="K56" i="6"/>
  <c r="J56" i="6"/>
  <c r="I56" i="6"/>
  <c r="H56" i="6"/>
  <c r="G56" i="6"/>
  <c r="F56" i="6"/>
  <c r="E56" i="6"/>
  <c r="D56" i="6"/>
  <c r="C56" i="6"/>
  <c r="B56" i="6"/>
  <c r="M55" i="6"/>
  <c r="L55" i="6"/>
  <c r="K55" i="6"/>
  <c r="J55" i="6"/>
  <c r="I55" i="6"/>
  <c r="H55" i="6"/>
  <c r="G55" i="6"/>
  <c r="F55" i="6"/>
  <c r="E55" i="6"/>
  <c r="D55" i="6"/>
  <c r="C55" i="6"/>
  <c r="B55" i="6"/>
  <c r="M54" i="6"/>
  <c r="L54" i="6"/>
  <c r="K54" i="6"/>
  <c r="J54" i="6"/>
  <c r="I54" i="6"/>
  <c r="H54" i="6"/>
  <c r="G54" i="6"/>
  <c r="F54" i="6"/>
  <c r="E54" i="6"/>
  <c r="D54" i="6"/>
  <c r="C54" i="6"/>
  <c r="B54" i="6"/>
  <c r="M53" i="6"/>
  <c r="L53" i="6"/>
  <c r="K53" i="6"/>
  <c r="J53" i="6"/>
  <c r="I53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M22" i="6"/>
  <c r="L22" i="6"/>
  <c r="K22" i="6"/>
  <c r="J22" i="6"/>
  <c r="I22" i="6"/>
  <c r="H22" i="6"/>
  <c r="G22" i="6"/>
  <c r="F22" i="6"/>
  <c r="E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B48" i="5"/>
  <c r="K47" i="5"/>
  <c r="J47" i="5"/>
  <c r="I47" i="5"/>
  <c r="H47" i="5"/>
  <c r="G47" i="5"/>
  <c r="F47" i="5"/>
  <c r="E47" i="5"/>
  <c r="D47" i="5"/>
  <c r="C47" i="5"/>
  <c r="B47" i="5"/>
  <c r="K46" i="5"/>
  <c r="J46" i="5"/>
  <c r="I46" i="5"/>
  <c r="H46" i="5"/>
  <c r="G46" i="5"/>
  <c r="F46" i="5"/>
  <c r="E46" i="5"/>
  <c r="D46" i="5"/>
  <c r="C46" i="5"/>
  <c r="B46" i="5"/>
  <c r="K45" i="5"/>
  <c r="J45" i="5"/>
  <c r="I45" i="5"/>
  <c r="H45" i="5"/>
  <c r="G45" i="5"/>
  <c r="F45" i="5"/>
  <c r="E45" i="5"/>
  <c r="D45" i="5"/>
  <c r="C45" i="5"/>
  <c r="B45" i="5"/>
  <c r="K44" i="5"/>
  <c r="J44" i="5"/>
  <c r="I44" i="5"/>
  <c r="H44" i="5"/>
  <c r="G44" i="5"/>
  <c r="F44" i="5"/>
  <c r="E44" i="5"/>
  <c r="D44" i="5"/>
  <c r="C44" i="5"/>
  <c r="B44" i="5"/>
  <c r="K43" i="5"/>
  <c r="J43" i="5"/>
  <c r="I43" i="5"/>
  <c r="H43" i="5"/>
  <c r="G43" i="5"/>
  <c r="F43" i="5"/>
  <c r="E43" i="5"/>
  <c r="D43" i="5"/>
  <c r="C43" i="5"/>
  <c r="B43" i="5"/>
  <c r="K42" i="5"/>
  <c r="J42" i="5"/>
  <c r="I42" i="5"/>
  <c r="H42" i="5"/>
  <c r="G42" i="5"/>
  <c r="F42" i="5"/>
  <c r="E42" i="5"/>
  <c r="D42" i="5"/>
  <c r="C42" i="5"/>
  <c r="B42" i="5"/>
  <c r="K41" i="5"/>
  <c r="J41" i="5"/>
  <c r="I41" i="5"/>
  <c r="H41" i="5"/>
  <c r="G41" i="5"/>
  <c r="F41" i="5"/>
  <c r="E41" i="5"/>
  <c r="D41" i="5"/>
  <c r="C41" i="5"/>
  <c r="B41" i="5"/>
  <c r="K40" i="5"/>
  <c r="J40" i="5"/>
  <c r="I40" i="5"/>
  <c r="H40" i="5"/>
  <c r="G40" i="5"/>
  <c r="F40" i="5"/>
  <c r="E40" i="5"/>
  <c r="D40" i="5"/>
  <c r="C40" i="5"/>
  <c r="B40" i="5"/>
  <c r="K39" i="5"/>
  <c r="J39" i="5"/>
  <c r="I39" i="5"/>
  <c r="H39" i="5"/>
  <c r="G39" i="5"/>
  <c r="F39" i="5"/>
  <c r="E39" i="5"/>
  <c r="D39" i="5"/>
  <c r="C39" i="5"/>
  <c r="B39" i="5"/>
  <c r="K38" i="5"/>
  <c r="J38" i="5"/>
  <c r="I38" i="5"/>
  <c r="H38" i="5"/>
  <c r="G38" i="5"/>
  <c r="F38" i="5"/>
  <c r="E38" i="5"/>
  <c r="D38" i="5"/>
  <c r="C38" i="5"/>
  <c r="B38" i="5"/>
  <c r="K37" i="5"/>
  <c r="J37" i="5"/>
  <c r="I37" i="5"/>
  <c r="H37" i="5"/>
  <c r="G37" i="5"/>
  <c r="F37" i="5"/>
  <c r="E37" i="5"/>
  <c r="AC30" i="3"/>
  <c r="Z30" i="3"/>
  <c r="X30" i="3"/>
  <c r="U30" i="3"/>
  <c r="AI28" i="3"/>
  <c r="X28" i="3"/>
  <c r="O28" i="3"/>
  <c r="G28" i="3"/>
  <c r="D37" i="5"/>
  <c r="C37" i="5"/>
  <c r="B37" i="5"/>
  <c r="K36" i="5"/>
  <c r="I36" i="5"/>
  <c r="H36" i="5"/>
  <c r="G36" i="5"/>
  <c r="F36" i="5"/>
  <c r="E36" i="5"/>
  <c r="D36" i="5"/>
  <c r="C36" i="5"/>
  <c r="B36" i="5"/>
  <c r="K35" i="5"/>
  <c r="J35" i="5"/>
  <c r="I35" i="5"/>
  <c r="H35" i="5"/>
  <c r="G35" i="5"/>
  <c r="F35" i="5"/>
  <c r="E35" i="5"/>
  <c r="D35" i="5"/>
  <c r="C35" i="5"/>
  <c r="B35" i="5"/>
  <c r="K34" i="5"/>
  <c r="J34" i="5"/>
  <c r="I34" i="5"/>
  <c r="H34" i="5"/>
  <c r="G34" i="5"/>
  <c r="F34" i="5"/>
  <c r="E34" i="5"/>
  <c r="D34" i="5"/>
  <c r="C34" i="5"/>
  <c r="B34" i="5"/>
  <c r="K33" i="5"/>
  <c r="J33" i="5"/>
  <c r="I33" i="5"/>
  <c r="H33" i="5"/>
  <c r="G33" i="5"/>
  <c r="F33" i="5"/>
  <c r="E33" i="5"/>
  <c r="D33" i="5"/>
  <c r="C33" i="5"/>
  <c r="B33" i="5"/>
  <c r="K32" i="5"/>
  <c r="J32" i="5"/>
  <c r="I32" i="5"/>
  <c r="H32" i="5"/>
  <c r="G32" i="5"/>
  <c r="F32" i="5"/>
  <c r="E32" i="5"/>
  <c r="D32" i="5"/>
  <c r="C32" i="5"/>
  <c r="B32" i="5"/>
  <c r="K31" i="5"/>
  <c r="J31" i="5"/>
  <c r="W30" i="3"/>
  <c r="B30" i="3"/>
  <c r="AD28" i="3"/>
  <c r="Z28" i="3"/>
  <c r="R28" i="3"/>
  <c r="N28" i="3"/>
  <c r="C28" i="3"/>
  <c r="AE27" i="3"/>
  <c r="S30" i="3"/>
  <c r="Q28" i="3"/>
  <c r="AH27" i="3"/>
  <c r="AH30" i="3"/>
  <c r="C30" i="3"/>
  <c r="AC28" i="3"/>
  <c r="U28" i="3"/>
  <c r="J28" i="3"/>
  <c r="E28" i="3"/>
  <c r="AA27" i="3"/>
  <c r="AD30" i="3"/>
  <c r="E30" i="3"/>
  <c r="AG28" i="3"/>
  <c r="Y28" i="3"/>
  <c r="S28" i="3"/>
  <c r="K28" i="3"/>
  <c r="D28" i="3"/>
  <c r="AC27" i="3"/>
  <c r="AF30" i="3"/>
  <c r="AH28" i="3"/>
  <c r="P28" i="3"/>
  <c r="H28" i="3"/>
  <c r="AD27" i="3"/>
  <c r="T30" i="3"/>
  <c r="AE28" i="3"/>
  <c r="V28" i="3"/>
  <c r="L28" i="3"/>
  <c r="F28" i="3"/>
  <c r="B28" i="3"/>
  <c r="AG27" i="3"/>
  <c r="AE30" i="3"/>
  <c r="R30" i="3"/>
  <c r="AA28" i="3"/>
  <c r="AB28" i="3" s="1"/>
  <c r="M28" i="3"/>
  <c r="AI27" i="3"/>
  <c r="AF27" i="3"/>
  <c r="AB30" i="3"/>
  <c r="AI30" i="3"/>
  <c r="E11" i="7"/>
  <c r="G11" i="7" s="1"/>
  <c r="G8" i="5"/>
  <c r="F8" i="5"/>
  <c r="E8" i="5"/>
  <c r="D8" i="5"/>
  <c r="C8" i="5"/>
  <c r="B8" i="5"/>
  <c r="K7" i="5"/>
  <c r="I7" i="5"/>
  <c r="J7" i="5" s="1"/>
  <c r="H7" i="5"/>
  <c r="G7" i="5"/>
  <c r="F7" i="5"/>
  <c r="E7" i="5"/>
  <c r="D7" i="5"/>
  <c r="C7" i="5"/>
  <c r="B7" i="5"/>
  <c r="K13" i="5"/>
  <c r="I13" i="5"/>
  <c r="H13" i="5"/>
  <c r="G13" i="5"/>
  <c r="F13" i="5"/>
  <c r="E13" i="5"/>
  <c r="D13" i="5"/>
  <c r="C13" i="5"/>
  <c r="B13" i="5"/>
  <c r="K12" i="5"/>
  <c r="I12" i="5"/>
  <c r="J12" i="5" s="1"/>
  <c r="H12" i="5"/>
  <c r="G12" i="5"/>
  <c r="F12" i="5"/>
  <c r="E12" i="5"/>
  <c r="D12" i="5"/>
  <c r="C12" i="5"/>
  <c r="B12" i="5"/>
  <c r="K11" i="5"/>
  <c r="I11" i="5"/>
  <c r="H11" i="5"/>
  <c r="G11" i="5"/>
  <c r="F11" i="5"/>
  <c r="E11" i="5"/>
  <c r="D11" i="5"/>
  <c r="C11" i="5"/>
  <c r="B11" i="5"/>
  <c r="K10" i="5"/>
  <c r="I10" i="5"/>
  <c r="J10" i="5" s="1"/>
  <c r="G10" i="5"/>
  <c r="F10" i="5"/>
  <c r="E10" i="5"/>
  <c r="D10" i="5"/>
  <c r="C10" i="5"/>
  <c r="B10" i="5"/>
  <c r="K9" i="5"/>
  <c r="I9" i="5"/>
  <c r="J9" i="5" s="1"/>
  <c r="H10" i="5"/>
  <c r="G9" i="5"/>
  <c r="F9" i="5"/>
  <c r="E9" i="5"/>
  <c r="D9" i="5"/>
  <c r="C9" i="5"/>
  <c r="B9" i="5"/>
  <c r="K8" i="5"/>
  <c r="I8" i="5"/>
  <c r="J8" i="5" s="1"/>
  <c r="H8" i="5"/>
  <c r="H9" i="5"/>
  <c r="E53" i="6"/>
  <c r="D53" i="6"/>
  <c r="C53" i="6"/>
  <c r="B53" i="6"/>
  <c r="M52" i="6"/>
  <c r="L52" i="6"/>
  <c r="K52" i="6"/>
  <c r="J52" i="6"/>
  <c r="I52" i="6"/>
  <c r="H52" i="6"/>
  <c r="G52" i="6"/>
  <c r="F52" i="6"/>
  <c r="E52" i="6"/>
  <c r="D52" i="6"/>
  <c r="C52" i="6"/>
  <c r="B52" i="6"/>
  <c r="M51" i="6"/>
  <c r="L51" i="6"/>
  <c r="K51" i="6"/>
  <c r="J51" i="6"/>
  <c r="I51" i="6"/>
  <c r="H51" i="6"/>
  <c r="G51" i="6"/>
  <c r="F51" i="6"/>
  <c r="E51" i="6"/>
  <c r="D51" i="6"/>
  <c r="C51" i="6"/>
  <c r="B51" i="6"/>
  <c r="M50" i="6"/>
  <c r="L50" i="6"/>
  <c r="K50" i="6"/>
  <c r="J50" i="6"/>
  <c r="I50" i="6"/>
  <c r="H50" i="6"/>
  <c r="G50" i="6"/>
  <c r="F50" i="6"/>
  <c r="E50" i="6"/>
  <c r="D50" i="6"/>
  <c r="C50" i="6"/>
  <c r="B50" i="6"/>
  <c r="M49" i="6"/>
  <c r="L49" i="6"/>
  <c r="K49" i="6"/>
  <c r="J49" i="6"/>
  <c r="I49" i="6"/>
  <c r="H49" i="6"/>
  <c r="G49" i="6"/>
  <c r="F49" i="6"/>
  <c r="E49" i="6"/>
  <c r="D49" i="6"/>
  <c r="C49" i="6"/>
  <c r="B49" i="6"/>
  <c r="M48" i="6"/>
  <c r="L48" i="6"/>
  <c r="K48" i="6"/>
  <c r="J48" i="6"/>
  <c r="I48" i="6"/>
  <c r="H48" i="6"/>
  <c r="G48" i="6"/>
  <c r="F48" i="6"/>
  <c r="E48" i="6"/>
  <c r="D48" i="6"/>
  <c r="C48" i="6"/>
  <c r="B48" i="6"/>
  <c r="M47" i="6"/>
  <c r="L47" i="6"/>
  <c r="K47" i="6"/>
  <c r="J47" i="6"/>
  <c r="I47" i="6"/>
  <c r="H47" i="6"/>
  <c r="G47" i="6"/>
  <c r="F47" i="6"/>
  <c r="E47" i="6"/>
  <c r="D47" i="6"/>
  <c r="C47" i="6"/>
  <c r="B47" i="6"/>
  <c r="M46" i="6"/>
  <c r="L46" i="6"/>
  <c r="K46" i="6"/>
  <c r="J46" i="6"/>
  <c r="I46" i="6"/>
  <c r="H46" i="6"/>
  <c r="G46" i="6"/>
  <c r="F46" i="6"/>
  <c r="E46" i="6"/>
  <c r="D46" i="6"/>
  <c r="C46" i="6"/>
  <c r="B46" i="6"/>
  <c r="M45" i="6"/>
  <c r="L45" i="6"/>
  <c r="K45" i="6"/>
  <c r="J45" i="6"/>
  <c r="I45" i="6"/>
  <c r="H45" i="6"/>
  <c r="G45" i="6"/>
  <c r="F45" i="6"/>
  <c r="E45" i="6"/>
  <c r="D45" i="6"/>
  <c r="C45" i="6"/>
  <c r="B45" i="6"/>
  <c r="M44" i="6"/>
  <c r="L44" i="6"/>
  <c r="K44" i="6"/>
  <c r="J44" i="6"/>
  <c r="I44" i="6"/>
  <c r="H44" i="6"/>
  <c r="G44" i="6"/>
  <c r="F44" i="6"/>
  <c r="E44" i="6"/>
  <c r="D44" i="6"/>
  <c r="C44" i="6"/>
  <c r="B44" i="6"/>
  <c r="M43" i="6"/>
  <c r="L43" i="6"/>
  <c r="K43" i="6"/>
  <c r="J43" i="6"/>
  <c r="I43" i="6"/>
  <c r="H43" i="6"/>
  <c r="G43" i="6"/>
  <c r="F43" i="6"/>
  <c r="E43" i="6"/>
  <c r="D43" i="6"/>
  <c r="C43" i="6"/>
  <c r="B43" i="6"/>
  <c r="M42" i="6"/>
  <c r="L42" i="6"/>
  <c r="K42" i="6"/>
  <c r="J42" i="6"/>
  <c r="I42" i="6"/>
  <c r="H42" i="6"/>
  <c r="G42" i="6"/>
  <c r="F42" i="6"/>
  <c r="E42" i="6"/>
  <c r="D42" i="6"/>
  <c r="C42" i="6"/>
  <c r="B42" i="6"/>
  <c r="M41" i="6"/>
  <c r="L41" i="6"/>
  <c r="K41" i="6"/>
  <c r="J41" i="6"/>
  <c r="I41" i="6"/>
  <c r="H41" i="6"/>
  <c r="G41" i="6"/>
  <c r="F41" i="6"/>
  <c r="E41" i="6"/>
  <c r="D41" i="6"/>
  <c r="C41" i="6"/>
  <c r="B41" i="6"/>
  <c r="M40" i="6"/>
  <c r="L40" i="6"/>
  <c r="K40" i="6"/>
  <c r="J40" i="6"/>
  <c r="I40" i="6"/>
  <c r="H40" i="6"/>
  <c r="G40" i="6"/>
  <c r="F40" i="6"/>
  <c r="E40" i="6"/>
  <c r="D40" i="6"/>
  <c r="C40" i="6"/>
  <c r="B40" i="6"/>
  <c r="M39" i="6"/>
  <c r="L39" i="6"/>
  <c r="K39" i="6"/>
  <c r="J39" i="6"/>
  <c r="I39" i="6"/>
  <c r="H39" i="6"/>
  <c r="G39" i="6"/>
  <c r="F39" i="6"/>
  <c r="E39" i="6"/>
  <c r="D39" i="6"/>
  <c r="C39" i="6"/>
  <c r="B39" i="6"/>
  <c r="M38" i="6"/>
  <c r="L38" i="6"/>
  <c r="K38" i="6"/>
  <c r="J38" i="6"/>
  <c r="I38" i="6"/>
  <c r="H38" i="6"/>
  <c r="G38" i="6"/>
  <c r="F38" i="6"/>
  <c r="E38" i="6"/>
  <c r="D38" i="6"/>
  <c r="C38" i="6"/>
  <c r="B38" i="6"/>
  <c r="M37" i="6"/>
  <c r="L37" i="6"/>
  <c r="K37" i="6"/>
  <c r="J37" i="6"/>
  <c r="I37" i="6"/>
  <c r="H37" i="6"/>
  <c r="G37" i="6"/>
  <c r="F37" i="6"/>
  <c r="E37" i="6"/>
  <c r="D37" i="6"/>
  <c r="C37" i="6"/>
  <c r="B37" i="6"/>
  <c r="M36" i="6"/>
  <c r="L36" i="6"/>
  <c r="K36" i="6"/>
  <c r="J36" i="6"/>
  <c r="I36" i="6"/>
  <c r="H36" i="6"/>
  <c r="G36" i="6"/>
  <c r="F36" i="6"/>
  <c r="E36" i="6"/>
  <c r="D36" i="6"/>
  <c r="C36" i="6"/>
  <c r="B36" i="6"/>
  <c r="M35" i="6"/>
  <c r="L35" i="6"/>
  <c r="K35" i="6"/>
  <c r="J35" i="6"/>
  <c r="I35" i="6"/>
  <c r="H35" i="6"/>
  <c r="G35" i="6"/>
  <c r="F35" i="6"/>
  <c r="E35" i="6"/>
  <c r="D35" i="6"/>
  <c r="C35" i="6"/>
  <c r="B35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18" i="6"/>
  <c r="L18" i="6"/>
  <c r="K18" i="6"/>
  <c r="J18" i="6"/>
  <c r="I18" i="6"/>
  <c r="H18" i="6"/>
  <c r="G18" i="6"/>
  <c r="F18" i="6"/>
  <c r="E18" i="6"/>
  <c r="D18" i="6"/>
  <c r="C18" i="6"/>
  <c r="B18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B13" i="6"/>
  <c r="M12" i="6"/>
  <c r="L12" i="6"/>
  <c r="K12" i="6"/>
  <c r="J12" i="6"/>
  <c r="I12" i="6"/>
  <c r="H12" i="6"/>
  <c r="G12" i="6"/>
  <c r="F12" i="6"/>
  <c r="E12" i="6"/>
  <c r="D12" i="6"/>
  <c r="C12" i="6"/>
  <c r="B12" i="6"/>
  <c r="M11" i="6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K49" i="5"/>
  <c r="I49" i="5"/>
  <c r="H49" i="5"/>
  <c r="G49" i="5"/>
  <c r="F49" i="5"/>
  <c r="E49" i="5"/>
  <c r="D49" i="5"/>
  <c r="C49" i="5"/>
  <c r="J49" i="5" s="1"/>
  <c r="B49" i="5"/>
  <c r="K48" i="5"/>
  <c r="J48" i="5"/>
  <c r="I48" i="5"/>
  <c r="H48" i="5"/>
  <c r="G48" i="5"/>
  <c r="F48" i="5"/>
  <c r="E48" i="5"/>
  <c r="D48" i="5"/>
  <c r="C48" i="5"/>
  <c r="I31" i="5"/>
  <c r="H31" i="5"/>
  <c r="G31" i="5"/>
  <c r="F31" i="5"/>
  <c r="E31" i="5"/>
  <c r="D31" i="5"/>
  <c r="C31" i="5"/>
  <c r="B31" i="5"/>
  <c r="K30" i="5"/>
  <c r="J30" i="5"/>
  <c r="I30" i="5"/>
  <c r="H30" i="5"/>
  <c r="G30" i="5"/>
  <c r="F30" i="5"/>
  <c r="E30" i="5"/>
  <c r="D30" i="5"/>
  <c r="C30" i="5"/>
  <c r="B30" i="5"/>
  <c r="K29" i="5"/>
  <c r="J29" i="5"/>
  <c r="I29" i="5"/>
  <c r="H29" i="5"/>
  <c r="G29" i="5"/>
  <c r="F29" i="5"/>
  <c r="E29" i="5"/>
  <c r="D29" i="5"/>
  <c r="C29" i="5"/>
  <c r="B29" i="5"/>
  <c r="K28" i="5"/>
  <c r="J28" i="5"/>
  <c r="I28" i="5"/>
  <c r="H28" i="5"/>
  <c r="G28" i="5"/>
  <c r="F28" i="5"/>
  <c r="E28" i="5"/>
  <c r="D28" i="5"/>
  <c r="C28" i="5"/>
  <c r="B28" i="5"/>
  <c r="K22" i="5"/>
  <c r="I22" i="5"/>
  <c r="H22" i="5"/>
  <c r="G22" i="5"/>
  <c r="F22" i="5"/>
  <c r="E22" i="5"/>
  <c r="D22" i="5"/>
  <c r="C22" i="5"/>
  <c r="B22" i="5"/>
  <c r="K21" i="5"/>
  <c r="I21" i="5"/>
  <c r="H21" i="5"/>
  <c r="G21" i="5"/>
  <c r="F21" i="5"/>
  <c r="E21" i="5"/>
  <c r="D21" i="5"/>
  <c r="C21" i="5"/>
  <c r="B21" i="5"/>
  <c r="K20" i="5"/>
  <c r="J20" i="5"/>
  <c r="I20" i="5"/>
  <c r="H20" i="5"/>
  <c r="G20" i="5"/>
  <c r="F20" i="5"/>
  <c r="E20" i="5"/>
  <c r="D20" i="5"/>
  <c r="C20" i="5"/>
  <c r="B20" i="5"/>
  <c r="K19" i="5"/>
  <c r="J19" i="5"/>
  <c r="I19" i="5"/>
  <c r="H19" i="5"/>
  <c r="G19" i="5"/>
  <c r="F19" i="5"/>
  <c r="E19" i="5"/>
  <c r="D19" i="5"/>
  <c r="C19" i="5"/>
  <c r="B19" i="5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I26" i="3"/>
  <c r="AH26" i="3"/>
  <c r="AG26" i="3"/>
  <c r="AF26" i="3"/>
  <c r="AE26" i="3"/>
  <c r="AD26" i="3"/>
  <c r="AC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I25" i="3"/>
  <c r="AH25" i="3"/>
  <c r="AG25" i="3"/>
  <c r="AF25" i="3"/>
  <c r="AE25" i="3"/>
  <c r="AD25" i="3"/>
  <c r="AC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I24" i="3"/>
  <c r="AH24" i="3"/>
  <c r="AG24" i="3"/>
  <c r="AF24" i="3"/>
  <c r="AE24" i="3"/>
  <c r="AD24" i="3"/>
  <c r="AC24" i="3"/>
  <c r="AA24" i="3"/>
  <c r="AB24" i="3" s="1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I23" i="3"/>
  <c r="AH23" i="3"/>
  <c r="AG23" i="3"/>
  <c r="AF23" i="3"/>
  <c r="AE23" i="3"/>
  <c r="AD23" i="3"/>
  <c r="AC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I22" i="3"/>
  <c r="AH22" i="3"/>
  <c r="AG22" i="3"/>
  <c r="AF22" i="3"/>
  <c r="AE22" i="3"/>
  <c r="AD22" i="3"/>
  <c r="AC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I20" i="3"/>
  <c r="AH20" i="3"/>
  <c r="AG20" i="3"/>
  <c r="AF20" i="3"/>
  <c r="AE20" i="3"/>
  <c r="AD20" i="3"/>
  <c r="AC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I19" i="3"/>
  <c r="AH19" i="3"/>
  <c r="AG19" i="3"/>
  <c r="AF19" i="3"/>
  <c r="AE19" i="3"/>
  <c r="AD19" i="3"/>
  <c r="AC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I18" i="3"/>
  <c r="AH18" i="3"/>
  <c r="AG18" i="3"/>
  <c r="AF18" i="3"/>
  <c r="AE18" i="3"/>
  <c r="AD18" i="3"/>
  <c r="AC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I17" i="3"/>
  <c r="AH17" i="3"/>
  <c r="AG17" i="3"/>
  <c r="AF17" i="3"/>
  <c r="AE17" i="3"/>
  <c r="AD17" i="3"/>
  <c r="AC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H16" i="3"/>
  <c r="AI16" i="3" s="1"/>
  <c r="AG16" i="3"/>
  <c r="AF16" i="3"/>
  <c r="AE16" i="3"/>
  <c r="AD16" i="3"/>
  <c r="AC16" i="3"/>
  <c r="H53" i="6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I15" i="3"/>
  <c r="AH15" i="3"/>
  <c r="AG15" i="3"/>
  <c r="AF15" i="3"/>
  <c r="AE15" i="3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I14" i="3"/>
  <c r="AH14" i="3"/>
  <c r="AG14" i="3"/>
  <c r="AF14" i="3"/>
  <c r="AE14" i="3"/>
  <c r="AD14" i="3"/>
  <c r="AC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I13" i="3"/>
  <c r="AH13" i="3"/>
  <c r="AG13" i="3"/>
  <c r="AF13" i="3"/>
  <c r="AE13" i="3"/>
  <c r="AD13" i="3"/>
  <c r="AC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I12" i="3"/>
  <c r="AH12" i="3"/>
  <c r="AG12" i="3"/>
  <c r="AF12" i="3"/>
  <c r="AE12" i="3"/>
  <c r="AD12" i="3"/>
  <c r="AC12" i="3"/>
  <c r="AA12" i="3"/>
  <c r="AB12" i="3" s="1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AA16" i="3"/>
  <c r="AB16" i="3" s="1"/>
  <c r="I12" i="3"/>
  <c r="H12" i="3"/>
  <c r="G12" i="3"/>
  <c r="F12" i="3"/>
  <c r="E12" i="3"/>
  <c r="D12" i="3"/>
  <c r="C12" i="3"/>
  <c r="B12" i="3"/>
  <c r="AI11" i="3"/>
  <c r="AH11" i="3"/>
  <c r="AG11" i="3"/>
  <c r="AF11" i="3"/>
  <c r="AE11" i="3"/>
  <c r="AD11" i="3"/>
  <c r="AC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I10" i="3"/>
  <c r="AH10" i="3"/>
  <c r="AG10" i="3"/>
  <c r="AF10" i="3"/>
  <c r="AE10" i="3"/>
  <c r="AD10" i="3"/>
  <c r="AC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I8" i="3"/>
  <c r="AH8" i="3"/>
  <c r="AG8" i="3"/>
  <c r="AF8" i="3"/>
  <c r="AE8" i="3"/>
  <c r="AD8" i="3"/>
  <c r="AC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K13" i="2"/>
  <c r="I13" i="2"/>
  <c r="G13" i="2"/>
  <c r="E13" i="2"/>
  <c r="C13" i="2"/>
  <c r="A13" i="2"/>
  <c r="G53" i="6"/>
  <c r="F53" i="6"/>
  <c r="J12" i="3"/>
  <c r="J36" i="5" l="1"/>
  <c r="J11" i="5"/>
  <c r="J21" i="5"/>
  <c r="AB27" i="3"/>
  <c r="AB26" i="3"/>
  <c r="AB25" i="3"/>
  <c r="AB23" i="3"/>
  <c r="AB22" i="3"/>
  <c r="AB21" i="3"/>
  <c r="AB18" i="3"/>
  <c r="AB17" i="3"/>
  <c r="AB20" i="3"/>
  <c r="AB19" i="3"/>
  <c r="AB15" i="3"/>
  <c r="AB14" i="3"/>
  <c r="AB13" i="3"/>
  <c r="AB11" i="3"/>
  <c r="AB10" i="3"/>
  <c r="AB9" i="3"/>
  <c r="AB8" i="3"/>
  <c r="J13" i="5"/>
  <c r="E10" i="7"/>
  <c r="G10" i="7" s="1"/>
  <c r="C3" i="7" s="1"/>
  <c r="A14" i="5"/>
  <c r="A23" i="5"/>
  <c r="A50" i="5"/>
  <c r="J22" i="5"/>
</calcChain>
</file>

<file path=xl/sharedStrings.xml><?xml version="1.0" encoding="utf-8"?>
<sst xmlns="http://schemas.openxmlformats.org/spreadsheetml/2006/main" count="2798" uniqueCount="743">
  <si>
    <t>The Book — 2027 plan, every line of business</t>
  </si>
  <si>
    <t>Harvested 2026-08-02 00:03 from 6 workbooks | 378 combos | classic formula mode | engines frozen, filters live</t>
  </si>
  <si>
    <t>What this is</t>
  </si>
  <si>
    <t>One row per line x business unit x state, harvested from the six LOB workbooks after they were recalculated. Every per-combo number here is a VALUE copied from the file that computed it — this book cannot drift from those files, and it cannot follow them either.</t>
  </si>
  <si>
    <t>Every filter, weighted average and total IS live, so changing the view on Control recalculates instantly.</t>
  </si>
  <si>
    <t>To refresh after editing inputs: save the LOB workbook(s) in Excel, then rebuild this book (python tools/build_book.py). That is the whole loop.</t>
  </si>
  <si>
    <t>Regenerate a LOB workbook only for STRUCTURAL changes (new state, new capacity, new generator version) — regeneration replaces the file's contents, so carry your inputs across with 'python -m src.build_workbook --lob "&lt;line&gt;" --carry-forward'.</t>
  </si>
  <si>
    <t>The harvest refuses a workbook that was never recalculated, and refuses one whose own Checks panel is failing — see 'Source checks' on Control for what each file reported when it was read.</t>
  </si>
  <si>
    <t>Where to go</t>
  </si>
  <si>
    <t>Filters (line / business unit / state), the in-view KPI band, and the source table with each file's stamp.</t>
  </si>
  <si>
    <t>The flagship: one row per state, EP-weighted across the lines and units in view, with the full bridge chain.</t>
  </si>
  <si>
    <t>Every combo in the book, with Excel filters on the grid — sort and slice freely; the cells are values.</t>
  </si>
  <si>
    <t>The book cut by line, by business unit, and by state, each with its mix residual.</t>
  </si>
  <si>
    <t>Month-by-month YoY rate, pricing and delivered legs across the book.</t>
  </si>
  <si>
    <t>Harvest and reconciliation checks — must read ALL CHECKS PASS.</t>
  </si>
  <si>
    <t>How the numbers combine</t>
  </si>
  <si>
    <t>Weighting is adjusted plan EP throughout, and EP x written weight for the monthly legs — the same weights the per-LOB workbooks use.</t>
  </si>
  <si>
    <t>An exhibit keyed by a dimension applies the OTHER filters, never its own: the per-state views honour line and business unit, the by-line roll-up honours unit and state.</t>
  </si>
  <si>
    <t>Weighted factor averages do not compound: the EP-weighted plan LR is not the product of the EP-weighted factors. Where both are shown, the exact weighted value is displayed and the difference is labelled Mix.</t>
  </si>
  <si>
    <t>Combining lines is safe for loss ratios and written-basis legs (seasonality is state-keyed; the legs are term-independent). Earning patterns are never aggregated across different policy terms.</t>
  </si>
  <si>
    <t>Mixing lines with different loss economics into one headline is a judgment, not an arithmetic fact — every roll-up keeps its member lines visible beside the total for that reason.</t>
  </si>
  <si>
    <t>Sources</t>
  </si>
  <si>
    <t>Property</t>
  </si>
  <si>
    <t>Plan_LR_Workbook_2027_Property.xlsx   —   63 combos, v3.4.0, modified 2026-08-02 00:02</t>
  </si>
  <si>
    <t>General Liability</t>
  </si>
  <si>
    <t>Plan_LR_Workbook_2027_General_Liability.xlsx   —   63 combos, v3.4.0, modified 2026-08-02 00:02</t>
  </si>
  <si>
    <t>Commercial Auto</t>
  </si>
  <si>
    <t>Plan_LR_Workbook_2027_Commercial_Auto.xlsx   —   63 combos, v3.4.0, modified 2026-08-02 00:02</t>
  </si>
  <si>
    <t>Workers Comp</t>
  </si>
  <si>
    <t>Plan_LR_Workbook_2027_Workers_Comp.xlsx   —   63 combos, v3.4.0, modified 2026-08-02 00:03</t>
  </si>
  <si>
    <t>Umbrella</t>
  </si>
  <si>
    <t>Plan_LR_Workbook_2027_Umbrella.xlsx   —   63 combos, v3.4.0, modified 2026-08-02 00:03</t>
  </si>
  <si>
    <t>Inland Marine</t>
  </si>
  <si>
    <t>Plan_LR_Workbook_2027_Inland_Marine.xlsx   —   63 combos, v3.4.0, modified 2026-08-02 00:03</t>
  </si>
  <si>
    <t>The Book — every line of business at once (2027 plan)</t>
  </si>
  <si>
    <t>Harvested from the six LOB workbooks. The engines are frozen; every filter and total below is live. An exhibit keyed by a dimension applies the OTHER filters — the per-state views honour LOB and BU, the by-LOB roll-up honours BU and state, and the all-combo grid honours all three.</t>
  </si>
  <si>
    <t>Go to:</t>
  </si>
  <si>
    <t>As of 2026-08-02 00:03 — harvested from 6 workbooks, 378 combos. Regenerate and recalculate the LOB files, then rebuild this book, to refresh.</t>
  </si>
  <si>
    <t>Filters</t>
  </si>
  <si>
    <t>Line of business</t>
  </si>
  <si>
    <t>All</t>
  </si>
  <si>
    <t>Business unit</t>
  </si>
  <si>
    <t>ABD</t>
  </si>
  <si>
    <t>AZ</t>
  </si>
  <si>
    <t>State</t>
  </si>
  <si>
    <t>MM</t>
  </si>
  <si>
    <t>CO</t>
  </si>
  <si>
    <t>SBA</t>
  </si>
  <si>
    <t>DE</t>
  </si>
  <si>
    <t>In view</t>
  </si>
  <si>
    <t>FL</t>
  </si>
  <si>
    <t>Combos in view</t>
  </si>
  <si>
    <t>Adjusted plan EP</t>
  </si>
  <si>
    <t>CY 2027 plan loss ratio</t>
  </si>
  <si>
    <t>Plan LR — program basis</t>
  </si>
  <si>
    <t>Program vs asserted</t>
  </si>
  <si>
    <t>Net-target combos</t>
  </si>
  <si>
    <t>GA</t>
  </si>
  <si>
    <t>IA</t>
  </si>
  <si>
    <t>rows passing all three filters</t>
  </si>
  <si>
    <t>the weight behind every average here</t>
  </si>
  <si>
    <t>EP-weighted across everything in view</t>
  </si>
  <si>
    <t>the logged program instead of any asserted net target</t>
  </si>
  <si>
    <t>0.00 pts when nothing asserts a net target</t>
  </si>
  <si>
    <t>combos carrying an asserted net selection</t>
  </si>
  <si>
    <t>IL</t>
  </si>
  <si>
    <t>IN</t>
  </si>
  <si>
    <t>KY</t>
  </si>
  <si>
    <t>Workbook</t>
  </si>
  <si>
    <t>Built / modified</t>
  </si>
  <si>
    <t>Version</t>
  </si>
  <si>
    <t>Combos</t>
  </si>
  <si>
    <t>Source checks</t>
  </si>
  <si>
    <t>MD</t>
  </si>
  <si>
    <t>Plan_LR_Workbook_2027_Property.xlsx</t>
  </si>
  <si>
    <t>2026-08-02 00:02</t>
  </si>
  <si>
    <t>3.4.0</t>
  </si>
  <si>
    <t>PASS WITH 1 WARNING(S)</t>
  </si>
  <si>
    <t>MI</t>
  </si>
  <si>
    <t>Plan_LR_Workbook_2027_General_Liability.xlsx</t>
  </si>
  <si>
    <t>MN</t>
  </si>
  <si>
    <t>Plan_LR_Workbook_2027_Commercial_Auto.xlsx</t>
  </si>
  <si>
    <t>NM</t>
  </si>
  <si>
    <t>Plan_LR_Workbook_2027_Workers_Comp.xlsx</t>
  </si>
  <si>
    <t>2026-08-02 00:03</t>
  </si>
  <si>
    <t>NC</t>
  </si>
  <si>
    <t>Plan_LR_Workbook_2027_Umbrella.xlsx</t>
  </si>
  <si>
    <t>OH</t>
  </si>
  <si>
    <t>Plan_LR_Workbook_2027_Inland_Marine.xlsx</t>
  </si>
  <si>
    <t>PA</t>
  </si>
  <si>
    <t>TOTAL</t>
  </si>
  <si>
    <t>SC</t>
  </si>
  <si>
    <t>TN</t>
  </si>
  <si>
    <t>Every figure in this book is a harvested value from these files — it cannot drift from them, and it cannot follow them either. Rebuild after any change.</t>
  </si>
  <si>
    <t>VA</t>
  </si>
  <si>
    <t>WV</t>
  </si>
  <si>
    <t>WI</t>
  </si>
  <si>
    <t>State Summary — every line, one row per state (2027 plan)</t>
  </si>
  <si>
    <t>Adjusted-EP weighted across the lines and business units in view (set them on Control). Harvested values; the aggregation is live. Rate-change history shows only where the filters resolve to a single combo — the same honesty rule as the per-LOB exhibit, one dimension deeper.</t>
  </si>
  <si>
    <t>Volume</t>
  </si>
  <si>
    <t>Schedule mods</t>
  </si>
  <si>
    <t>Rate change history — single-combo views only. T = taken, P = planned, * = not in the indication</t>
  </si>
  <si>
    <t>Engine levels</t>
  </si>
  <si>
    <t>CY 2027 plan — the bridge, left to right</t>
  </si>
  <si>
    <t>CY 2028 indicative</t>
  </si>
  <si>
    <t>Net selection — asserted vs the logged program</t>
  </si>
  <si>
    <t>Adj plan EP</t>
  </si>
  <si>
    <t>Mod in indication</t>
  </si>
  <si>
    <t>Current mod</t>
  </si>
  <si>
    <t>Proj. mod, plan-yr end</t>
  </si>
  <si>
    <t>Chg 1 date</t>
  </si>
  <si>
    <t>Chg 1</t>
  </si>
  <si>
    <t>T/P</t>
  </si>
  <si>
    <t>Chg 2 date</t>
  </si>
  <si>
    <t>Chg 2</t>
  </si>
  <si>
    <t>Chg 3 date</t>
  </si>
  <si>
    <t>Chg 3</t>
  </si>
  <si>
    <t>Chg 4 date</t>
  </si>
  <si>
    <t>Chg 4</t>
  </si>
  <si>
    <t># taken</t>
  </si>
  <si>
    <t># planned</t>
  </si>
  <si>
    <t>Indication rate level</t>
  </si>
  <si>
    <t>2027 earned rate level</t>
  </si>
  <si>
    <t>2027 earned mod</t>
  </si>
  <si>
    <t>Projected LR (current level)</t>
  </si>
  <si>
    <t>x  Rate earn-in (A_rate)</t>
  </si>
  <si>
    <t>x  Mod drift (A_mod)</t>
  </si>
  <si>
    <t>x  Other adj (A_other)</t>
  </si>
  <si>
    <t>Mix (pts)</t>
  </si>
  <si>
    <t>Net trend</t>
  </si>
  <si>
    <t>Rate earn-in +1</t>
  </si>
  <si>
    <t>Mod drift +1</t>
  </si>
  <si>
    <t>CY 2028 plan LR</t>
  </si>
  <si>
    <t>Net rate sel</t>
  </si>
  <si>
    <t>Program vs asserted (pts)</t>
  </si>
  <si>
    <t>Every metric is adjusted-plan-EP weighted over the lines and business units in view; the state filter on Control does not apply here — this IS the per-state view.</t>
  </si>
  <si>
    <t>Plan LR is the product of the four factors to its left wherever the filters resolve to a single combo; where a row combines combos the exact EP-weighted value is shown and Mix carries the difference (factor averages do not compound across a mixed book).</t>
  </si>
  <si>
    <t>Program basis values the same rows on the logged rate program and projected mod path instead of any asserted net target — dashed where nothing asserts one.</t>
  </si>
  <si>
    <t>Values are harvested from the six LOB workbooks and do not move until the book is rebuilt. Sources and as-of stamp: Control.</t>
  </si>
  <si>
    <t>Portfolio — every combo in the book (2027 plan)</t>
  </si>
  <si>
    <t>One row per line x business unit x state, straight from the harvest. Filter this grid with Excel's own filters (row 6) or narrow the whole book on Control; sorting is safe here because every cell is a value.</t>
  </si>
  <si>
    <t>BU</t>
  </si>
  <si>
    <t>Projected LR</t>
  </si>
  <si>
    <t>Rate earn-in</t>
  </si>
  <si>
    <t>Mod drift</t>
  </si>
  <si>
    <t>Other adj</t>
  </si>
  <si>
    <t>CY 2027 plan LR</t>
  </si>
  <si>
    <t>Earned chg vs ind</t>
  </si>
  <si>
    <t>Carryover</t>
  </si>
  <si>
    <t>Net target</t>
  </si>
  <si>
    <t>Plan LR (program)</t>
  </si>
  <si>
    <t>Every cell here mirrors the harvested table — filter or sort freely. The Control filters do not narrow this grid; use the column filters.</t>
  </si>
  <si>
    <t>Roll-ups — the book cut three ways</t>
  </si>
  <si>
    <t>Each table applies the OTHER two Control filters, never its own, so a roll-up always shows every member of its own dimension. Totals are adjusted-EP weighted; the mix line is the honest residual, because factor averages do not compound across a mixed book.</t>
  </si>
  <si>
    <t>By line of business</t>
  </si>
  <si>
    <t>Net combos</t>
  </si>
  <si>
    <t>By business unit</t>
  </si>
  <si>
    <t>By state</t>
  </si>
  <si>
    <t>Program Flow — what the book delivers month by month (2027)</t>
  </si>
  <si>
    <t>Year-over-year change on renewals from the programs AS LOGGED, weighted by adjusted EP x written weight across the lines and business units in view. Valid across lines: seasonality is state-keyed and the written-basis legs are term-independent, so the six-month book combines safely.</t>
  </si>
  <si>
    <t>The rate leg — YoY written rate change on renewals</t>
  </si>
  <si>
    <t>Bottom row: every state above collapsed onto one line, EP x weight weighted across the lines and business units in view — an average, not a total.</t>
  </si>
  <si>
    <t>The pricing leg — YoY written schedule-mod change</t>
  </si>
  <si>
    <t>Delivered net — rate x pricing, the YoY change customers see</t>
  </si>
  <si>
    <t>Legs are weighted means, so rate x pricing need not multiply to delivered exactly under mix — delivered is the exact statistic. Earning patterns are never aggregated across lines with different policy terms.</t>
  </si>
  <si>
    <t>Checks — does this book hang together?</t>
  </si>
  <si>
    <t>The engines are frozen, so these verify the HARVEST and the aggregation: that every source reported, that the parts sum to the whole, and that the identities carried over intact. FAIL = rebuild before using results.</t>
  </si>
  <si>
    <t>Overall status</t>
  </si>
  <si>
    <t>#</t>
  </si>
  <si>
    <t>Category</t>
  </si>
  <si>
    <t>Check</t>
  </si>
  <si>
    <t>Expected</t>
  </si>
  <si>
    <t>Actual</t>
  </si>
  <si>
    <t>Tolerance</t>
  </si>
  <si>
    <t>Status</t>
  </si>
  <si>
    <t>Harvest</t>
  </si>
  <si>
    <t>Every configured line reported its combos</t>
  </si>
  <si>
    <t>Rows harvested = combos the sources reported</t>
  </si>
  <si>
    <t>Every harvested row carries a key</t>
  </si>
  <si>
    <t>Every source reported a passing Checks panel when harvested</t>
  </si>
  <si>
    <t>Reconciliation</t>
  </si>
  <si>
    <t>By-line roll-up total = the rows it should cover</t>
  </si>
  <si>
    <t>State Summary total EP = the rows it should cover</t>
  </si>
  <si>
    <t>Identity</t>
  </si>
  <si>
    <t>Program basis = headline on every combo with no net selection</t>
  </si>
  <si>
    <t>Net targets only where a net selection is flagged</t>
  </si>
  <si>
    <t>Advisory</t>
  </si>
  <si>
    <t>Combos whose logged program lands 1pt+ from the asserted plan LR</t>
  </si>
  <si>
    <t>These cannot re-derive the engines — that is the per-LOB harness's job (tools/verify_workbook.py). What they prove is that this book faithfully reflects the six workbooks it was built from.</t>
  </si>
  <si>
    <t>LOB</t>
  </si>
  <si>
    <t>Key</t>
  </si>
  <si>
    <t>LOB|BU|State</t>
  </si>
  <si>
    <t>Term</t>
  </si>
  <si>
    <t>CRL_ind</t>
  </si>
  <si>
    <t>E_CY(P)</t>
  </si>
  <si>
    <t>Earned mod</t>
  </si>
  <si>
    <t>A_rate</t>
  </si>
  <si>
    <t>A_mod</t>
  </si>
  <si>
    <t>A_other</t>
  </si>
  <si>
    <t>Plan LR</t>
  </si>
  <si>
    <t>Plan LR +1</t>
  </si>
  <si>
    <t>A_rate +1</t>
  </si>
  <si>
    <t>A_mod +1</t>
  </si>
  <si>
    <t>Net?</t>
  </si>
  <si>
    <t>Mod adj on</t>
  </si>
  <si>
    <t>Plan LR +1 (program)</t>
  </si>
  <si>
    <t>Non-net identity</t>
  </si>
  <si>
    <t>Avg rate ratio</t>
  </si>
  <si>
    <t>Avg mod ratio</t>
  </si>
  <si>
    <t>Avg delivered ratio</t>
  </si>
  <si>
    <t>w_crl</t>
  </si>
  <si>
    <t>w_ecy</t>
  </si>
  <si>
    <t>w_mbar</t>
  </si>
  <si>
    <t>w_arate</t>
  </si>
  <si>
    <t>w_amod</t>
  </si>
  <si>
    <t>w_aother</t>
  </si>
  <si>
    <t>w_lrcur</t>
  </si>
  <si>
    <t>w_cylr</t>
  </si>
  <si>
    <t>w_cylr1</t>
  </si>
  <si>
    <t>w_trend</t>
  </si>
  <si>
    <t>w_arate1</t>
  </si>
  <si>
    <t>w_amod1</t>
  </si>
  <si>
    <t>w_prog</t>
  </si>
  <si>
    <t>w_prog1</t>
  </si>
  <si>
    <t>w_mind</t>
  </si>
  <si>
    <t>w_m0</t>
  </si>
  <si>
    <t>w_m1</t>
  </si>
  <si>
    <t>epw_1</t>
  </si>
  <si>
    <t>epw_2</t>
  </si>
  <si>
    <t>epw_3</t>
  </si>
  <si>
    <t>epw_4</t>
  </si>
  <si>
    <t>epw_5</t>
  </si>
  <si>
    <t>epw_6</t>
  </si>
  <si>
    <t>epw_7</t>
  </si>
  <si>
    <t>epw_8</t>
  </si>
  <si>
    <t>epw_9</t>
  </si>
  <si>
    <t>epw_10</t>
  </si>
  <si>
    <t>epw_11</t>
  </si>
  <si>
    <t>epw_12</t>
  </si>
  <si>
    <t>epw_del_1</t>
  </si>
  <si>
    <t>epw_del_2</t>
  </si>
  <si>
    <t>epw_del_3</t>
  </si>
  <si>
    <t>epw_del_4</t>
  </si>
  <si>
    <t>epw_del_5</t>
  </si>
  <si>
    <t>epw_del_6</t>
  </si>
  <si>
    <t>epw_del_7</t>
  </si>
  <si>
    <t>epw_del_8</t>
  </si>
  <si>
    <t>epw_del_9</t>
  </si>
  <si>
    <t>epw_del_10</t>
  </si>
  <si>
    <t>epw_del_11</t>
  </si>
  <si>
    <t>epw_del_12</t>
  </si>
  <si>
    <t>epw_rate_1</t>
  </si>
  <si>
    <t>epw_rate_2</t>
  </si>
  <si>
    <t>epw_rate_3</t>
  </si>
  <si>
    <t>epw_rate_4</t>
  </si>
  <si>
    <t>epw_rate_5</t>
  </si>
  <si>
    <t>epw_rate_6</t>
  </si>
  <si>
    <t>epw_rate_7</t>
  </si>
  <si>
    <t>epw_rate_8</t>
  </si>
  <si>
    <t>epw_rate_9</t>
  </si>
  <si>
    <t>epw_rate_10</t>
  </si>
  <si>
    <t>epw_rate_11</t>
  </si>
  <si>
    <t>epw_rate_12</t>
  </si>
  <si>
    <t>epwm_1</t>
  </si>
  <si>
    <t>epwm_2</t>
  </si>
  <si>
    <t>epwm_3</t>
  </si>
  <si>
    <t>epwm_4</t>
  </si>
  <si>
    <t>epwm_5</t>
  </si>
  <si>
    <t>epwm_6</t>
  </si>
  <si>
    <t>epwm_7</t>
  </si>
  <si>
    <t>epwm_8</t>
  </si>
  <si>
    <t>epwm_9</t>
  </si>
  <si>
    <t>epwm_10</t>
  </si>
  <si>
    <t>epwm_11</t>
  </si>
  <si>
    <t>epwm_12</t>
  </si>
  <si>
    <t>epwm_mod_1</t>
  </si>
  <si>
    <t>epwm_mod_2</t>
  </si>
  <si>
    <t>epwm_mod_3</t>
  </si>
  <si>
    <t>epwm_mod_4</t>
  </si>
  <si>
    <t>epwm_mod_5</t>
  </si>
  <si>
    <t>epwm_mod_6</t>
  </si>
  <si>
    <t>epwm_mod_7</t>
  </si>
  <si>
    <t>epwm_mod_8</t>
  </si>
  <si>
    <t>epwm_mod_9</t>
  </si>
  <si>
    <t>epwm_mod_10</t>
  </si>
  <si>
    <t>epwm_mod_11</t>
  </si>
  <si>
    <t>epwm_mod_12</t>
  </si>
  <si>
    <t>chg1_date</t>
  </si>
  <si>
    <t>chg1_pct</t>
  </si>
  <si>
    <t>chg1_tok</t>
  </si>
  <si>
    <t>chg2_date</t>
  </si>
  <si>
    <t>chg2_pct</t>
  </si>
  <si>
    <t>chg2_tok</t>
  </si>
  <si>
    <t>chg3_date</t>
  </si>
  <si>
    <t>chg3_pct</t>
  </si>
  <si>
    <t>chg3_tok</t>
  </si>
  <si>
    <t>chg4_date</t>
  </si>
  <si>
    <t>chg4_pct</t>
  </si>
  <si>
    <t>chg4_tok</t>
  </si>
  <si>
    <t>ABD|AZ</t>
  </si>
  <si>
    <t>Property|ABD|AZ</t>
  </si>
  <si>
    <t>T</t>
  </si>
  <si>
    <t>P*</t>
  </si>
  <si>
    <t>ABD|CO</t>
  </si>
  <si>
    <t>Property|ABD|CO</t>
  </si>
  <si>
    <t>ABD|DE</t>
  </si>
  <si>
    <t>Property|ABD|DE</t>
  </si>
  <si>
    <t>ABD|FL</t>
  </si>
  <si>
    <t>Property|ABD|FL</t>
  </si>
  <si>
    <t>ABD|GA</t>
  </si>
  <si>
    <t>Property|ABD|GA</t>
  </si>
  <si>
    <t>ABD|IA</t>
  </si>
  <si>
    <t>Property|ABD|IA</t>
  </si>
  <si>
    <t>ABD|IL</t>
  </si>
  <si>
    <t>Property|ABD|IL</t>
  </si>
  <si>
    <t>ABD|IN</t>
  </si>
  <si>
    <t>Property|ABD|IN</t>
  </si>
  <si>
    <t>ABD|KY</t>
  </si>
  <si>
    <t>Property|ABD|KY</t>
  </si>
  <si>
    <t>ABD|MD</t>
  </si>
  <si>
    <t>Property|ABD|MD</t>
  </si>
  <si>
    <t>ABD|MI</t>
  </si>
  <si>
    <t>Property|ABD|MI</t>
  </si>
  <si>
    <t>ABD|MN</t>
  </si>
  <si>
    <t>Property|ABD|MN</t>
  </si>
  <si>
    <t>ABD|NM</t>
  </si>
  <si>
    <t>Property|ABD|NM</t>
  </si>
  <si>
    <t>ABD|NC</t>
  </si>
  <si>
    <t>Property|ABD|NC</t>
  </si>
  <si>
    <t>ABD|OH</t>
  </si>
  <si>
    <t>Property|ABD|OH</t>
  </si>
  <si>
    <t>ABD|PA</t>
  </si>
  <si>
    <t>Property|ABD|PA</t>
  </si>
  <si>
    <t>ABD|SC</t>
  </si>
  <si>
    <t>Property|ABD|SC</t>
  </si>
  <si>
    <t>ABD|TN</t>
  </si>
  <si>
    <t>Property|ABD|TN</t>
  </si>
  <si>
    <t>ABD|VA</t>
  </si>
  <si>
    <t>Property|ABD|VA</t>
  </si>
  <si>
    <t>ABD|WV</t>
  </si>
  <si>
    <t>Property|ABD|WV</t>
  </si>
  <si>
    <t>ABD|WI</t>
  </si>
  <si>
    <t>Property|ABD|WI</t>
  </si>
  <si>
    <t>MM|AZ</t>
  </si>
  <si>
    <t>Property|MM|AZ</t>
  </si>
  <si>
    <t>MM|CO</t>
  </si>
  <si>
    <t>Property|MM|CO</t>
  </si>
  <si>
    <t>MM|DE</t>
  </si>
  <si>
    <t>Property|MM|DE</t>
  </si>
  <si>
    <t>MM|FL</t>
  </si>
  <si>
    <t>Property|MM|FL</t>
  </si>
  <si>
    <t>MM|GA</t>
  </si>
  <si>
    <t>Property|MM|GA</t>
  </si>
  <si>
    <t>MM|IA</t>
  </si>
  <si>
    <t>Property|MM|IA</t>
  </si>
  <si>
    <t>MM|IL</t>
  </si>
  <si>
    <t>Property|MM|IL</t>
  </si>
  <si>
    <t>MM|IN</t>
  </si>
  <si>
    <t>Property|MM|IN</t>
  </si>
  <si>
    <t>MM|KY</t>
  </si>
  <si>
    <t>Property|MM|KY</t>
  </si>
  <si>
    <t>MM|MD</t>
  </si>
  <si>
    <t>Property|MM|MD</t>
  </si>
  <si>
    <t>MM|MI</t>
  </si>
  <si>
    <t>Property|MM|MI</t>
  </si>
  <si>
    <t>MM|MN</t>
  </si>
  <si>
    <t>Property|MM|MN</t>
  </si>
  <si>
    <t>MM|NM</t>
  </si>
  <si>
    <t>Property|MM|NM</t>
  </si>
  <si>
    <t>MM|NC</t>
  </si>
  <si>
    <t>Property|MM|NC</t>
  </si>
  <si>
    <t>MM|OH</t>
  </si>
  <si>
    <t>Property|MM|OH</t>
  </si>
  <si>
    <t>MM|PA</t>
  </si>
  <si>
    <t>Property|MM|PA</t>
  </si>
  <si>
    <t>MM|SC</t>
  </si>
  <si>
    <t>Property|MM|SC</t>
  </si>
  <si>
    <t>MM|TN</t>
  </si>
  <si>
    <t>Property|MM|TN</t>
  </si>
  <si>
    <t>MM|VA</t>
  </si>
  <si>
    <t>Property|MM|VA</t>
  </si>
  <si>
    <t>MM|WV</t>
  </si>
  <si>
    <t>Property|MM|WV</t>
  </si>
  <si>
    <t>MM|WI</t>
  </si>
  <si>
    <t>Property|MM|WI</t>
  </si>
  <si>
    <t>SBA|AZ</t>
  </si>
  <si>
    <t>Property|SBA|AZ</t>
  </si>
  <si>
    <t>SBA|CO</t>
  </si>
  <si>
    <t>Property|SBA|CO</t>
  </si>
  <si>
    <t>SBA|DE</t>
  </si>
  <si>
    <t>Property|SBA|DE</t>
  </si>
  <si>
    <t>SBA|FL</t>
  </si>
  <si>
    <t>Property|SBA|FL</t>
  </si>
  <si>
    <t>SBA|GA</t>
  </si>
  <si>
    <t>Property|SBA|GA</t>
  </si>
  <si>
    <t>SBA|IA</t>
  </si>
  <si>
    <t>Property|SBA|IA</t>
  </si>
  <si>
    <t>SBA|IL</t>
  </si>
  <si>
    <t>Property|SBA|IL</t>
  </si>
  <si>
    <t>SBA|IN</t>
  </si>
  <si>
    <t>Property|SBA|IN</t>
  </si>
  <si>
    <t>SBA|KY</t>
  </si>
  <si>
    <t>Property|SBA|KY</t>
  </si>
  <si>
    <t>T*</t>
  </si>
  <si>
    <t>SBA|MD</t>
  </si>
  <si>
    <t>Property|SBA|MD</t>
  </si>
  <si>
    <t>SBA|MI</t>
  </si>
  <si>
    <t>Property|SBA|MI</t>
  </si>
  <si>
    <t>SBA|MN</t>
  </si>
  <si>
    <t>Property|SBA|MN</t>
  </si>
  <si>
    <t>SBA|NM</t>
  </si>
  <si>
    <t>Property|SBA|NM</t>
  </si>
  <si>
    <t>SBA|NC</t>
  </si>
  <si>
    <t>Property|SBA|NC</t>
  </si>
  <si>
    <t>SBA|OH</t>
  </si>
  <si>
    <t>Property|SBA|OH</t>
  </si>
  <si>
    <t>SBA|PA</t>
  </si>
  <si>
    <t>Property|SBA|PA</t>
  </si>
  <si>
    <t>SBA|SC</t>
  </si>
  <si>
    <t>Property|SBA|SC</t>
  </si>
  <si>
    <t>SBA|TN</t>
  </si>
  <si>
    <t>Property|SBA|TN</t>
  </si>
  <si>
    <t>SBA|VA</t>
  </si>
  <si>
    <t>Property|SBA|VA</t>
  </si>
  <si>
    <t>SBA|WV</t>
  </si>
  <si>
    <t>Property|SBA|WV</t>
  </si>
  <si>
    <t>SBA|WI</t>
  </si>
  <si>
    <t>Property|SBA|WI</t>
  </si>
  <si>
    <t>General Liability|ABD|AZ</t>
  </si>
  <si>
    <t>General Liability|ABD|CO</t>
  </si>
  <si>
    <t>General Liability|ABD|DE</t>
  </si>
  <si>
    <t>General Liability|ABD|FL</t>
  </si>
  <si>
    <t>General Liability|ABD|GA</t>
  </si>
  <si>
    <t>General Liability|ABD|IA</t>
  </si>
  <si>
    <t>General Liability|ABD|IL</t>
  </si>
  <si>
    <t>General Liability|ABD|IN</t>
  </si>
  <si>
    <t>General Liability|ABD|KY</t>
  </si>
  <si>
    <t>General Liability|ABD|MD</t>
  </si>
  <si>
    <t>General Liability|ABD|MI</t>
  </si>
  <si>
    <t>General Liability|ABD|MN</t>
  </si>
  <si>
    <t>General Liability|ABD|NM</t>
  </si>
  <si>
    <t>General Liability|ABD|NC</t>
  </si>
  <si>
    <t>General Liability|ABD|OH</t>
  </si>
  <si>
    <t>General Liability|ABD|PA</t>
  </si>
  <si>
    <t>General Liability|ABD|SC</t>
  </si>
  <si>
    <t>General Liability|ABD|TN</t>
  </si>
  <si>
    <t>General Liability|ABD|VA</t>
  </si>
  <si>
    <t>General Liability|ABD|WV</t>
  </si>
  <si>
    <t>General Liability|ABD|WI</t>
  </si>
  <si>
    <t>General Liability|MM|AZ</t>
  </si>
  <si>
    <t>General Liability|MM|CO</t>
  </si>
  <si>
    <t>General Liability|MM|DE</t>
  </si>
  <si>
    <t>General Liability|MM|FL</t>
  </si>
  <si>
    <t>General Liability|MM|GA</t>
  </si>
  <si>
    <t>General Liability|MM|IA</t>
  </si>
  <si>
    <t>General Liability|MM|IL</t>
  </si>
  <si>
    <t>General Liability|MM|IN</t>
  </si>
  <si>
    <t>General Liability|MM|KY</t>
  </si>
  <si>
    <t>General Liability|MM|MD</t>
  </si>
  <si>
    <t>General Liability|MM|MI</t>
  </si>
  <si>
    <t>General Liability|MM|MN</t>
  </si>
  <si>
    <t>General Liability|MM|NM</t>
  </si>
  <si>
    <t>General Liability|MM|NC</t>
  </si>
  <si>
    <t>General Liability|MM|OH</t>
  </si>
  <si>
    <t>General Liability|MM|PA</t>
  </si>
  <si>
    <t>General Liability|MM|SC</t>
  </si>
  <si>
    <t>General Liability|MM|TN</t>
  </si>
  <si>
    <t>General Liability|MM|VA</t>
  </si>
  <si>
    <t>General Liability|MM|WV</t>
  </si>
  <si>
    <t>General Liability|MM|WI</t>
  </si>
  <si>
    <t>General Liability|SBA|AZ</t>
  </si>
  <si>
    <t>General Liability|SBA|CO</t>
  </si>
  <si>
    <t>General Liability|SBA|DE</t>
  </si>
  <si>
    <t>General Liability|SBA|FL</t>
  </si>
  <si>
    <t>General Liability|SBA|GA</t>
  </si>
  <si>
    <t>General Liability|SBA|IA</t>
  </si>
  <si>
    <t>General Liability|SBA|IL</t>
  </si>
  <si>
    <t>General Liability|SBA|IN</t>
  </si>
  <si>
    <t>General Liability|SBA|KY</t>
  </si>
  <si>
    <t>General Liability|SBA|MD</t>
  </si>
  <si>
    <t>General Liability|SBA|MI</t>
  </si>
  <si>
    <t>General Liability|SBA|MN</t>
  </si>
  <si>
    <t>General Liability|SBA|NM</t>
  </si>
  <si>
    <t>General Liability|SBA|NC</t>
  </si>
  <si>
    <t>General Liability|SBA|OH</t>
  </si>
  <si>
    <t>General Liability|SBA|PA</t>
  </si>
  <si>
    <t>General Liability|SBA|SC</t>
  </si>
  <si>
    <t>General Liability|SBA|TN</t>
  </si>
  <si>
    <t>General Liability|SBA|VA</t>
  </si>
  <si>
    <t>General Liability|SBA|WV</t>
  </si>
  <si>
    <t>General Liability|SBA|WI</t>
  </si>
  <si>
    <t>Commercial Auto|ABD|AZ</t>
  </si>
  <si>
    <t>Commercial Auto|ABD|CO</t>
  </si>
  <si>
    <t>Commercial Auto|ABD|DE</t>
  </si>
  <si>
    <t>Commercial Auto|ABD|FL</t>
  </si>
  <si>
    <t>Commercial Auto|ABD|GA</t>
  </si>
  <si>
    <t>Commercial Auto|ABD|IA</t>
  </si>
  <si>
    <t>Commercial Auto|ABD|IL</t>
  </si>
  <si>
    <t>Commercial Auto|ABD|IN</t>
  </si>
  <si>
    <t>Commercial Auto|ABD|KY</t>
  </si>
  <si>
    <t>Commercial Auto|ABD|MD</t>
  </si>
  <si>
    <t>Commercial Auto|ABD|MI</t>
  </si>
  <si>
    <t>Commercial Auto|ABD|MN</t>
  </si>
  <si>
    <t>Commercial Auto|ABD|NM</t>
  </si>
  <si>
    <t>Commercial Auto|ABD|NC</t>
  </si>
  <si>
    <t>Commercial Auto|ABD|OH</t>
  </si>
  <si>
    <t>Commercial Auto|ABD|PA</t>
  </si>
  <si>
    <t>Commercial Auto|ABD|SC</t>
  </si>
  <si>
    <t>Commercial Auto|ABD|TN</t>
  </si>
  <si>
    <t>Commercial Auto|ABD|VA</t>
  </si>
  <si>
    <t>Commercial Auto|ABD|WV</t>
  </si>
  <si>
    <t>Commercial Auto|ABD|WI</t>
  </si>
  <si>
    <t>Commercial Auto|MM|AZ</t>
  </si>
  <si>
    <t>Commercial Auto|MM|CO</t>
  </si>
  <si>
    <t>Commercial Auto|MM|DE</t>
  </si>
  <si>
    <t>Commercial Auto|MM|FL</t>
  </si>
  <si>
    <t>Commercial Auto|MM|GA</t>
  </si>
  <si>
    <t>Commercial Auto|MM|IA</t>
  </si>
  <si>
    <t>Commercial Auto|MM|IL</t>
  </si>
  <si>
    <t>Commercial Auto|MM|IN</t>
  </si>
  <si>
    <t>Commercial Auto|MM|KY</t>
  </si>
  <si>
    <t>Commercial Auto|MM|MD</t>
  </si>
  <si>
    <t>Commercial Auto|MM|MI</t>
  </si>
  <si>
    <t>Commercial Auto|MM|MN</t>
  </si>
  <si>
    <t>Commercial Auto|MM|NM</t>
  </si>
  <si>
    <t>Commercial Auto|MM|NC</t>
  </si>
  <si>
    <t>Commercial Auto|MM|OH</t>
  </si>
  <si>
    <t>Commercial Auto|MM|PA</t>
  </si>
  <si>
    <t>Commercial Auto|MM|SC</t>
  </si>
  <si>
    <t>Commercial Auto|MM|TN</t>
  </si>
  <si>
    <t>Commercial Auto|MM|VA</t>
  </si>
  <si>
    <t>Commercial Auto|MM|WV</t>
  </si>
  <si>
    <t>Commercial Auto|MM|WI</t>
  </si>
  <si>
    <t>Commercial Auto|SBA|AZ</t>
  </si>
  <si>
    <t>Commercial Auto|SBA|CO</t>
  </si>
  <si>
    <t>Commercial Auto|SBA|DE</t>
  </si>
  <si>
    <t>Commercial Auto|SBA|FL</t>
  </si>
  <si>
    <t>Commercial Auto|SBA|GA</t>
  </si>
  <si>
    <t>Commercial Auto|SBA|IA</t>
  </si>
  <si>
    <t>Commercial Auto|SBA|IL</t>
  </si>
  <si>
    <t>Commercial Auto|SBA|IN</t>
  </si>
  <si>
    <t>Commercial Auto|SBA|KY</t>
  </si>
  <si>
    <t>Commercial Auto|SBA|MD</t>
  </si>
  <si>
    <t>Commercial Auto|SBA|MI</t>
  </si>
  <si>
    <t>Commercial Auto|SBA|MN</t>
  </si>
  <si>
    <t>Commercial Auto|SBA|NM</t>
  </si>
  <si>
    <t>Commercial Auto|SBA|NC</t>
  </si>
  <si>
    <t>Commercial Auto|SBA|OH</t>
  </si>
  <si>
    <t>Commercial Auto|SBA|PA</t>
  </si>
  <si>
    <t>Commercial Auto|SBA|SC</t>
  </si>
  <si>
    <t>Commercial Auto|SBA|TN</t>
  </si>
  <si>
    <t>Commercial Auto|SBA|VA</t>
  </si>
  <si>
    <t>Commercial Auto|SBA|WV</t>
  </si>
  <si>
    <t>Commercial Auto|SBA|WI</t>
  </si>
  <si>
    <t>Workers Comp|ABD|AZ</t>
  </si>
  <si>
    <t>Workers Comp|ABD|CO</t>
  </si>
  <si>
    <t>Workers Comp|ABD|DE</t>
  </si>
  <si>
    <t>Workers Comp|ABD|FL</t>
  </si>
  <si>
    <t>Workers Comp|ABD|GA</t>
  </si>
  <si>
    <t>Workers Comp|ABD|IA</t>
  </si>
  <si>
    <t>Workers Comp|ABD|IL</t>
  </si>
  <si>
    <t>Workers Comp|ABD|IN</t>
  </si>
  <si>
    <t>Workers Comp|ABD|KY</t>
  </si>
  <si>
    <t>Workers Comp|ABD|MD</t>
  </si>
  <si>
    <t>Workers Comp|ABD|MI</t>
  </si>
  <si>
    <t>Workers Comp|ABD|MN</t>
  </si>
  <si>
    <t>Workers Comp|ABD|NM</t>
  </si>
  <si>
    <t>Workers Comp|ABD|NC</t>
  </si>
  <si>
    <t>Workers Comp|ABD|OH</t>
  </si>
  <si>
    <t>Workers Comp|ABD|PA</t>
  </si>
  <si>
    <t>Workers Comp|ABD|SC</t>
  </si>
  <si>
    <t>Workers Comp|ABD|TN</t>
  </si>
  <si>
    <t>Workers Comp|ABD|VA</t>
  </si>
  <si>
    <t>Workers Comp|ABD|WV</t>
  </si>
  <si>
    <t>Workers Comp|ABD|WI</t>
  </si>
  <si>
    <t>Workers Comp|MM|AZ</t>
  </si>
  <si>
    <t>Workers Comp|MM|CO</t>
  </si>
  <si>
    <t>Workers Comp|MM|DE</t>
  </si>
  <si>
    <t>Workers Comp|MM|FL</t>
  </si>
  <si>
    <t>Workers Comp|MM|GA</t>
  </si>
  <si>
    <t>Workers Comp|MM|IA</t>
  </si>
  <si>
    <t>Workers Comp|MM|IL</t>
  </si>
  <si>
    <t>Workers Comp|MM|IN</t>
  </si>
  <si>
    <t>Workers Comp|MM|KY</t>
  </si>
  <si>
    <t>Workers Comp|MM|MD</t>
  </si>
  <si>
    <t>Workers Comp|MM|MI</t>
  </si>
  <si>
    <t>Workers Comp|MM|MN</t>
  </si>
  <si>
    <t>Workers Comp|MM|NM</t>
  </si>
  <si>
    <t>Workers Comp|MM|NC</t>
  </si>
  <si>
    <t>Workers Comp|MM|OH</t>
  </si>
  <si>
    <t>Workers Comp|MM|PA</t>
  </si>
  <si>
    <t>Workers Comp|MM|SC</t>
  </si>
  <si>
    <t>Workers Comp|MM|TN</t>
  </si>
  <si>
    <t>Workers Comp|MM|VA</t>
  </si>
  <si>
    <t>Workers Comp|MM|WV</t>
  </si>
  <si>
    <t>Workers Comp|MM|WI</t>
  </si>
  <si>
    <t>Workers Comp|SBA|AZ</t>
  </si>
  <si>
    <t>Workers Comp|SBA|CO</t>
  </si>
  <si>
    <t>Workers Comp|SBA|DE</t>
  </si>
  <si>
    <t>Workers Comp|SBA|FL</t>
  </si>
  <si>
    <t>Workers Comp|SBA|GA</t>
  </si>
  <si>
    <t>Workers Comp|SBA|IA</t>
  </si>
  <si>
    <t>Workers Comp|SBA|IL</t>
  </si>
  <si>
    <t>Workers Comp|SBA|IN</t>
  </si>
  <si>
    <t>Workers Comp|SBA|KY</t>
  </si>
  <si>
    <t>Workers Comp|SBA|MD</t>
  </si>
  <si>
    <t>Workers Comp|SBA|MI</t>
  </si>
  <si>
    <t>Workers Comp|SBA|MN</t>
  </si>
  <si>
    <t>Workers Comp|SBA|NM</t>
  </si>
  <si>
    <t>Workers Comp|SBA|NC</t>
  </si>
  <si>
    <t>Workers Comp|SBA|OH</t>
  </si>
  <si>
    <t>Workers Comp|SBA|PA</t>
  </si>
  <si>
    <t>Workers Comp|SBA|SC</t>
  </si>
  <si>
    <t>Workers Comp|SBA|TN</t>
  </si>
  <si>
    <t>Workers Comp|SBA|VA</t>
  </si>
  <si>
    <t>Workers Comp|SBA|WV</t>
  </si>
  <si>
    <t>Workers Comp|SBA|WI</t>
  </si>
  <si>
    <t>Umbrella|ABD|AZ</t>
  </si>
  <si>
    <t>Umbrella|ABD|CO</t>
  </si>
  <si>
    <t>Umbrella|ABD|DE</t>
  </si>
  <si>
    <t>Umbrella|ABD|FL</t>
  </si>
  <si>
    <t>Umbrella|ABD|GA</t>
  </si>
  <si>
    <t>Umbrella|ABD|IA</t>
  </si>
  <si>
    <t>Umbrella|ABD|IL</t>
  </si>
  <si>
    <t>Umbrella|ABD|IN</t>
  </si>
  <si>
    <t>Umbrella|ABD|KY</t>
  </si>
  <si>
    <t>Umbrella|ABD|MD</t>
  </si>
  <si>
    <t>Umbrella|ABD|MI</t>
  </si>
  <si>
    <t>Umbrella|ABD|MN</t>
  </si>
  <si>
    <t>Umbrella|ABD|NM</t>
  </si>
  <si>
    <t>Umbrella|ABD|NC</t>
  </si>
  <si>
    <t>Umbrella|ABD|OH</t>
  </si>
  <si>
    <t>Umbrella|ABD|PA</t>
  </si>
  <si>
    <t>Umbrella|ABD|SC</t>
  </si>
  <si>
    <t>Umbrella|ABD|TN</t>
  </si>
  <si>
    <t>Umbrella|ABD|VA</t>
  </si>
  <si>
    <t>Umbrella|ABD|WV</t>
  </si>
  <si>
    <t>Umbrella|ABD|WI</t>
  </si>
  <si>
    <t>Umbrella|MM|AZ</t>
  </si>
  <si>
    <t>Umbrella|MM|CO</t>
  </si>
  <si>
    <t>Umbrella|MM|DE</t>
  </si>
  <si>
    <t>Umbrella|MM|FL</t>
  </si>
  <si>
    <t>Umbrella|MM|GA</t>
  </si>
  <si>
    <t>Umbrella|MM|IA</t>
  </si>
  <si>
    <t>Umbrella|MM|IL</t>
  </si>
  <si>
    <t>Umbrella|MM|IN</t>
  </si>
  <si>
    <t>Umbrella|MM|KY</t>
  </si>
  <si>
    <t>Umbrella|MM|MD</t>
  </si>
  <si>
    <t>Umbrella|MM|MI</t>
  </si>
  <si>
    <t>Umbrella|MM|MN</t>
  </si>
  <si>
    <t>Umbrella|MM|NM</t>
  </si>
  <si>
    <t>Umbrella|MM|NC</t>
  </si>
  <si>
    <t>Umbrella|MM|OH</t>
  </si>
  <si>
    <t>Umbrella|MM|PA</t>
  </si>
  <si>
    <t>Umbrella|MM|SC</t>
  </si>
  <si>
    <t>Umbrella|MM|TN</t>
  </si>
  <si>
    <t>Umbrella|MM|VA</t>
  </si>
  <si>
    <t>Umbrella|MM|WV</t>
  </si>
  <si>
    <t>Umbrella|MM|WI</t>
  </si>
  <si>
    <t>Umbrella|SBA|AZ</t>
  </si>
  <si>
    <t>Umbrella|SBA|CO</t>
  </si>
  <si>
    <t>Umbrella|SBA|DE</t>
  </si>
  <si>
    <t>Umbrella|SBA|FL</t>
  </si>
  <si>
    <t>Umbrella|SBA|GA</t>
  </si>
  <si>
    <t>Umbrella|SBA|IA</t>
  </si>
  <si>
    <t>Umbrella|SBA|IL</t>
  </si>
  <si>
    <t>Umbrella|SBA|IN</t>
  </si>
  <si>
    <t>Umbrella|SBA|KY</t>
  </si>
  <si>
    <t>Umbrella|SBA|MD</t>
  </si>
  <si>
    <t>Umbrella|SBA|MI</t>
  </si>
  <si>
    <t>Umbrella|SBA|MN</t>
  </si>
  <si>
    <t>Umbrella|SBA|NM</t>
  </si>
  <si>
    <t>Umbrella|SBA|NC</t>
  </si>
  <si>
    <t>Umbrella|SBA|OH</t>
  </si>
  <si>
    <t>Umbrella|SBA|PA</t>
  </si>
  <si>
    <t>Umbrella|SBA|SC</t>
  </si>
  <si>
    <t>Umbrella|SBA|TN</t>
  </si>
  <si>
    <t>Umbrella|SBA|VA</t>
  </si>
  <si>
    <t>Umbrella|SBA|WV</t>
  </si>
  <si>
    <t>Umbrella|SBA|WI</t>
  </si>
  <si>
    <t>Inland Marine|ABD|AZ</t>
  </si>
  <si>
    <t>Inland Marine|ABD|CO</t>
  </si>
  <si>
    <t>Inland Marine|ABD|DE</t>
  </si>
  <si>
    <t>Inland Marine|ABD|FL</t>
  </si>
  <si>
    <t>Inland Marine|ABD|GA</t>
  </si>
  <si>
    <t>Inland Marine|ABD|IA</t>
  </si>
  <si>
    <t>Inland Marine|ABD|IL</t>
  </si>
  <si>
    <t>Inland Marine|ABD|IN</t>
  </si>
  <si>
    <t>Inland Marine|ABD|KY</t>
  </si>
  <si>
    <t>Inland Marine|ABD|MD</t>
  </si>
  <si>
    <t>Inland Marine|ABD|MI</t>
  </si>
  <si>
    <t>Inland Marine|ABD|MN</t>
  </si>
  <si>
    <t>Inland Marine|ABD|NM</t>
  </si>
  <si>
    <t>Inland Marine|ABD|NC</t>
  </si>
  <si>
    <t>Inland Marine|ABD|OH</t>
  </si>
  <si>
    <t>Inland Marine|ABD|PA</t>
  </si>
  <si>
    <t>Inland Marine|ABD|SC</t>
  </si>
  <si>
    <t>Inland Marine|ABD|TN</t>
  </si>
  <si>
    <t>Inland Marine|ABD|VA</t>
  </si>
  <si>
    <t>Inland Marine|ABD|WV</t>
  </si>
  <si>
    <t>Inland Marine|ABD|WI</t>
  </si>
  <si>
    <t>Inland Marine|MM|AZ</t>
  </si>
  <si>
    <t>Inland Marine|MM|CO</t>
  </si>
  <si>
    <t>Inland Marine|MM|DE</t>
  </si>
  <si>
    <t>Inland Marine|MM|FL</t>
  </si>
  <si>
    <t>Inland Marine|MM|GA</t>
  </si>
  <si>
    <t>Inland Marine|MM|IA</t>
  </si>
  <si>
    <t>Inland Marine|MM|IL</t>
  </si>
  <si>
    <t>Inland Marine|MM|IN</t>
  </si>
  <si>
    <t>Inland Marine|MM|KY</t>
  </si>
  <si>
    <t>Inland Marine|MM|MD</t>
  </si>
  <si>
    <t>Inland Marine|MM|MI</t>
  </si>
  <si>
    <t>Inland Marine|MM|MN</t>
  </si>
  <si>
    <t>Inland Marine|MM|NM</t>
  </si>
  <si>
    <t>Inland Marine|MM|NC</t>
  </si>
  <si>
    <t>Inland Marine|MM|OH</t>
  </si>
  <si>
    <t>Inland Marine|MM|PA</t>
  </si>
  <si>
    <t>Inland Marine|MM|SC</t>
  </si>
  <si>
    <t>Inland Marine|MM|TN</t>
  </si>
  <si>
    <t>Inland Marine|MM|VA</t>
  </si>
  <si>
    <t>Inland Marine|MM|WV</t>
  </si>
  <si>
    <t>Inland Marine|MM|WI</t>
  </si>
  <si>
    <t>Inland Marine|SBA|AZ</t>
  </si>
  <si>
    <t>Inland Marine|SBA|CO</t>
  </si>
  <si>
    <t>Inland Marine|SBA|DE</t>
  </si>
  <si>
    <t>Inland Marine|SBA|FL</t>
  </si>
  <si>
    <t>Inland Marine|SBA|GA</t>
  </si>
  <si>
    <t>Inland Marine|SBA|IA</t>
  </si>
  <si>
    <t>Inland Marine|SBA|IL</t>
  </si>
  <si>
    <t>Inland Marine|SBA|IN</t>
  </si>
  <si>
    <t>Inland Marine|SBA|KY</t>
  </si>
  <si>
    <t>Inland Marine|SBA|MD</t>
  </si>
  <si>
    <t>Inland Marine|SBA|MI</t>
  </si>
  <si>
    <t>Inland Marine|SBA|MN</t>
  </si>
  <si>
    <t>Inland Marine|SBA|NM</t>
  </si>
  <si>
    <t>Inland Marine|SBA|NC</t>
  </si>
  <si>
    <t>Inland Marine|SBA|OH</t>
  </si>
  <si>
    <t>Inland Marine|SBA|PA</t>
  </si>
  <si>
    <t>Inland Marine|SBA|SC</t>
  </si>
  <si>
    <t>Inland Marine|SBA|TN</t>
  </si>
  <si>
    <t>Inland Marine|SBA|VA</t>
  </si>
  <si>
    <t>Inland Marine|SBA|WV</t>
  </si>
  <si>
    <t>Inland Marine|SBA|WI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</si>
</sst>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%"/>
    <numFmt numFmtId="167" formatCode="\+0.0%;\-0.0%;0.0%"/>
    <numFmt numFmtId="168" formatCode="\+0.00;\-0.00;0.00"/>
    <numFmt numFmtId="170" formatCode="m/d/yy"/>
    <numFmt numFmtId="171" formatCode="\+0.00&quot; pts&quot;;\-0.00&quot; pts&quot;;0.00&quot; pts&quot;"/>
  </numFmts>
  <fonts count="25" x14ac:knownFonts="1">
    <font>
      <sz val="11"/>
      <color theme="1"/>
      <name val="Calibri"/>
      <family val="2"/>
      <scheme val="minor"/>
    </font>
    <font>
      <b/>
      <sz val="8"/>
      <color rgb="FF595959"/>
      <name val="Calibri"/>
    </font>
    <font>
      <b/>
      <sz val="16"/>
      <color rgb="FF1F3864"/>
      <name val="Calibri"/>
    </font>
    <font>
      <i/>
      <sz val="10"/>
      <color rgb="FF808080"/>
      <name val="Calibri"/>
    </font>
    <font>
      <sz val="9"/>
      <color rgb="FF595959"/>
      <name val="Calibri"/>
    </font>
    <font>
      <u/>
      <sz val="9"/>
      <color rgb="FF1F3864"/>
      <name val="Calibri"/>
    </font>
    <font>
      <i/>
      <sz val="9"/>
      <color rgb="FF595959"/>
      <name val="Calibri"/>
    </font>
    <font>
      <b/>
      <sz val="12"/>
      <color rgb="FF1F3864"/>
      <name val="Calibri"/>
    </font>
    <font>
      <b/>
      <sz val="11"/>
      <color rgb="FF595959"/>
      <name val="Calibri"/>
    </font>
    <font>
      <sz val="11"/>
      <color rgb="FF0000FF"/>
      <name val="Calibri"/>
    </font>
    <font>
      <sz val="8"/>
      <color rgb="FF595959"/>
      <name val="Calibri"/>
    </font>
    <font>
      <sz val="11"/>
      <color rgb="FF000000"/>
      <name val="Calibri"/>
    </font>
    <font>
      <sz val="11"/>
      <color rgb="FF595959"/>
      <name val="Calibri"/>
    </font>
    <font>
      <b/>
      <sz val="14"/>
      <color rgb="FF1F3864"/>
      <name val="Calibri"/>
    </font>
    <font>
      <b/>
      <sz val="11"/>
      <color rgb="FFFFFFFF"/>
      <name val="Calibri"/>
    </font>
    <font>
      <sz val="9"/>
      <color rgb="FF2E7D32"/>
      <name val="Calibri"/>
    </font>
    <font>
      <b/>
      <sz val="11"/>
      <color rgb="FF1F3864"/>
      <name val="Calibri"/>
    </font>
    <font>
      <b/>
      <sz val="11"/>
      <color rgb="FF000000"/>
      <name val="Calibri"/>
    </font>
    <font>
      <i/>
      <sz val="11"/>
      <color rgb="FF595959"/>
      <name val="Calibri"/>
    </font>
    <font>
      <b/>
      <sz val="9"/>
      <color rgb="FF1F3864"/>
      <name val="Calibri"/>
    </font>
    <font>
      <sz val="11"/>
      <color rgb="FF008000"/>
      <name val="Calibri"/>
    </font>
    <font>
      <b/>
      <sz val="9"/>
      <color rgb="FFFFFFFF"/>
      <name val="Calibri"/>
    </font>
    <font>
      <sz val="10"/>
      <color rgb="FF595959"/>
      <name val="Calibri"/>
    </font>
    <font>
      <b/>
      <u/>
      <sz val="10"/>
      <color rgb="FF1F3864"/>
      <name val="Calibri"/>
    </font>
    <font>
      <b/>
      <sz val="10"/>
      <color rgb="FF59595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F7F9FB"/>
      </patternFill>
    </fill>
    <fill>
      <patternFill patternType="solid">
        <fgColor rgb="FF1F3864"/>
      </patternFill>
    </fill>
    <fill>
      <patternFill patternType="solid">
        <fgColor rgb="FFD6DCE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7" fillId="0" borderId="1" xfId="0" applyFont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2" borderId="2" xfId="0" applyFont="1" applyFill="1" applyBorder="1" applyAlignment="1">
      <alignment horizontal="center" vertical="center"/>
    </xf>
    <xf numFmtId="0" fontId="10" fillId="0" borderId="0" xfId="0" applyFont="1"/>
    <xf numFmtId="0" fontId="12" fillId="3" borderId="0" xfId="0" applyFont="1" applyFill="1"/>
    <xf numFmtId="0" fontId="0" fillId="3" borderId="0" xfId="0" applyFill="1"/>
    <xf numFmtId="1" fontId="13" fillId="3" borderId="0" xfId="0" applyNumberFormat="1" applyFont="1" applyFill="1"/>
    <xf numFmtId="3" fontId="13" fillId="3" borderId="0" xfId="0" applyNumberFormat="1" applyFont="1" applyFill="1"/>
    <xf numFmtId="166" fontId="13" fillId="3" borderId="0" xfId="0" applyNumberFormat="1" applyFont="1" applyFill="1"/>
    <xf numFmtId="171" fontId="13" fillId="3" borderId="0" xfId="0" applyNumberFormat="1" applyFont="1" applyFill="1"/>
    <xf numFmtId="0" fontId="1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1" fontId="17" fillId="0" borderId="0" xfId="0" applyNumberFormat="1" applyFont="1" applyAlignment="1">
      <alignment horizontal="center" vertical="center"/>
    </xf>
    <xf numFmtId="0" fontId="18" fillId="0" borderId="0" xfId="0" applyFont="1"/>
    <xf numFmtId="0" fontId="19" fillId="3" borderId="0" xfId="0" applyFont="1" applyFill="1"/>
    <xf numFmtId="0" fontId="16" fillId="0" borderId="2" xfId="0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70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68" fontId="11" fillId="0" borderId="2" xfId="0" applyNumberFormat="1" applyFont="1" applyBorder="1" applyAlignment="1">
      <alignment horizontal="center" vertical="center"/>
    </xf>
    <xf numFmtId="168" fontId="17" fillId="0" borderId="2" xfId="0" applyNumberFormat="1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165" fontId="11" fillId="3" borderId="2" xfId="0" applyNumberFormat="1" applyFont="1" applyFill="1" applyBorder="1" applyAlignment="1">
      <alignment horizontal="center" vertical="center"/>
    </xf>
    <xf numFmtId="170" fontId="11" fillId="3" borderId="2" xfId="0" applyNumberFormat="1" applyFont="1" applyFill="1" applyBorder="1" applyAlignment="1">
      <alignment horizontal="center" vertical="center"/>
    </xf>
    <xf numFmtId="167" fontId="11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" fontId="11" fillId="3" borderId="2" xfId="0" applyNumberFormat="1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8" fontId="11" fillId="3" borderId="2" xfId="0" applyNumberFormat="1" applyFont="1" applyFill="1" applyBorder="1" applyAlignment="1">
      <alignment horizontal="center" vertical="center"/>
    </xf>
    <xf numFmtId="168" fontId="17" fillId="3" borderId="2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3" fontId="17" fillId="5" borderId="0" xfId="0" applyNumberFormat="1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1" fontId="11" fillId="5" borderId="0" xfId="0" applyNumberFormat="1" applyFont="1" applyFill="1" applyAlignment="1">
      <alignment horizontal="center" vertical="center"/>
    </xf>
    <xf numFmtId="164" fontId="11" fillId="5" borderId="0" xfId="0" applyNumberFormat="1" applyFont="1" applyFill="1" applyAlignment="1">
      <alignment horizontal="center" vertical="center"/>
    </xf>
    <xf numFmtId="166" fontId="11" fillId="5" borderId="0" xfId="0" applyNumberFormat="1" applyFont="1" applyFill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168" fontId="11" fillId="5" borderId="0" xfId="0" applyNumberFormat="1" applyFont="1" applyFill="1" applyAlignment="1">
      <alignment horizontal="center" vertical="center"/>
    </xf>
    <xf numFmtId="167" fontId="11" fillId="5" borderId="0" xfId="0" applyNumberFormat="1" applyFont="1" applyFill="1" applyAlignment="1">
      <alignment horizontal="center" vertical="center"/>
    </xf>
    <xf numFmtId="168" fontId="17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3" fontId="20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0" fontId="16" fillId="5" borderId="0" xfId="0" applyFont="1" applyFill="1"/>
    <xf numFmtId="0" fontId="14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0" fontId="17" fillId="3" borderId="0" xfId="0" applyFont="1" applyFill="1"/>
    <xf numFmtId="0" fontId="4" fillId="0" borderId="0" xfId="0" applyFont="1" applyAlignment="1">
      <alignment horizontal="center" vertical="center"/>
    </xf>
    <xf numFmtId="0" fontId="12" fillId="0" borderId="0" xfId="0" applyFont="1"/>
    <xf numFmtId="0" fontId="17" fillId="0" borderId="0" xfId="0" applyFont="1" applyAlignment="1">
      <alignment horizontal="center" vertical="center"/>
    </xf>
    <xf numFmtId="0" fontId="1" fillId="0" borderId="0" xfId="0" applyFont="1"/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3">
    <dxf>
      <font>
        <b/>
        <sz val="11"/>
        <color rgb="FFC00000"/>
        <name val="Calibri"/>
      </font>
      <fill>
        <patternFill patternType="solid">
          <fgColor rgb="FFF8CBCC"/>
        </patternFill>
      </fill>
    </dxf>
    <dxf>
      <font>
        <b/>
        <sz val="11"/>
        <color rgb="FF7F6000"/>
        <name val="Calibri"/>
      </font>
      <fill>
        <patternFill patternType="solid">
          <fgColor rgb="FFFFE8A6"/>
        </patternFill>
      </fill>
    </dxf>
    <dxf>
      <font>
        <b/>
        <sz val="11"/>
        <color rgb="FF2E7D32"/>
        <name val="Calibri"/>
      </font>
      <fill>
        <patternFill patternType="solid">
          <fgColor rgb="FFD6E8D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D9D9"/>
    <pageSetUpPr fitToPage="1"/>
  </sheetPr>
  <dimension ref="B2:C33"/>
  <sheetViews>
    <sheetView showGridLines="0" tabSelected="1" workbookViewId="0"/>
  </sheetViews>
  <sheetFormatPr defaultRowHeight="14.4" x14ac:dyDescent="0.3"/>
  <cols>
    <col min="1" max="1" width="2" customWidth="1"/>
    <col min="2" max="2" width="22" customWidth="1"/>
    <col min="3" max="3" width="96" customWidth="1"/>
  </cols>
  <sheetData>
    <row r="2" spans="2:3" ht="21" x14ac:dyDescent="0.3">
      <c r="B2" s="1" t="s">
        <v>0</v>
      </c>
    </row>
    <row r="3" spans="2:3" x14ac:dyDescent="0.3">
      <c r="B3" s="2" t="s">
        <v>1</v>
      </c>
    </row>
    <row r="5" spans="2:3" ht="15.6" x14ac:dyDescent="0.3">
      <c r="B5" s="3" t="s">
        <v>2</v>
      </c>
    </row>
    <row r="6" spans="2:3" x14ac:dyDescent="0.3">
      <c r="B6" s="4" t="s">
        <v>3</v>
      </c>
    </row>
    <row r="7" spans="2:3" x14ac:dyDescent="0.3">
      <c r="B7" s="4" t="s">
        <v>4</v>
      </c>
    </row>
    <row r="8" spans="2:3" x14ac:dyDescent="0.3">
      <c r="B8" s="4" t="s">
        <v>5</v>
      </c>
    </row>
    <row r="9" spans="2:3" x14ac:dyDescent="0.3">
      <c r="B9" s="4" t="s">
        <v>6</v>
      </c>
    </row>
    <row r="10" spans="2:3" x14ac:dyDescent="0.3">
      <c r="B10" s="4" t="s">
        <v>7</v>
      </c>
    </row>
    <row r="12" spans="2:3" ht="15.6" x14ac:dyDescent="0.3">
      <c r="B12" s="3" t="s">
        <v>8</v>
      </c>
    </row>
    <row r="13" spans="2:3" x14ac:dyDescent="0.3">
      <c r="B13" s="5" t="str">
        <f>HYPERLINK("#Control!A1","Control")</f>
        <v>Control</v>
      </c>
      <c r="C13" s="4" t="s">
        <v>9</v>
      </c>
    </row>
    <row r="14" spans="2:3" x14ac:dyDescent="0.3">
      <c r="B14" s="5" t="str">
        <f>HYPERLINK("#'State Summary'!A1","State Summary")</f>
        <v>State Summary</v>
      </c>
      <c r="C14" s="4" t="s">
        <v>10</v>
      </c>
    </row>
    <row r="15" spans="2:3" x14ac:dyDescent="0.3">
      <c r="B15" s="5" t="str">
        <f>HYPERLINK("#Portfolio!A1","Portfolio")</f>
        <v>Portfolio</v>
      </c>
      <c r="C15" s="4" t="s">
        <v>11</v>
      </c>
    </row>
    <row r="16" spans="2:3" x14ac:dyDescent="0.3">
      <c r="B16" s="5" t="str">
        <f>HYPERLINK("#'Roll-ups'!A1","Roll-ups")</f>
        <v>Roll-ups</v>
      </c>
      <c r="C16" s="4" t="s">
        <v>12</v>
      </c>
    </row>
    <row r="17" spans="2:3" x14ac:dyDescent="0.3">
      <c r="B17" s="5" t="str">
        <f>HYPERLINK("#'Program Flow'!A1","Program Flow")</f>
        <v>Program Flow</v>
      </c>
      <c r="C17" s="4" t="s">
        <v>13</v>
      </c>
    </row>
    <row r="18" spans="2:3" x14ac:dyDescent="0.3">
      <c r="B18" s="5" t="str">
        <f>HYPERLINK("#Checks!A1","Checks")</f>
        <v>Checks</v>
      </c>
      <c r="C18" s="4" t="s">
        <v>14</v>
      </c>
    </row>
    <row r="20" spans="2:3" ht="15.6" x14ac:dyDescent="0.3">
      <c r="B20" s="3" t="s">
        <v>15</v>
      </c>
    </row>
    <row r="21" spans="2:3" x14ac:dyDescent="0.3">
      <c r="B21" s="4" t="s">
        <v>16</v>
      </c>
    </row>
    <row r="22" spans="2:3" x14ac:dyDescent="0.3">
      <c r="B22" s="4" t="s">
        <v>17</v>
      </c>
    </row>
    <row r="23" spans="2:3" x14ac:dyDescent="0.3">
      <c r="B23" s="4" t="s">
        <v>18</v>
      </c>
    </row>
    <row r="24" spans="2:3" x14ac:dyDescent="0.3">
      <c r="B24" s="4" t="s">
        <v>19</v>
      </c>
    </row>
    <row r="25" spans="2:3" x14ac:dyDescent="0.3">
      <c r="B25" s="4" t="s">
        <v>20</v>
      </c>
    </row>
    <row r="27" spans="2:3" ht="15.6" x14ac:dyDescent="0.3">
      <c r="B27" s="3" t="s">
        <v>21</v>
      </c>
    </row>
    <row r="28" spans="2:3" x14ac:dyDescent="0.3">
      <c r="B28" s="6" t="s">
        <v>22</v>
      </c>
      <c r="C28" s="4" t="s">
        <v>23</v>
      </c>
    </row>
    <row r="29" spans="2:3" x14ac:dyDescent="0.3">
      <c r="B29" s="6" t="s">
        <v>24</v>
      </c>
      <c r="C29" s="4" t="s">
        <v>25</v>
      </c>
    </row>
    <row r="30" spans="2:3" x14ac:dyDescent="0.3">
      <c r="B30" s="6" t="s">
        <v>26</v>
      </c>
      <c r="C30" s="4" t="s">
        <v>27</v>
      </c>
    </row>
    <row r="31" spans="2:3" x14ac:dyDescent="0.3">
      <c r="B31" s="6" t="s">
        <v>28</v>
      </c>
      <c r="C31" s="4" t="s">
        <v>29</v>
      </c>
    </row>
    <row r="32" spans="2:3" x14ac:dyDescent="0.3">
      <c r="B32" s="6" t="s">
        <v>30</v>
      </c>
      <c r="C32" s="4" t="s">
        <v>31</v>
      </c>
    </row>
    <row r="33" spans="2:3" x14ac:dyDescent="0.3">
      <c r="B33" s="6" t="s">
        <v>32</v>
      </c>
      <c r="C33" s="4" t="s">
        <v>33</v>
      </c>
    </row>
  </sheetData>
  <pageMargins left="0.75" right="0.75" top="1" bottom="1" header="0.5" footer="0.5"/>
  <pageSetup fitToHeight="0" orientation="landscape"/>
  <headerFooter>
    <oddHeader>&amp;C&amp;"Calibri,Bold"&amp;10 CY Plan Loss Ratio Workbook</oddHeader>
    <oddFooter>&amp;L&amp;9 &amp;A&amp;R&amp;9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V28"/>
  <sheetViews>
    <sheetView showGridLines="0" workbookViewId="0"/>
  </sheetViews>
  <sheetFormatPr defaultRowHeight="14.4" x14ac:dyDescent="0.3"/>
  <cols>
    <col min="1" max="1" width="20" customWidth="1"/>
    <col min="2" max="2" width="14" customWidth="1"/>
    <col min="3" max="3" width="16" customWidth="1"/>
    <col min="4" max="5" width="12" customWidth="1"/>
    <col min="6" max="6" width="14" customWidth="1"/>
    <col min="7" max="7" width="12" customWidth="1"/>
    <col min="8" max="8" width="16" customWidth="1"/>
    <col min="9" max="9" width="12" customWidth="1"/>
    <col min="10" max="10" width="14" customWidth="1"/>
    <col min="11" max="11" width="12" customWidth="1"/>
    <col min="12" max="12" width="18" customWidth="1"/>
  </cols>
  <sheetData>
    <row r="1" spans="1:22" ht="21" x14ac:dyDescent="0.3">
      <c r="A1" s="1" t="s">
        <v>34</v>
      </c>
    </row>
    <row r="2" spans="1:22" x14ac:dyDescent="0.3">
      <c r="A2" s="2" t="s">
        <v>35</v>
      </c>
    </row>
    <row r="3" spans="1:22" x14ac:dyDescent="0.3">
      <c r="A3" s="7" t="s">
        <v>36</v>
      </c>
      <c r="C3" s="8" t="str">
        <f>HYPERLINK("#'State Summary'!A1","State Summary")</f>
        <v>State Summary</v>
      </c>
      <c r="E3" s="8" t="str">
        <f>HYPERLINK("#Portfolio!A1","Portfolio")</f>
        <v>Portfolio</v>
      </c>
      <c r="G3" s="8" t="str">
        <f>HYPERLINK("#'Roll-ups'!A1","Roll-ups")</f>
        <v>Roll-ups</v>
      </c>
      <c r="I3" s="8" t="str">
        <f>HYPERLINK("#'Program Flow'!A1","Program Flow")</f>
        <v>Program Flow</v>
      </c>
      <c r="K3" s="8" t="str">
        <f>HYPERLINK("#Checks!A1","Checks")</f>
        <v>Checks</v>
      </c>
      <c r="M3" s="8" t="str">
        <f>HYPERLINK("#'Read Me'!A1","Read Me")</f>
        <v>Read Me</v>
      </c>
    </row>
    <row r="4" spans="1:22" x14ac:dyDescent="0.3">
      <c r="A4" s="9" t="s">
        <v>37</v>
      </c>
    </row>
    <row r="6" spans="1:22" ht="15.6" x14ac:dyDescent="0.3">
      <c r="A6" s="3" t="s">
        <v>38</v>
      </c>
    </row>
    <row r="7" spans="1:22" x14ac:dyDescent="0.3">
      <c r="A7" s="10" t="s">
        <v>39</v>
      </c>
      <c r="B7" s="11" t="s">
        <v>40</v>
      </c>
      <c r="D7" s="12" t="str">
        <f>IF(bkf_lob="All","*",bkf_lob)</f>
        <v>*</v>
      </c>
      <c r="T7" s="12" t="s">
        <v>40</v>
      </c>
      <c r="U7" s="12" t="s">
        <v>40</v>
      </c>
      <c r="V7" s="12" t="s">
        <v>40</v>
      </c>
    </row>
    <row r="8" spans="1:22" x14ac:dyDescent="0.3">
      <c r="A8" s="10" t="s">
        <v>41</v>
      </c>
      <c r="B8" s="11" t="s">
        <v>40</v>
      </c>
      <c r="D8" s="12" t="str">
        <f>IF(bkf_bu="All","*",bkf_bu)</f>
        <v>*</v>
      </c>
      <c r="T8" s="12" t="s">
        <v>22</v>
      </c>
      <c r="U8" s="12" t="s">
        <v>42</v>
      </c>
      <c r="V8" s="12" t="s">
        <v>43</v>
      </c>
    </row>
    <row r="9" spans="1:22" x14ac:dyDescent="0.3">
      <c r="A9" s="10" t="s">
        <v>44</v>
      </c>
      <c r="B9" s="11" t="s">
        <v>40</v>
      </c>
      <c r="D9" s="12" t="str">
        <f>IF(bkf_state="All","*",bkf_state)</f>
        <v>*</v>
      </c>
      <c r="T9" s="12" t="s">
        <v>24</v>
      </c>
      <c r="U9" s="12" t="s">
        <v>45</v>
      </c>
      <c r="V9" s="12" t="s">
        <v>46</v>
      </c>
    </row>
    <row r="10" spans="1:22" x14ac:dyDescent="0.3">
      <c r="T10" s="12" t="s">
        <v>26</v>
      </c>
      <c r="U10" s="12" t="s">
        <v>47</v>
      </c>
      <c r="V10" s="12" t="s">
        <v>48</v>
      </c>
    </row>
    <row r="11" spans="1:22" ht="15.6" x14ac:dyDescent="0.3">
      <c r="A11" s="3" t="s">
        <v>49</v>
      </c>
      <c r="T11" s="12" t="s">
        <v>28</v>
      </c>
      <c r="V11" s="12" t="s">
        <v>50</v>
      </c>
    </row>
    <row r="12" spans="1:22" x14ac:dyDescent="0.3">
      <c r="A12" s="13" t="s">
        <v>51</v>
      </c>
      <c r="B12" s="14"/>
      <c r="C12" s="13" t="s">
        <v>52</v>
      </c>
      <c r="D12" s="14"/>
      <c r="E12" s="13" t="s">
        <v>53</v>
      </c>
      <c r="F12" s="14"/>
      <c r="G12" s="13" t="s">
        <v>54</v>
      </c>
      <c r="H12" s="14"/>
      <c r="I12" s="13" t="s">
        <v>55</v>
      </c>
      <c r="J12" s="14"/>
      <c r="K12" s="13" t="s">
        <v>56</v>
      </c>
      <c r="L12" s="14"/>
      <c r="T12" s="12" t="s">
        <v>30</v>
      </c>
      <c r="V12" s="12" t="s">
        <v>57</v>
      </c>
    </row>
    <row r="13" spans="1:22" ht="18" x14ac:dyDescent="0.35">
      <c r="A13" s="15">
        <f>COUNTIFS(_book!$D$2:$D$379,"?*",_book!$A$2:$A$379,bkc_lob,_book!$B$2:$B$379,bkc_bu,_book!$C$2:$C$379,bkc_state)</f>
        <v>378</v>
      </c>
      <c r="B13" s="14"/>
      <c r="C13" s="16">
        <f>SUMIFS(_book!$F$2:$F$379,_book!$A$2:$A$379,bkc_lob,_book!$B$2:$B$379,bkc_bu,_book!$C$2:$C$379,bkc_state)</f>
        <v>17085000</v>
      </c>
      <c r="D13" s="14"/>
      <c r="E13" s="17">
        <f>IF(SUMIFS(_book!$F$2:$F$379,_book!$A$2:$A$379,bkc_lob,_book!$B$2:$B$379,bkc_bu,_book!$C$2:$C$379,bkc_state)=0,"—",SUMIFS(_book!$AO$2:$AO$379,_book!$A$2:$A$379,bkc_lob,_book!$B$2:$B$379,bkc_bu,_book!$C$2:$C$379,bkc_state)/SUMIFS(_book!$F$2:$F$379,_book!$A$2:$A$379,bkc_lob,_book!$B$2:$B$379,bkc_bu,_book!$C$2:$C$379,bkc_state))</f>
        <v>0.6383994815534072</v>
      </c>
      <c r="F13" s="14"/>
      <c r="G13" s="17">
        <f>IF(SUMIFS(_book!$F$2:$F$379,_book!$A$2:$A$379,bkc_lob,_book!$B$2:$B$379,bkc_bu,_book!$C$2:$C$379,bkc_state)=0,"—",SUMIFS(_book!$AT$2:$AT$379,_book!$A$2:$A$379,bkc_lob,_book!$B$2:$B$379,bkc_bu,_book!$C$2:$C$379,bkc_state)/SUMIFS(_book!$F$2:$F$379,_book!$A$2:$A$379,bkc_lob,_book!$B$2:$B$379,bkc_bu,_book!$C$2:$C$379,bkc_state))</f>
        <v>0.63832189345225843</v>
      </c>
      <c r="H13" s="14"/>
      <c r="I13" s="18">
        <f>IF(SUMIFS(_book!$F$2:$F$379,_book!$A$2:$A$379,bkc_lob,_book!$B$2:$B$379,bkc_bu,_book!$C$2:$C$379,bkc_state)=0,"—",(SUMIFS(_book!$AT$2:$AT$379,_book!$A$2:$A$379,bkc_lob,_book!$B$2:$B$379,bkc_bu,_book!$C$2:$C$379,bkc_state)-SUMIFS(_book!$AO$2:$AO$379,_book!$A$2:$A$379,bkc_lob,_book!$B$2:$B$379,bkc_bu,_book!$C$2:$C$379,bkc_state))/SUMIFS(_book!$F$2:$F$379,_book!$A$2:$A$379,bkc_lob,_book!$B$2:$B$379,bkc_bu,_book!$C$2:$C$379,bkc_state)*100)</f>
        <v>-7.7588101148710004E-3</v>
      </c>
      <c r="J13" s="14"/>
      <c r="K13" s="15">
        <f>SUMIFS(_book!$V$2:$V$379,_book!$A$2:$A$379,bkc_lob,_book!$B$2:$B$379,bkc_bu,_book!$C$2:$C$379,bkc_state)</f>
        <v>6</v>
      </c>
      <c r="L13" s="14"/>
      <c r="T13" s="12" t="s">
        <v>32</v>
      </c>
      <c r="V13" s="12" t="s">
        <v>58</v>
      </c>
    </row>
    <row r="14" spans="1:22" x14ac:dyDescent="0.3">
      <c r="A14" s="9" t="s">
        <v>59</v>
      </c>
      <c r="C14" s="9" t="s">
        <v>60</v>
      </c>
      <c r="E14" s="9" t="s">
        <v>61</v>
      </c>
      <c r="G14" s="9" t="s">
        <v>62</v>
      </c>
      <c r="I14" s="9" t="s">
        <v>63</v>
      </c>
      <c r="K14" s="9" t="s">
        <v>64</v>
      </c>
      <c r="V14" s="12" t="s">
        <v>65</v>
      </c>
    </row>
    <row r="15" spans="1:22" x14ac:dyDescent="0.3">
      <c r="V15" s="12" t="s">
        <v>66</v>
      </c>
    </row>
    <row r="16" spans="1:22" ht="15.6" x14ac:dyDescent="0.3">
      <c r="A16" s="3" t="s">
        <v>21</v>
      </c>
      <c r="V16" s="12" t="s">
        <v>67</v>
      </c>
    </row>
    <row r="17" spans="1:22" x14ac:dyDescent="0.3">
      <c r="A17" s="19" t="s">
        <v>39</v>
      </c>
      <c r="B17" s="19" t="s">
        <v>68</v>
      </c>
      <c r="C17" s="19" t="s">
        <v>69</v>
      </c>
      <c r="D17" s="19" t="s">
        <v>70</v>
      </c>
      <c r="E17" s="19" t="s">
        <v>71</v>
      </c>
      <c r="F17" s="19" t="s">
        <v>72</v>
      </c>
      <c r="V17" s="12" t="s">
        <v>73</v>
      </c>
    </row>
    <row r="18" spans="1:22" x14ac:dyDescent="0.3">
      <c r="A18" t="s">
        <v>22</v>
      </c>
      <c r="B18" s="7" t="s">
        <v>74</v>
      </c>
      <c r="C18" s="20" t="s">
        <v>75</v>
      </c>
      <c r="D18" s="20" t="s">
        <v>76</v>
      </c>
      <c r="E18" s="21">
        <v>63</v>
      </c>
      <c r="F18" s="22" t="s">
        <v>77</v>
      </c>
      <c r="V18" s="12" t="s">
        <v>78</v>
      </c>
    </row>
    <row r="19" spans="1:22" x14ac:dyDescent="0.3">
      <c r="A19" t="s">
        <v>24</v>
      </c>
      <c r="B19" s="7" t="s">
        <v>79</v>
      </c>
      <c r="C19" s="20" t="s">
        <v>75</v>
      </c>
      <c r="D19" s="20" t="s">
        <v>76</v>
      </c>
      <c r="E19" s="21">
        <v>63</v>
      </c>
      <c r="F19" s="22" t="s">
        <v>77</v>
      </c>
      <c r="V19" s="12" t="s">
        <v>80</v>
      </c>
    </row>
    <row r="20" spans="1:22" x14ac:dyDescent="0.3">
      <c r="A20" t="s">
        <v>26</v>
      </c>
      <c r="B20" s="7" t="s">
        <v>81</v>
      </c>
      <c r="C20" s="20" t="s">
        <v>75</v>
      </c>
      <c r="D20" s="20" t="s">
        <v>76</v>
      </c>
      <c r="E20" s="21">
        <v>63</v>
      </c>
      <c r="F20" s="22" t="s">
        <v>77</v>
      </c>
      <c r="V20" s="12" t="s">
        <v>82</v>
      </c>
    </row>
    <row r="21" spans="1:22" x14ac:dyDescent="0.3">
      <c r="A21" t="s">
        <v>28</v>
      </c>
      <c r="B21" s="7" t="s">
        <v>83</v>
      </c>
      <c r="C21" s="20" t="s">
        <v>84</v>
      </c>
      <c r="D21" s="20" t="s">
        <v>76</v>
      </c>
      <c r="E21" s="21">
        <v>63</v>
      </c>
      <c r="F21" s="22" t="s">
        <v>77</v>
      </c>
      <c r="V21" s="12" t="s">
        <v>85</v>
      </c>
    </row>
    <row r="22" spans="1:22" x14ac:dyDescent="0.3">
      <c r="A22" t="s">
        <v>30</v>
      </c>
      <c r="B22" s="7" t="s">
        <v>86</v>
      </c>
      <c r="C22" s="20" t="s">
        <v>84</v>
      </c>
      <c r="D22" s="20" t="s">
        <v>76</v>
      </c>
      <c r="E22" s="21">
        <v>63</v>
      </c>
      <c r="F22" s="22" t="s">
        <v>77</v>
      </c>
      <c r="V22" s="12" t="s">
        <v>87</v>
      </c>
    </row>
    <row r="23" spans="1:22" x14ac:dyDescent="0.3">
      <c r="A23" t="s">
        <v>32</v>
      </c>
      <c r="B23" s="7" t="s">
        <v>88</v>
      </c>
      <c r="C23" s="20" t="s">
        <v>84</v>
      </c>
      <c r="D23" s="20" t="s">
        <v>76</v>
      </c>
      <c r="E23" s="21">
        <v>63</v>
      </c>
      <c r="F23" s="22" t="s">
        <v>77</v>
      </c>
      <c r="V23" s="12" t="s">
        <v>89</v>
      </c>
    </row>
    <row r="24" spans="1:22" x14ac:dyDescent="0.3">
      <c r="A24" s="23" t="s">
        <v>90</v>
      </c>
      <c r="E24" s="24">
        <f>SUM($E$18:$E$23)</f>
        <v>378</v>
      </c>
      <c r="V24" s="12" t="s">
        <v>91</v>
      </c>
    </row>
    <row r="25" spans="1:22" x14ac:dyDescent="0.3">
      <c r="V25" s="12" t="s">
        <v>92</v>
      </c>
    </row>
    <row r="26" spans="1:22" x14ac:dyDescent="0.3">
      <c r="A26" s="9" t="s">
        <v>93</v>
      </c>
      <c r="V26" s="12" t="s">
        <v>94</v>
      </c>
    </row>
    <row r="27" spans="1:22" x14ac:dyDescent="0.3">
      <c r="V27" s="12" t="s">
        <v>95</v>
      </c>
    </row>
    <row r="28" spans="1:22" x14ac:dyDescent="0.3">
      <c r="V28" s="12" t="s">
        <v>96</v>
      </c>
    </row>
  </sheetData>
  <dataValidations count="3">
    <dataValidation type="list" showErrorMessage="1" sqref="B7" xr:uid="{00000000-0002-0000-0100-000000000000}">
      <formula1>$T$7:$T$13</formula1>
    </dataValidation>
    <dataValidation type="list" showErrorMessage="1" sqref="B8" xr:uid="{00000000-0002-0000-0100-000001000000}">
      <formula1>$U$7:$U$10</formula1>
    </dataValidation>
    <dataValidation type="list" showErrorMessage="1" sqref="B9" xr:uid="{00000000-0002-0000-0100-000002000000}">
      <formula1>$V$7:$V$28</formula1>
    </dataValidation>
  </dataValidations>
  <pageMargins left="0.75" right="0.75" top="1" bottom="1" header="0.5" footer="0.5"/>
  <pageSetup fitToHeight="0" orientation="landscape"/>
  <headerFooter>
    <oddHeader>&amp;C&amp;"Calibri,Bold"&amp;10 CY Plan Loss Ratio Workbook</oddHeader>
    <oddFooter>&amp;L&amp;9 &amp;A&amp;R&amp;9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AI35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2" customWidth="1"/>
    <col min="3" max="3" width="9" customWidth="1"/>
    <col min="4" max="4" width="8.44140625" customWidth="1"/>
    <col min="5" max="6" width="9" customWidth="1"/>
    <col min="7" max="7" width="7" customWidth="1"/>
    <col min="8" max="8" width="4" customWidth="1"/>
    <col min="9" max="9" width="9" customWidth="1"/>
    <col min="10" max="10" width="7" customWidth="1"/>
    <col min="11" max="11" width="4" customWidth="1"/>
    <col min="12" max="12" width="9" customWidth="1"/>
    <col min="13" max="13" width="7" customWidth="1"/>
    <col min="14" max="14" width="4" customWidth="1"/>
    <col min="15" max="15" width="9" customWidth="1"/>
    <col min="16" max="16" width="7" customWidth="1"/>
    <col min="17" max="17" width="4" customWidth="1"/>
    <col min="18" max="18" width="7" customWidth="1"/>
    <col min="19" max="19" width="8" customWidth="1"/>
    <col min="20" max="21" width="9.44140625" customWidth="1"/>
    <col min="22" max="22" width="9" customWidth="1"/>
    <col min="23" max="23" width="11" customWidth="1"/>
    <col min="24" max="25" width="9.44140625" customWidth="1"/>
    <col min="26" max="26" width="8.44140625" customWidth="1"/>
    <col min="27" max="27" width="10" customWidth="1"/>
    <col min="28" max="28" width="7" customWidth="1"/>
    <col min="29" max="29" width="8.44140625" customWidth="1"/>
    <col min="30" max="31" width="9.44140625" customWidth="1"/>
    <col min="32" max="32" width="10" customWidth="1"/>
    <col min="33" max="33" width="8.44140625" customWidth="1"/>
    <col min="34" max="34" width="11" customWidth="1"/>
    <col min="35" max="35" width="12" customWidth="1"/>
  </cols>
  <sheetData>
    <row r="1" spans="1:35" ht="21" x14ac:dyDescent="0.3">
      <c r="A1" s="1" t="s">
        <v>97</v>
      </c>
    </row>
    <row r="2" spans="1:35" x14ac:dyDescent="0.3">
      <c r="A2" s="2" t="s">
        <v>98</v>
      </c>
    </row>
    <row r="3" spans="1:35" x14ac:dyDescent="0.3">
      <c r="A3" s="7" t="s">
        <v>36</v>
      </c>
      <c r="C3" s="8" t="str">
        <f>HYPERLINK("#Control!A1","Control")</f>
        <v>Control</v>
      </c>
      <c r="E3" s="8" t="str">
        <f>HYPERLINK("#Portfolio!A1","Portfolio")</f>
        <v>Portfolio</v>
      </c>
      <c r="G3" s="8" t="str">
        <f>HYPERLINK("#'Roll-ups'!A1","Roll-ups")</f>
        <v>Roll-ups</v>
      </c>
      <c r="I3" s="8" t="str">
        <f>HYPERLINK("#'Program Flow'!A1","Program Flow")</f>
        <v>Program Flow</v>
      </c>
      <c r="K3" s="8" t="str">
        <f>HYPERLINK("#Checks!A1","Checks")</f>
        <v>Checks</v>
      </c>
    </row>
    <row r="5" spans="1:35" x14ac:dyDescent="0.3">
      <c r="A5" s="25" t="str">
        <f>"Showing: "&amp;IF(bkf_lob="All","every line",bkf_lob)&amp;"  |  "&amp;IF(bkf_bu="All","every business unit",bkf_bu)&amp;IF(bkf_state="All",""," | (state filter does not apply here)")</f>
        <v>Showing: every line  |  every business unit</v>
      </c>
    </row>
    <row r="6" spans="1:35" x14ac:dyDescent="0.3">
      <c r="A6" s="26"/>
      <c r="B6" s="26" t="s">
        <v>99</v>
      </c>
      <c r="C6" s="26" t="s">
        <v>100</v>
      </c>
      <c r="D6" s="26"/>
      <c r="E6" s="26"/>
      <c r="F6" s="26" t="s">
        <v>101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 t="s">
        <v>102</v>
      </c>
      <c r="U6" s="26"/>
      <c r="V6" s="26"/>
      <c r="W6" s="26" t="s">
        <v>103</v>
      </c>
      <c r="X6" s="26"/>
      <c r="Y6" s="26"/>
      <c r="Z6" s="26"/>
      <c r="AA6" s="26"/>
      <c r="AB6" s="26"/>
      <c r="AC6" s="26" t="s">
        <v>104</v>
      </c>
      <c r="AD6" s="26"/>
      <c r="AE6" s="26"/>
      <c r="AF6" s="26"/>
      <c r="AG6" s="26" t="s">
        <v>105</v>
      </c>
      <c r="AH6" s="26"/>
      <c r="AI6" s="26"/>
    </row>
    <row r="7" spans="1:35" ht="42" customHeight="1" x14ac:dyDescent="0.3">
      <c r="A7" s="19" t="s">
        <v>44</v>
      </c>
      <c r="B7" s="19" t="s">
        <v>106</v>
      </c>
      <c r="C7" s="19" t="s">
        <v>107</v>
      </c>
      <c r="D7" s="19" t="s">
        <v>108</v>
      </c>
      <c r="E7" s="19" t="s">
        <v>109</v>
      </c>
      <c r="F7" s="19" t="s">
        <v>110</v>
      </c>
      <c r="G7" s="19" t="s">
        <v>111</v>
      </c>
      <c r="H7" s="19" t="s">
        <v>112</v>
      </c>
      <c r="I7" s="19" t="s">
        <v>113</v>
      </c>
      <c r="J7" s="19" t="s">
        <v>114</v>
      </c>
      <c r="K7" s="19" t="s">
        <v>112</v>
      </c>
      <c r="L7" s="19" t="s">
        <v>115</v>
      </c>
      <c r="M7" s="19" t="s">
        <v>116</v>
      </c>
      <c r="N7" s="19" t="s">
        <v>112</v>
      </c>
      <c r="O7" s="19" t="s">
        <v>117</v>
      </c>
      <c r="P7" s="19" t="s">
        <v>118</v>
      </c>
      <c r="Q7" s="19" t="s">
        <v>112</v>
      </c>
      <c r="R7" s="19" t="s">
        <v>119</v>
      </c>
      <c r="S7" s="19" t="s">
        <v>120</v>
      </c>
      <c r="T7" s="19" t="s">
        <v>121</v>
      </c>
      <c r="U7" s="19" t="s">
        <v>122</v>
      </c>
      <c r="V7" s="19" t="s">
        <v>123</v>
      </c>
      <c r="W7" s="19" t="s">
        <v>124</v>
      </c>
      <c r="X7" s="19" t="s">
        <v>125</v>
      </c>
      <c r="Y7" s="19" t="s">
        <v>126</v>
      </c>
      <c r="Z7" s="19" t="s">
        <v>127</v>
      </c>
      <c r="AA7" s="19" t="str">
        <f>"=  CY 2027 plan LR"</f>
        <v>=  CY 2027 plan LR</v>
      </c>
      <c r="AB7" s="19" t="s">
        <v>128</v>
      </c>
      <c r="AC7" s="19" t="s">
        <v>129</v>
      </c>
      <c r="AD7" s="19" t="s">
        <v>130</v>
      </c>
      <c r="AE7" s="19" t="s">
        <v>131</v>
      </c>
      <c r="AF7" s="19" t="s">
        <v>132</v>
      </c>
      <c r="AG7" s="19" t="s">
        <v>133</v>
      </c>
      <c r="AH7" s="19" t="s">
        <v>54</v>
      </c>
      <c r="AI7" s="19" t="s">
        <v>134</v>
      </c>
    </row>
    <row r="8" spans="1:35" x14ac:dyDescent="0.3">
      <c r="A8" s="27" t="s">
        <v>43</v>
      </c>
      <c r="B8" s="28">
        <f>SUMIFS(_book!$F$2:$F$379,_book!$C$2:$C$379,$A8,_book!$A$2:$A$379,bkc_lob,_book!$B$2:$B$379,bkc_bu)</f>
        <v>459000</v>
      </c>
      <c r="C8" s="29">
        <f>IF(SUMIFS(_book!$F$2:$F$379,_book!$C$2:$C$379,$A8,_book!$A$2:$A$379,bkc_lob,_book!$B$2:$B$379,bkc_bu)=0,"—",SUMIFS(_book!$AV$2:$AV$379,_book!$C$2:$C$379,$A8,_book!$A$2:$A$379,bkc_lob,_book!$B$2:$B$379,bkc_bu)/SUMIFS(_book!$F$2:$F$379,_book!$C$2:$C$379,$A8,_book!$A$2:$A$379,bkc_lob,_book!$B$2:$B$379,bkc_bu))</f>
        <v>0.90530283224400876</v>
      </c>
      <c r="D8" s="29">
        <f>IF(SUMIFS(_book!$F$2:$F$379,_book!$C$2:$C$379,$A8,_book!$A$2:$A$379,bkc_lob,_book!$B$2:$B$379,bkc_bu)=0,"—",SUMIFS(_book!$AW$2:$AW$379,_book!$C$2:$C$379,$A8,_book!$A$2:$A$379,bkc_lob,_book!$B$2:$B$379,bkc_bu)/SUMIFS(_book!$F$2:$F$379,_book!$C$2:$C$379,$A8,_book!$A$2:$A$379,bkc_lob,_book!$B$2:$B$379,bkc_bu))</f>
        <v>0.90122875816993464</v>
      </c>
      <c r="E8" s="29">
        <f>IF(SUMIFS(_book!$F$2:$F$379,_book!$C$2:$C$379,$A8,_book!$A$2:$A$379,bkc_lob,_book!$B$2:$B$379,bkc_bu)=0,"—",SUMIFS(_book!$AX$2:$AX$379,_book!$C$2:$C$379,$A8,_book!$A$2:$A$379,bkc_lob,_book!$B$2:$B$379,bkc_bu)/SUMIFS(_book!$F$2:$F$379,_book!$C$2:$C$379,$A8,_book!$A$2:$A$379,bkc_lob,_book!$B$2:$B$379,bkc_bu))</f>
        <v>0.90308061002178652</v>
      </c>
      <c r="F8" s="30" t="str">
        <f>IF(COUNTIFS(_book!$D$2:$D$379,"?*",_book!$C$2:$C$379,$A8,_book!$A$2:$A$379,bkc_lob,_book!$B$2:$B$379,bkc_bu)&lt;&gt;1,"—",INDEX(_book!$DG$2:$DG$379,MATCH(bkf_lob&amp;"|"&amp;bkf_bu&amp;"|"&amp;$A8,_book!$E$2:$E$379,0)))</f>
        <v>—</v>
      </c>
      <c r="G8" s="31" t="str">
        <f>IF(COUNTIFS(_book!$D$2:$D$379,"?*",_book!$C$2:$C$379,$A8,_book!$A$2:$A$379,bkc_lob,_book!$B$2:$B$379,bkc_bu)&lt;&gt;1,"—",INDEX(_book!$DH$2:$DH$379,MATCH(bkf_lob&amp;"|"&amp;bkf_bu&amp;"|"&amp;$A8,_book!$E$2:$E$379,0)))</f>
        <v>—</v>
      </c>
      <c r="H8" s="32" t="str">
        <f>IF(COUNTIFS(_book!$D$2:$D$379,"?*",_book!$C$2:$C$379,$A8,_book!$A$2:$A$379,bkc_lob,_book!$B$2:$B$379,bkc_bu)&lt;&gt;1,"—",INDEX(_book!$DI$2:$DI$379,MATCH(bkf_lob&amp;"|"&amp;bkf_bu&amp;"|"&amp;$A8,_book!$E$2:$E$379,0)))</f>
        <v>—</v>
      </c>
      <c r="I8" s="30" t="str">
        <f>IF(COUNTIFS(_book!$D$2:$D$379,"?*",_book!$C$2:$C$379,$A8,_book!$A$2:$A$379,bkc_lob,_book!$B$2:$B$379,bkc_bu)&lt;&gt;1,"—",INDEX(_book!$DJ$2:$DJ$379,MATCH(bkf_lob&amp;"|"&amp;bkf_bu&amp;"|"&amp;$A8,_book!$E$2:$E$379,0)))</f>
        <v>—</v>
      </c>
      <c r="J8" s="31" t="str">
        <f>IF(COUNTIFS(_book!$D$2:$D$379,"?*",_book!$C$2:$C$379,$A8,_book!$A$2:$A$379,bkc_lob,_book!$B$2:$B$379,bkc_bu)&lt;&gt;1,"—",INDEX(_book!$DK$2:$DK$379,MATCH(bkf_lob&amp;"|"&amp;bkf_bu&amp;"|"&amp;$A8,_book!$E$2:$E$379,0)))</f>
        <v>—</v>
      </c>
      <c r="K8" s="32" t="str">
        <f>IF(COUNTIFS(_book!$D$2:$D$379,"?*",_book!$C$2:$C$379,$A8,_book!$A$2:$A$379,bkc_lob,_book!$B$2:$B$379,bkc_bu)&lt;&gt;1,"—",INDEX(_book!$DL$2:$DL$379,MATCH(bkf_lob&amp;"|"&amp;bkf_bu&amp;"|"&amp;$A8,_book!$E$2:$E$379,0)))</f>
        <v>—</v>
      </c>
      <c r="L8" s="30" t="str">
        <f>IF(COUNTIFS(_book!$D$2:$D$379,"?*",_book!$C$2:$C$379,$A8,_book!$A$2:$A$379,bkc_lob,_book!$B$2:$B$379,bkc_bu)&lt;&gt;1,"—",INDEX(_book!$DM$2:$DM$379,MATCH(bkf_lob&amp;"|"&amp;bkf_bu&amp;"|"&amp;$A8,_book!$E$2:$E$379,0)))</f>
        <v>—</v>
      </c>
      <c r="M8" s="31" t="str">
        <f>IF(COUNTIFS(_book!$D$2:$D$379,"?*",_book!$C$2:$C$379,$A8,_book!$A$2:$A$379,bkc_lob,_book!$B$2:$B$379,bkc_bu)&lt;&gt;1,"—",INDEX(_book!$DN$2:$DN$379,MATCH(bkf_lob&amp;"|"&amp;bkf_bu&amp;"|"&amp;$A8,_book!$E$2:$E$379,0)))</f>
        <v>—</v>
      </c>
      <c r="N8" s="32" t="str">
        <f>IF(COUNTIFS(_book!$D$2:$D$379,"?*",_book!$C$2:$C$379,$A8,_book!$A$2:$A$379,bkc_lob,_book!$B$2:$B$379,bkc_bu)&lt;&gt;1,"—",INDEX(_book!$DO$2:$DO$379,MATCH(bkf_lob&amp;"|"&amp;bkf_bu&amp;"|"&amp;$A8,_book!$E$2:$E$379,0)))</f>
        <v>—</v>
      </c>
      <c r="O8" s="30" t="str">
        <f>IF(COUNTIFS(_book!$D$2:$D$379,"?*",_book!$C$2:$C$379,$A8,_book!$A$2:$A$379,bkc_lob,_book!$B$2:$B$379,bkc_bu)&lt;&gt;1,"—",INDEX(_book!$DP$2:$DP$379,MATCH(bkf_lob&amp;"|"&amp;bkf_bu&amp;"|"&amp;$A8,_book!$E$2:$E$379,0)))</f>
        <v>—</v>
      </c>
      <c r="P8" s="31" t="str">
        <f>IF(COUNTIFS(_book!$D$2:$D$379,"?*",_book!$C$2:$C$379,$A8,_book!$A$2:$A$379,bkc_lob,_book!$B$2:$B$379,bkc_bu)&lt;&gt;1,"—",INDEX(_book!$DQ$2:$DQ$379,MATCH(bkf_lob&amp;"|"&amp;bkf_bu&amp;"|"&amp;$A8,_book!$E$2:$E$379,0)))</f>
        <v>—</v>
      </c>
      <c r="Q8" s="32" t="str">
        <f>IF(COUNTIFS(_book!$D$2:$D$379,"?*",_book!$C$2:$C$379,$A8,_book!$A$2:$A$379,bkc_lob,_book!$B$2:$B$379,bkc_bu)&lt;&gt;1,"—",INDEX(_book!$DR$2:$DR$379,MATCH(bkf_lob&amp;"|"&amp;bkf_bu&amp;"|"&amp;$A8,_book!$E$2:$E$379,0)))</f>
        <v>—</v>
      </c>
      <c r="R8" s="33">
        <f>SUMIFS(_book!$AC$2:$AC$379,_book!$C$2:$C$379,$A8,_book!$A$2:$A$379,bkc_lob,_book!$B$2:$B$379,bkc_bu)</f>
        <v>24</v>
      </c>
      <c r="S8" s="33">
        <f>SUMIFS(_book!$AD$2:$AD$379,_book!$C$2:$C$379,$A8,_book!$A$2:$A$379,bkc_lob,_book!$B$2:$B$379,bkc_bu)</f>
        <v>12</v>
      </c>
      <c r="T8" s="34">
        <f>IF(SUMIFS(_book!$F$2:$F$379,_book!$C$2:$C$379,$A8,_book!$A$2:$A$379,bkc_lob,_book!$B$2:$B$379,bkc_bu)=0,"—",SUMIFS(_book!$AH$2:$AH$379,_book!$C$2:$C$379,$A8,_book!$A$2:$A$379,bkc_lob,_book!$B$2:$B$379,bkc_bu)/SUMIFS(_book!$F$2:$F$379,_book!$C$2:$C$379,$A8,_book!$A$2:$A$379,bkc_lob,_book!$B$2:$B$379,bkc_bu))</f>
        <v>1.0551555555555554</v>
      </c>
      <c r="U8" s="34">
        <f>IF(SUMIFS(_book!$F$2:$F$379,_book!$C$2:$C$379,$A8,_book!$A$2:$A$379,bkc_lob,_book!$B$2:$B$379,bkc_bu)=0,"—",SUMIFS(_book!$AI$2:$AI$379,_book!$C$2:$C$379,$A8,_book!$A$2:$A$379,bkc_lob,_book!$B$2:$B$379,bkc_bu)/SUMIFS(_book!$F$2:$F$379,_book!$C$2:$C$379,$A8,_book!$A$2:$A$379,bkc_lob,_book!$B$2:$B$379,bkc_bu))</f>
        <v>1.0591696252723313</v>
      </c>
      <c r="V8" s="29">
        <f>IF(SUMIFS(_book!$F$2:$F$379,_book!$C$2:$C$379,$A8,_book!$A$2:$A$379,bkc_lob,_book!$B$2:$B$379,bkc_bu)=0,"—",SUMIFS(_book!$AJ$2:$AJ$379,_book!$C$2:$C$379,$A8,_book!$A$2:$A$379,bkc_lob,_book!$B$2:$B$379,bkc_bu)/SUMIFS(_book!$F$2:$F$379,_book!$C$2:$C$379,$A8,_book!$A$2:$A$379,bkc_lob,_book!$B$2:$B$379,bkc_bu))</f>
        <v>0.90161575246031622</v>
      </c>
      <c r="W8" s="35">
        <f>IF(SUMIFS(_book!$F$2:$F$379,_book!$C$2:$C$379,$A8,_book!$A$2:$A$379,bkc_lob,_book!$B$2:$B$379,bkc_bu)=0,"—",SUMIFS(_book!$AN$2:$AN$379,_book!$C$2:$C$379,$A8,_book!$A$2:$A$379,bkc_lob,_book!$B$2:$B$379,bkc_bu)/SUMIFS(_book!$F$2:$F$379,_book!$C$2:$C$379,$A8,_book!$A$2:$A$379,bkc_lob,_book!$B$2:$B$379,bkc_bu))</f>
        <v>0.64023747276688459</v>
      </c>
      <c r="X8" s="34">
        <f>IF(SUMIFS(_book!$F$2:$F$379,_book!$C$2:$C$379,$A8,_book!$A$2:$A$379,bkc_lob,_book!$B$2:$B$379,bkc_bu)=0,"—",SUMIFS(_book!$AK$2:$AK$379,_book!$C$2:$C$379,$A8,_book!$A$2:$A$379,bkc_lob,_book!$B$2:$B$379,bkc_bu)/SUMIFS(_book!$F$2:$F$379,_book!$C$2:$C$379,$A8,_book!$A$2:$A$379,bkc_lob,_book!$B$2:$B$379,bkc_bu))</f>
        <v>0.99631274847530726</v>
      </c>
      <c r="Y8" s="34">
        <f>IF(SUMIFS(_book!$F$2:$F$379,_book!$C$2:$C$379,$A8,_book!$A$2:$A$379,bkc_lob,_book!$B$2:$B$379,bkc_bu)=0,"—",SUMIFS(_book!$AL$2:$AL$379,_book!$C$2:$C$379,$A8,_book!$A$2:$A$379,bkc_lob,_book!$B$2:$B$379,bkc_bu)/SUMIFS(_book!$F$2:$F$379,_book!$C$2:$C$379,$A8,_book!$A$2:$A$379,bkc_lob,_book!$B$2:$B$379,bkc_bu))</f>
        <v>1.0037576523036658</v>
      </c>
      <c r="Z8" s="34">
        <f>IF(SUMIFS(_book!$F$2:$F$379,_book!$C$2:$C$379,$A8,_book!$A$2:$A$379,bkc_lob,_book!$B$2:$B$379,bkc_bu)=0,"—",SUMIFS(_book!$AM$2:$AM$379,_book!$C$2:$C$379,$A8,_book!$A$2:$A$379,bkc_lob,_book!$B$2:$B$379,bkc_bu)/SUMIFS(_book!$F$2:$F$379,_book!$C$2:$C$379,$A8,_book!$A$2:$A$379,bkc_lob,_book!$B$2:$B$379,bkc_bu))</f>
        <v>1</v>
      </c>
      <c r="AA8" s="36">
        <f>IF(COUNTIFS(_book!$D$2:$D$379,"?*",_book!$C$2:$C$379,$A8,_book!$A$2:$A$379,bkc_lob,_book!$B$2:$B$379,bkc_bu)=0,"",IF(COUNTIFS(_book!$D$2:$D$379,"?*",_book!$C$2:$C$379,$A8,_book!$A$2:$A$379,bkc_lob,_book!$B$2:$B$379,bkc_bu)=1,$W8*$X8*$Y8*$Z8,IF(SUMIFS(_book!$F$2:$F$379,_book!$C$2:$C$379,$A8,_book!$A$2:$A$379,bkc_lob,_book!$B$2:$B$379,bkc_bu)=0,"—",SUMIFS(_book!$AO$2:$AO$379,_book!$C$2:$C$379,$A8,_book!$A$2:$A$379,bkc_lob,_book!$B$2:$B$379,bkc_bu)/SUMIFS(_book!$F$2:$F$379,_book!$C$2:$C$379,$A8,_book!$A$2:$A$379,bkc_lob,_book!$B$2:$B$379,bkc_bu))))</f>
        <v>0.64024221094235145</v>
      </c>
      <c r="AB8" s="37">
        <f>IF(COUNTIFS(_book!$D$2:$D$379,"?*",_book!$C$2:$C$379,$A8,_book!$A$2:$A$379,bkc_lob,_book!$B$2:$B$379,bkc_bu)&lt;=1,"",($AA8-$W8*$X8*$Y8*$Z8)*100)</f>
        <v>-3.1464289182214777E-3</v>
      </c>
      <c r="AC8" s="31">
        <f>IF(SUMIFS(_book!$F$2:$F$379,_book!$C$2:$C$379,$A8,_book!$A$2:$A$379,bkc_lob,_book!$B$2:$B$379,bkc_bu)=0,"—",SUMIFS(_book!$AQ$2:$AQ$379,_book!$C$2:$C$379,$A8,_book!$A$2:$A$379,bkc_lob,_book!$B$2:$B$379,bkc_bu)/SUMIFS(_book!$F$2:$F$379,_book!$C$2:$C$379,$A8,_book!$A$2:$A$379,bkc_lob,_book!$B$2:$B$379,bkc_bu))</f>
        <v>0</v>
      </c>
      <c r="AD8" s="34">
        <f>IF(SUMIFS(_book!$F$2:$F$379,_book!$C$2:$C$379,$A8,_book!$A$2:$A$379,bkc_lob,_book!$B$2:$B$379,bkc_bu)=0,"—",SUMIFS(_book!$AR$2:$AR$379,_book!$C$2:$C$379,$A8,_book!$A$2:$A$379,bkc_lob,_book!$B$2:$B$379,bkc_bu)/SUMIFS(_book!$F$2:$F$379,_book!$C$2:$C$379,$A8,_book!$A$2:$A$379,bkc_lob,_book!$B$2:$B$379,bkc_bu))</f>
        <v>0.97351169085726497</v>
      </c>
      <c r="AE8" s="34">
        <f>IF(SUMIFS(_book!$F$2:$F$379,_book!$C$2:$C$379,$A8,_book!$A$2:$A$379,bkc_lob,_book!$B$2:$B$379,bkc_bu)=0,"—",SUMIFS(_book!$AS$2:$AS$379,_book!$C$2:$C$379,$A8,_book!$A$2:$A$379,bkc_lob,_book!$B$2:$B$379,bkc_bu)/SUMIFS(_book!$F$2:$F$379,_book!$C$2:$C$379,$A8,_book!$A$2:$A$379,bkc_lob,_book!$B$2:$B$379,bkc_bu))</f>
        <v>1.0024518694817717</v>
      </c>
      <c r="AF8" s="36">
        <f>IF(COUNTIFS(_book!$D$2:$D$379,"?*",_book!$C$2:$C$379,$A8,_book!$A$2:$A$379,bkc_lob,_book!$B$2:$B$379,bkc_bu)=0,"",IF(COUNTIFS(_book!$D$2:$D$379,"?*",_book!$C$2:$C$379,$A8,_book!$A$2:$A$379,bkc_lob,_book!$B$2:$B$379,bkc_bu)=1,$W8*(1+$AC8)*$AD8*$AE8*$Z8,IF(SUMIFS(_book!$F$2:$F$379,_book!$C$2:$C$379,$A8,_book!$A$2:$A$379,bkc_lob,_book!$B$2:$B$379,bkc_bu)=0,"—",SUMIFS(_book!$AP$2:$AP$379,_book!$C$2:$C$379,$A8,_book!$A$2:$A$379,bkc_lob,_book!$B$2:$B$379,bkc_bu)/SUMIFS(_book!$F$2:$F$379,_book!$C$2:$C$379,$A8,_book!$A$2:$A$379,bkc_lob,_book!$B$2:$B$379,bkc_bu))))</f>
        <v>0.62489153273140996</v>
      </c>
      <c r="AG8" s="31" t="str">
        <f>IF(COUNTIFS(_book!$D$2:$D$379,"?*",_book!$C$2:$C$379,$A8,_book!$A$2:$A$379,bkc_lob,_book!$B$2:$B$379,bkc_bu)=0,"",IF(SUMIFS(_book!$V$2:$V$379,_book!$C$2:$C$379,$A8,_book!$A$2:$A$379,bkc_lob,_book!$B$2:$B$379,bkc_bu)=0,"—",SUMIFS(_book!$W$2:$W$379,_book!$C$2:$C$379,$A8,_book!$A$2:$A$379,bkc_lob,_book!$B$2:$B$379,bkc_bu)/SUMIFS(_book!$V$2:$V$379,_book!$C$2:$C$379,$A8,_book!$A$2:$A$379,bkc_lob,_book!$B$2:$B$379,bkc_bu)))</f>
        <v>—</v>
      </c>
      <c r="AH8" s="35" t="str">
        <f>IF(SUMIFS(_book!$V$2:$V$379,_book!$C$2:$C$379,$A8,_book!$A$2:$A$379,bkc_lob,_book!$B$2:$B$379,bkc_bu)=0,"—",IF(SUMIFS(_book!$F$2:$F$379,_book!$C$2:$C$379,$A8,_book!$A$2:$A$379,bkc_lob,_book!$B$2:$B$379,bkc_bu)=0,"—",SUMIFS(_book!$AT$2:$AT$379,_book!$C$2:$C$379,$A8,_book!$A$2:$A$379,bkc_lob,_book!$B$2:$B$379,bkc_bu)/SUMIFS(_book!$F$2:$F$379,_book!$C$2:$C$379,$A8,_book!$A$2:$A$379,bkc_lob,_book!$B$2:$B$379,bkc_bu)))</f>
        <v>—</v>
      </c>
      <c r="AI8" s="38" t="str">
        <f>IF(SUMIFS(_book!$V$2:$V$379,_book!$C$2:$C$379,$A8,_book!$A$2:$A$379,bkc_lob,_book!$B$2:$B$379,bkc_bu)=0,"—",($AH8-$AA8)*100)</f>
        <v>—</v>
      </c>
    </row>
    <row r="9" spans="1:35" x14ac:dyDescent="0.3">
      <c r="A9" s="39" t="s">
        <v>46</v>
      </c>
      <c r="B9" s="40">
        <f>SUMIFS(_book!$F$2:$F$379,_book!$C$2:$C$379,$A9,_book!$A$2:$A$379,bkc_lob,_book!$B$2:$B$379,bkc_bu)</f>
        <v>1122000</v>
      </c>
      <c r="C9" s="41">
        <f>IF(SUMIFS(_book!$F$2:$F$379,_book!$C$2:$C$379,$A9,_book!$A$2:$A$379,bkc_lob,_book!$B$2:$B$379,bkc_bu)=0,"—",SUMIFS(_book!$AV$2:$AV$379,_book!$C$2:$C$379,$A9,_book!$A$2:$A$379,bkc_lob,_book!$B$2:$B$379,bkc_bu)/SUMIFS(_book!$F$2:$F$379,_book!$C$2:$C$379,$A9,_book!$A$2:$A$379,bkc_lob,_book!$B$2:$B$379,bkc_bu))</f>
        <v>0.9285882352941176</v>
      </c>
      <c r="D9" s="41">
        <f>IF(SUMIFS(_book!$F$2:$F$379,_book!$C$2:$C$379,$A9,_book!$A$2:$A$379,bkc_lob,_book!$B$2:$B$379,bkc_bu)=0,"—",SUMIFS(_book!$AW$2:$AW$379,_book!$C$2:$C$379,$A9,_book!$A$2:$A$379,bkc_lob,_book!$B$2:$B$379,bkc_bu)/SUMIFS(_book!$F$2:$F$379,_book!$C$2:$C$379,$A9,_book!$A$2:$A$379,bkc_lob,_book!$B$2:$B$379,bkc_bu))</f>
        <v>0.91858823529411759</v>
      </c>
      <c r="E9" s="41">
        <f>IF(SUMIFS(_book!$F$2:$F$379,_book!$C$2:$C$379,$A9,_book!$A$2:$A$379,bkc_lob,_book!$B$2:$B$379,bkc_bu)=0,"—",SUMIFS(_book!$AX$2:$AX$379,_book!$C$2:$C$379,$A9,_book!$A$2:$A$379,bkc_lob,_book!$B$2:$B$379,bkc_bu)/SUMIFS(_book!$F$2:$F$379,_book!$C$2:$C$379,$A9,_book!$A$2:$A$379,bkc_lob,_book!$B$2:$B$379,bkc_bu))</f>
        <v>0.9235882352941176</v>
      </c>
      <c r="F9" s="42" t="str">
        <f>IF(COUNTIFS(_book!$D$2:$D$379,"?*",_book!$C$2:$C$379,$A9,_book!$A$2:$A$379,bkc_lob,_book!$B$2:$B$379,bkc_bu)&lt;&gt;1,"—",INDEX(_book!$DG$2:$DG$379,MATCH(bkf_lob&amp;"|"&amp;bkf_bu&amp;"|"&amp;$A9,_book!$E$2:$E$379,0)))</f>
        <v>—</v>
      </c>
      <c r="G9" s="43" t="str">
        <f>IF(COUNTIFS(_book!$D$2:$D$379,"?*",_book!$C$2:$C$379,$A9,_book!$A$2:$A$379,bkc_lob,_book!$B$2:$B$379,bkc_bu)&lt;&gt;1,"—",INDEX(_book!$DH$2:$DH$379,MATCH(bkf_lob&amp;"|"&amp;bkf_bu&amp;"|"&amp;$A9,_book!$E$2:$E$379,0)))</f>
        <v>—</v>
      </c>
      <c r="H9" s="44" t="str">
        <f>IF(COUNTIFS(_book!$D$2:$D$379,"?*",_book!$C$2:$C$379,$A9,_book!$A$2:$A$379,bkc_lob,_book!$B$2:$B$379,bkc_bu)&lt;&gt;1,"—",INDEX(_book!$DI$2:$DI$379,MATCH(bkf_lob&amp;"|"&amp;bkf_bu&amp;"|"&amp;$A9,_book!$E$2:$E$379,0)))</f>
        <v>—</v>
      </c>
      <c r="I9" s="42" t="str">
        <f>IF(COUNTIFS(_book!$D$2:$D$379,"?*",_book!$C$2:$C$379,$A9,_book!$A$2:$A$379,bkc_lob,_book!$B$2:$B$379,bkc_bu)&lt;&gt;1,"—",INDEX(_book!$DJ$2:$DJ$379,MATCH(bkf_lob&amp;"|"&amp;bkf_bu&amp;"|"&amp;$A9,_book!$E$2:$E$379,0)))</f>
        <v>—</v>
      </c>
      <c r="J9" s="43" t="str">
        <f>IF(COUNTIFS(_book!$D$2:$D$379,"?*",_book!$C$2:$C$379,$A9,_book!$A$2:$A$379,bkc_lob,_book!$B$2:$B$379,bkc_bu)&lt;&gt;1,"—",INDEX(_book!$DK$2:$DK$379,MATCH(bkf_lob&amp;"|"&amp;bkf_bu&amp;"|"&amp;$A9,_book!$E$2:$E$379,0)))</f>
        <v>—</v>
      </c>
      <c r="K9" s="44" t="str">
        <f>IF(COUNTIFS(_book!$D$2:$D$379,"?*",_book!$C$2:$C$379,$A9,_book!$A$2:$A$379,bkc_lob,_book!$B$2:$B$379,bkc_bu)&lt;&gt;1,"—",INDEX(_book!$DL$2:$DL$379,MATCH(bkf_lob&amp;"|"&amp;bkf_bu&amp;"|"&amp;$A9,_book!$E$2:$E$379,0)))</f>
        <v>—</v>
      </c>
      <c r="L9" s="42" t="str">
        <f>IF(COUNTIFS(_book!$D$2:$D$379,"?*",_book!$C$2:$C$379,$A9,_book!$A$2:$A$379,bkc_lob,_book!$B$2:$B$379,bkc_bu)&lt;&gt;1,"—",INDEX(_book!$DM$2:$DM$379,MATCH(bkf_lob&amp;"|"&amp;bkf_bu&amp;"|"&amp;$A9,_book!$E$2:$E$379,0)))</f>
        <v>—</v>
      </c>
      <c r="M9" s="43" t="str">
        <f>IF(COUNTIFS(_book!$D$2:$D$379,"?*",_book!$C$2:$C$379,$A9,_book!$A$2:$A$379,bkc_lob,_book!$B$2:$B$379,bkc_bu)&lt;&gt;1,"—",INDEX(_book!$DN$2:$DN$379,MATCH(bkf_lob&amp;"|"&amp;bkf_bu&amp;"|"&amp;$A9,_book!$E$2:$E$379,0)))</f>
        <v>—</v>
      </c>
      <c r="N9" s="44" t="str">
        <f>IF(COUNTIFS(_book!$D$2:$D$379,"?*",_book!$C$2:$C$379,$A9,_book!$A$2:$A$379,bkc_lob,_book!$B$2:$B$379,bkc_bu)&lt;&gt;1,"—",INDEX(_book!$DO$2:$DO$379,MATCH(bkf_lob&amp;"|"&amp;bkf_bu&amp;"|"&amp;$A9,_book!$E$2:$E$379,0)))</f>
        <v>—</v>
      </c>
      <c r="O9" s="42" t="str">
        <f>IF(COUNTIFS(_book!$D$2:$D$379,"?*",_book!$C$2:$C$379,$A9,_book!$A$2:$A$379,bkc_lob,_book!$B$2:$B$379,bkc_bu)&lt;&gt;1,"—",INDEX(_book!$DP$2:$DP$379,MATCH(bkf_lob&amp;"|"&amp;bkf_bu&amp;"|"&amp;$A9,_book!$E$2:$E$379,0)))</f>
        <v>—</v>
      </c>
      <c r="P9" s="43" t="str">
        <f>IF(COUNTIFS(_book!$D$2:$D$379,"?*",_book!$C$2:$C$379,$A9,_book!$A$2:$A$379,bkc_lob,_book!$B$2:$B$379,bkc_bu)&lt;&gt;1,"—",INDEX(_book!$DQ$2:$DQ$379,MATCH(bkf_lob&amp;"|"&amp;bkf_bu&amp;"|"&amp;$A9,_book!$E$2:$E$379,0)))</f>
        <v>—</v>
      </c>
      <c r="Q9" s="44" t="str">
        <f>IF(COUNTIFS(_book!$D$2:$D$379,"?*",_book!$C$2:$C$379,$A9,_book!$A$2:$A$379,bkc_lob,_book!$B$2:$B$379,bkc_bu)&lt;&gt;1,"—",INDEX(_book!$DR$2:$DR$379,MATCH(bkf_lob&amp;"|"&amp;bkf_bu&amp;"|"&amp;$A9,_book!$E$2:$E$379,0)))</f>
        <v>—</v>
      </c>
      <c r="R9" s="45">
        <f>SUMIFS(_book!$AC$2:$AC$379,_book!$C$2:$C$379,$A9,_book!$A$2:$A$379,bkc_lob,_book!$B$2:$B$379,bkc_bu)</f>
        <v>18</v>
      </c>
      <c r="S9" s="45">
        <f>SUMIFS(_book!$AD$2:$AD$379,_book!$C$2:$C$379,$A9,_book!$A$2:$A$379,bkc_lob,_book!$B$2:$B$379,bkc_bu)</f>
        <v>6</v>
      </c>
      <c r="T9" s="46">
        <f>IF(SUMIFS(_book!$F$2:$F$379,_book!$C$2:$C$379,$A9,_book!$A$2:$A$379,bkc_lob,_book!$B$2:$B$379,bkc_bu)=0,"—",SUMIFS(_book!$AH$2:$AH$379,_book!$C$2:$C$379,$A9,_book!$A$2:$A$379,bkc_lob,_book!$B$2:$B$379,bkc_bu)/SUMIFS(_book!$F$2:$F$379,_book!$C$2:$C$379,$A9,_book!$A$2:$A$379,bkc_lob,_book!$B$2:$B$379,bkc_bu))</f>
        <v>1.0403030303030303</v>
      </c>
      <c r="U9" s="46">
        <f>IF(SUMIFS(_book!$F$2:$F$379,_book!$C$2:$C$379,$A9,_book!$A$2:$A$379,bkc_lob,_book!$B$2:$B$379,bkc_bu)=0,"—",SUMIFS(_book!$AI$2:$AI$379,_book!$C$2:$C$379,$A9,_book!$A$2:$A$379,bkc_lob,_book!$B$2:$B$379,bkc_bu)/SUMIFS(_book!$F$2:$F$379,_book!$C$2:$C$379,$A9,_book!$A$2:$A$379,bkc_lob,_book!$B$2:$B$379,bkc_bu))</f>
        <v>1.0386189584571199</v>
      </c>
      <c r="V9" s="41">
        <f>IF(SUMIFS(_book!$F$2:$F$379,_book!$C$2:$C$379,$A9,_book!$A$2:$A$379,bkc_lob,_book!$B$2:$B$379,bkc_bu)=0,"—",SUMIFS(_book!$AJ$2:$AJ$379,_book!$C$2:$C$379,$A9,_book!$A$2:$A$379,bkc_lob,_book!$B$2:$B$379,bkc_bu)/SUMIFS(_book!$F$2:$F$379,_book!$C$2:$C$379,$A9,_book!$A$2:$A$379,bkc_lob,_book!$B$2:$B$379,bkc_bu))</f>
        <v>0.91963311987814844</v>
      </c>
      <c r="W9" s="47">
        <f>IF(SUMIFS(_book!$F$2:$F$379,_book!$C$2:$C$379,$A9,_book!$A$2:$A$379,bkc_lob,_book!$B$2:$B$379,bkc_bu)=0,"—",SUMIFS(_book!$AN$2:$AN$379,_book!$C$2:$C$379,$A9,_book!$A$2:$A$379,bkc_lob,_book!$B$2:$B$379,bkc_bu)/SUMIFS(_book!$F$2:$F$379,_book!$C$2:$C$379,$A9,_book!$A$2:$A$379,bkc_lob,_book!$B$2:$B$379,bkc_bu))</f>
        <v>0.64250288770053476</v>
      </c>
      <c r="X9" s="46">
        <f>IF(SUMIFS(_book!$F$2:$F$379,_book!$C$2:$C$379,$A9,_book!$A$2:$A$379,bkc_lob,_book!$B$2:$B$379,bkc_bu)=0,"—",SUMIFS(_book!$AK$2:$AK$379,_book!$C$2:$C$379,$A9,_book!$A$2:$A$379,bkc_lob,_book!$B$2:$B$379,bkc_bu)/SUMIFS(_book!$F$2:$F$379,_book!$C$2:$C$379,$A9,_book!$A$2:$A$379,bkc_lob,_book!$B$2:$B$379,bkc_bu))</f>
        <v>1.0017141087658592</v>
      </c>
      <c r="Y9" s="46">
        <f>IF(SUMIFS(_book!$F$2:$F$379,_book!$C$2:$C$379,$A9,_book!$A$2:$A$379,bkc_lob,_book!$B$2:$B$379,bkc_bu)=0,"—",SUMIFS(_book!$AL$2:$AL$379,_book!$C$2:$C$379,$A9,_book!$A$2:$A$379,bkc_lob,_book!$B$2:$B$379,bkc_bu)/SUMIFS(_book!$F$2:$F$379,_book!$C$2:$C$379,$A9,_book!$A$2:$A$379,bkc_lob,_book!$B$2:$B$379,bkc_bu))</f>
        <v>1.0097775494285692</v>
      </c>
      <c r="Z9" s="46">
        <f>IF(SUMIFS(_book!$F$2:$F$379,_book!$C$2:$C$379,$A9,_book!$A$2:$A$379,bkc_lob,_book!$B$2:$B$379,bkc_bu)=0,"—",SUMIFS(_book!$AM$2:$AM$379,_book!$C$2:$C$379,$A9,_book!$A$2:$A$379,bkc_lob,_book!$B$2:$B$379,bkc_bu)/SUMIFS(_book!$F$2:$F$379,_book!$C$2:$C$379,$A9,_book!$A$2:$A$379,bkc_lob,_book!$B$2:$B$379,bkc_bu))</f>
        <v>1</v>
      </c>
      <c r="AA9" s="48">
        <f>IF(COUNTIFS(_book!$D$2:$D$379,"?*",_book!$C$2:$C$379,$A9,_book!$A$2:$A$379,bkc_lob,_book!$B$2:$B$379,bkc_bu)=0,"",IF(COUNTIFS(_book!$D$2:$D$379,"?*",_book!$C$2:$C$379,$A9,_book!$A$2:$A$379,bkc_lob,_book!$B$2:$B$379,bkc_bu)=1,$W9*$X9*$Y9*$Z9,IF(SUMIFS(_book!$F$2:$F$379,_book!$C$2:$C$379,$A9,_book!$A$2:$A$379,bkc_lob,_book!$B$2:$B$379,bkc_bu)=0,"—",SUMIFS(_book!$AO$2:$AO$379,_book!$C$2:$C$379,$A9,_book!$A$2:$A$379,bkc_lob,_book!$B$2:$B$379,bkc_bu)/SUMIFS(_book!$F$2:$F$379,_book!$C$2:$C$379,$A9,_book!$A$2:$A$379,bkc_lob,_book!$B$2:$B$379,bkc_bu))))</f>
        <v>0.6499759959194179</v>
      </c>
      <c r="AB9" s="49">
        <f>IF(COUNTIFS(_book!$D$2:$D$379,"?*",_book!$C$2:$C$379,$A9,_book!$A$2:$A$379,bkc_lob,_book!$B$2:$B$379,bkc_bu)&lt;=1,"",($AA9-$W9*$X9*$Y9*$Z9)*100)</f>
        <v>7.8916435402365259E-3</v>
      </c>
      <c r="AC9" s="43">
        <f>IF(SUMIFS(_book!$F$2:$F$379,_book!$C$2:$C$379,$A9,_book!$A$2:$A$379,bkc_lob,_book!$B$2:$B$379,bkc_bu)=0,"—",SUMIFS(_book!$AQ$2:$AQ$379,_book!$C$2:$C$379,$A9,_book!$A$2:$A$379,bkc_lob,_book!$B$2:$B$379,bkc_bu)/SUMIFS(_book!$F$2:$F$379,_book!$C$2:$C$379,$A9,_book!$A$2:$A$379,bkc_lob,_book!$B$2:$B$379,bkc_bu))</f>
        <v>3.3333333333333335E-3</v>
      </c>
      <c r="AD9" s="46">
        <f>IF(SUMIFS(_book!$F$2:$F$379,_book!$C$2:$C$379,$A9,_book!$A$2:$A$379,bkc_lob,_book!$B$2:$B$379,bkc_bu)=0,"—",SUMIFS(_book!$AR$2:$AR$379,_book!$C$2:$C$379,$A9,_book!$A$2:$A$379,bkc_lob,_book!$B$2:$B$379,bkc_bu)/SUMIFS(_book!$F$2:$F$379,_book!$C$2:$C$379,$A9,_book!$A$2:$A$379,bkc_lob,_book!$B$2:$B$379,bkc_bu))</f>
        <v>0.98780117815072499</v>
      </c>
      <c r="AE9" s="46">
        <f>IF(SUMIFS(_book!$F$2:$F$379,_book!$C$2:$C$379,$A9,_book!$A$2:$A$379,bkc_lob,_book!$B$2:$B$379,bkc_bu)=0,"—",SUMIFS(_book!$AS$2:$AS$379,_book!$C$2:$C$379,$A9,_book!$A$2:$A$379,bkc_lob,_book!$B$2:$B$379,bkc_bu)/SUMIFS(_book!$F$2:$F$379,_book!$C$2:$C$379,$A9,_book!$A$2:$A$379,bkc_lob,_book!$B$2:$B$379,bkc_bu))</f>
        <v>1.006144666980987</v>
      </c>
      <c r="AF9" s="48">
        <f>IF(COUNTIFS(_book!$D$2:$D$379,"?*",_book!$C$2:$C$379,$A9,_book!$A$2:$A$379,bkc_lob,_book!$B$2:$B$379,bkc_bu)=0,"",IF(COUNTIFS(_book!$D$2:$D$379,"?*",_book!$C$2:$C$379,$A9,_book!$A$2:$A$379,bkc_lob,_book!$B$2:$B$379,bkc_bu)=1,$W9*(1+$AC9)*$AD9*$AE9*$Z9,IF(SUMIFS(_book!$F$2:$F$379,_book!$C$2:$C$379,$A9,_book!$A$2:$A$379,bkc_lob,_book!$B$2:$B$379,bkc_bu)=0,"—",SUMIFS(_book!$AP$2:$AP$379,_book!$C$2:$C$379,$A9,_book!$A$2:$A$379,bkc_lob,_book!$B$2:$B$379,bkc_bu)/SUMIFS(_book!$F$2:$F$379,_book!$C$2:$C$379,$A9,_book!$A$2:$A$379,bkc_lob,_book!$B$2:$B$379,bkc_bu))))</f>
        <v>0.64081577125842459</v>
      </c>
      <c r="AG9" s="43" t="str">
        <f>IF(COUNTIFS(_book!$D$2:$D$379,"?*",_book!$C$2:$C$379,$A9,_book!$A$2:$A$379,bkc_lob,_book!$B$2:$B$379,bkc_bu)=0,"",IF(SUMIFS(_book!$V$2:$V$379,_book!$C$2:$C$379,$A9,_book!$A$2:$A$379,bkc_lob,_book!$B$2:$B$379,bkc_bu)=0,"—",SUMIFS(_book!$W$2:$W$379,_book!$C$2:$C$379,$A9,_book!$A$2:$A$379,bkc_lob,_book!$B$2:$B$379,bkc_bu)/SUMIFS(_book!$V$2:$V$379,_book!$C$2:$C$379,$A9,_book!$A$2:$A$379,bkc_lob,_book!$B$2:$B$379,bkc_bu)))</f>
        <v>—</v>
      </c>
      <c r="AH9" s="47" t="str">
        <f>IF(SUMIFS(_book!$V$2:$V$379,_book!$C$2:$C$379,$A9,_book!$A$2:$A$379,bkc_lob,_book!$B$2:$B$379,bkc_bu)=0,"—",IF(SUMIFS(_book!$F$2:$F$379,_book!$C$2:$C$379,$A9,_book!$A$2:$A$379,bkc_lob,_book!$B$2:$B$379,bkc_bu)=0,"—",SUMIFS(_book!$AT$2:$AT$379,_book!$C$2:$C$379,$A9,_book!$A$2:$A$379,bkc_lob,_book!$B$2:$B$379,bkc_bu)/SUMIFS(_book!$F$2:$F$379,_book!$C$2:$C$379,$A9,_book!$A$2:$A$379,bkc_lob,_book!$B$2:$B$379,bkc_bu)))</f>
        <v>—</v>
      </c>
      <c r="AI9" s="50" t="str">
        <f>IF(SUMIFS(_book!$V$2:$V$379,_book!$C$2:$C$379,$A9,_book!$A$2:$A$379,bkc_lob,_book!$B$2:$B$379,bkc_bu)=0,"—",($AH9-$AA9)*100)</f>
        <v>—</v>
      </c>
    </row>
    <row r="10" spans="1:35" x14ac:dyDescent="0.3">
      <c r="A10" s="27" t="s">
        <v>48</v>
      </c>
      <c r="B10" s="28">
        <f>SUMIFS(_book!$F$2:$F$379,_book!$C$2:$C$379,$A10,_book!$A$2:$A$379,bkc_lob,_book!$B$2:$B$379,bkc_bu)</f>
        <v>918000</v>
      </c>
      <c r="C10" s="29">
        <f>IF(SUMIFS(_book!$F$2:$F$379,_book!$C$2:$C$379,$A10,_book!$A$2:$A$379,bkc_lob,_book!$B$2:$B$379,bkc_bu)=0,"—",SUMIFS(_book!$AV$2:$AV$379,_book!$C$2:$C$379,$A10,_book!$A$2:$A$379,bkc_lob,_book!$B$2:$B$379,bkc_bu)/SUMIFS(_book!$F$2:$F$379,_book!$C$2:$C$379,$A10,_book!$A$2:$A$379,bkc_lob,_book!$B$2:$B$379,bkc_bu))</f>
        <v>0.9285882352941176</v>
      </c>
      <c r="D10" s="29">
        <f>IF(SUMIFS(_book!$F$2:$F$379,_book!$C$2:$C$379,$A10,_book!$A$2:$A$379,bkc_lob,_book!$B$2:$B$379,bkc_bu)=0,"—",SUMIFS(_book!$AW$2:$AW$379,_book!$C$2:$C$379,$A10,_book!$A$2:$A$379,bkc_lob,_book!$B$2:$B$379,bkc_bu)/SUMIFS(_book!$F$2:$F$379,_book!$C$2:$C$379,$A10,_book!$A$2:$A$379,bkc_lob,_book!$B$2:$B$379,bkc_bu))</f>
        <v>0.91858823529411759</v>
      </c>
      <c r="E10" s="29">
        <f>IF(SUMIFS(_book!$F$2:$F$379,_book!$C$2:$C$379,$A10,_book!$A$2:$A$379,bkc_lob,_book!$B$2:$B$379,bkc_bu)=0,"—",SUMIFS(_book!$AX$2:$AX$379,_book!$C$2:$C$379,$A10,_book!$A$2:$A$379,bkc_lob,_book!$B$2:$B$379,bkc_bu)/SUMIFS(_book!$F$2:$F$379,_book!$C$2:$C$379,$A10,_book!$A$2:$A$379,bkc_lob,_book!$B$2:$B$379,bkc_bu))</f>
        <v>0.93858823529411761</v>
      </c>
      <c r="F10" s="30" t="str">
        <f>IF(COUNTIFS(_book!$D$2:$D$379,"?*",_book!$C$2:$C$379,$A10,_book!$A$2:$A$379,bkc_lob,_book!$B$2:$B$379,bkc_bu)&lt;&gt;1,"—",INDEX(_book!$DG$2:$DG$379,MATCH(bkf_lob&amp;"|"&amp;bkf_bu&amp;"|"&amp;$A10,_book!$E$2:$E$379,0)))</f>
        <v>—</v>
      </c>
      <c r="G10" s="31" t="str">
        <f>IF(COUNTIFS(_book!$D$2:$D$379,"?*",_book!$C$2:$C$379,$A10,_book!$A$2:$A$379,bkc_lob,_book!$B$2:$B$379,bkc_bu)&lt;&gt;1,"—",INDEX(_book!$DH$2:$DH$379,MATCH(bkf_lob&amp;"|"&amp;bkf_bu&amp;"|"&amp;$A10,_book!$E$2:$E$379,0)))</f>
        <v>—</v>
      </c>
      <c r="H10" s="32" t="str">
        <f>IF(COUNTIFS(_book!$D$2:$D$379,"?*",_book!$C$2:$C$379,$A10,_book!$A$2:$A$379,bkc_lob,_book!$B$2:$B$379,bkc_bu)&lt;&gt;1,"—",INDEX(_book!$DI$2:$DI$379,MATCH(bkf_lob&amp;"|"&amp;bkf_bu&amp;"|"&amp;$A10,_book!$E$2:$E$379,0)))</f>
        <v>—</v>
      </c>
      <c r="I10" s="30" t="str">
        <f>IF(COUNTIFS(_book!$D$2:$D$379,"?*",_book!$C$2:$C$379,$A10,_book!$A$2:$A$379,bkc_lob,_book!$B$2:$B$379,bkc_bu)&lt;&gt;1,"—",INDEX(_book!$DJ$2:$DJ$379,MATCH(bkf_lob&amp;"|"&amp;bkf_bu&amp;"|"&amp;$A10,_book!$E$2:$E$379,0)))</f>
        <v>—</v>
      </c>
      <c r="J10" s="31" t="str">
        <f>IF(COUNTIFS(_book!$D$2:$D$379,"?*",_book!$C$2:$C$379,$A10,_book!$A$2:$A$379,bkc_lob,_book!$B$2:$B$379,bkc_bu)&lt;&gt;1,"—",INDEX(_book!$DK$2:$DK$379,MATCH(bkf_lob&amp;"|"&amp;bkf_bu&amp;"|"&amp;$A10,_book!$E$2:$E$379,0)))</f>
        <v>—</v>
      </c>
      <c r="K10" s="32" t="str">
        <f>IF(COUNTIFS(_book!$D$2:$D$379,"?*",_book!$C$2:$C$379,$A10,_book!$A$2:$A$379,bkc_lob,_book!$B$2:$B$379,bkc_bu)&lt;&gt;1,"—",INDEX(_book!$DL$2:$DL$379,MATCH(bkf_lob&amp;"|"&amp;bkf_bu&amp;"|"&amp;$A10,_book!$E$2:$E$379,0)))</f>
        <v>—</v>
      </c>
      <c r="L10" s="30" t="str">
        <f>IF(COUNTIFS(_book!$D$2:$D$379,"?*",_book!$C$2:$C$379,$A10,_book!$A$2:$A$379,bkc_lob,_book!$B$2:$B$379,bkc_bu)&lt;&gt;1,"—",INDEX(_book!$DM$2:$DM$379,MATCH(bkf_lob&amp;"|"&amp;bkf_bu&amp;"|"&amp;$A10,_book!$E$2:$E$379,0)))</f>
        <v>—</v>
      </c>
      <c r="M10" s="31" t="str">
        <f>IF(COUNTIFS(_book!$D$2:$D$379,"?*",_book!$C$2:$C$379,$A10,_book!$A$2:$A$379,bkc_lob,_book!$B$2:$B$379,bkc_bu)&lt;&gt;1,"—",INDEX(_book!$DN$2:$DN$379,MATCH(bkf_lob&amp;"|"&amp;bkf_bu&amp;"|"&amp;$A10,_book!$E$2:$E$379,0)))</f>
        <v>—</v>
      </c>
      <c r="N10" s="32" t="str">
        <f>IF(COUNTIFS(_book!$D$2:$D$379,"?*",_book!$C$2:$C$379,$A10,_book!$A$2:$A$379,bkc_lob,_book!$B$2:$B$379,bkc_bu)&lt;&gt;1,"—",INDEX(_book!$DO$2:$DO$379,MATCH(bkf_lob&amp;"|"&amp;bkf_bu&amp;"|"&amp;$A10,_book!$E$2:$E$379,0)))</f>
        <v>—</v>
      </c>
      <c r="O10" s="30" t="str">
        <f>IF(COUNTIFS(_book!$D$2:$D$379,"?*",_book!$C$2:$C$379,$A10,_book!$A$2:$A$379,bkc_lob,_book!$B$2:$B$379,bkc_bu)&lt;&gt;1,"—",INDEX(_book!$DP$2:$DP$379,MATCH(bkf_lob&amp;"|"&amp;bkf_bu&amp;"|"&amp;$A10,_book!$E$2:$E$379,0)))</f>
        <v>—</v>
      </c>
      <c r="P10" s="31" t="str">
        <f>IF(COUNTIFS(_book!$D$2:$D$379,"?*",_book!$C$2:$C$379,$A10,_book!$A$2:$A$379,bkc_lob,_book!$B$2:$B$379,bkc_bu)&lt;&gt;1,"—",INDEX(_book!$DQ$2:$DQ$379,MATCH(bkf_lob&amp;"|"&amp;bkf_bu&amp;"|"&amp;$A10,_book!$E$2:$E$379,0)))</f>
        <v>—</v>
      </c>
      <c r="Q10" s="32" t="str">
        <f>IF(COUNTIFS(_book!$D$2:$D$379,"?*",_book!$C$2:$C$379,$A10,_book!$A$2:$A$379,bkc_lob,_book!$B$2:$B$379,bkc_bu)&lt;&gt;1,"—",INDEX(_book!$DR$2:$DR$379,MATCH(bkf_lob&amp;"|"&amp;bkf_bu&amp;"|"&amp;$A10,_book!$E$2:$E$379,0)))</f>
        <v>—</v>
      </c>
      <c r="R10" s="33">
        <f>SUMIFS(_book!$AC$2:$AC$379,_book!$C$2:$C$379,$A10,_book!$A$2:$A$379,bkc_lob,_book!$B$2:$B$379,bkc_bu)</f>
        <v>6</v>
      </c>
      <c r="S10" s="33">
        <f>SUMIFS(_book!$AD$2:$AD$379,_book!$C$2:$C$379,$A10,_book!$A$2:$A$379,bkc_lob,_book!$B$2:$B$379,bkc_bu)</f>
        <v>6</v>
      </c>
      <c r="T10" s="34">
        <f>IF(SUMIFS(_book!$F$2:$F$379,_book!$C$2:$C$379,$A10,_book!$A$2:$A$379,bkc_lob,_book!$B$2:$B$379,bkc_bu)=0,"—",SUMIFS(_book!$AH$2:$AH$379,_book!$C$2:$C$379,$A10,_book!$A$2:$A$379,bkc_lob,_book!$B$2:$B$379,bkc_bu)/SUMIFS(_book!$F$2:$F$379,_book!$C$2:$C$379,$A10,_book!$A$2:$A$379,bkc_lob,_book!$B$2:$B$379,bkc_bu))</f>
        <v>1.0166666666666666</v>
      </c>
      <c r="U10" s="34">
        <f>IF(SUMIFS(_book!$F$2:$F$379,_book!$C$2:$C$379,$A10,_book!$A$2:$A$379,bkc_lob,_book!$B$2:$B$379,bkc_bu)=0,"—",SUMIFS(_book!$AI$2:$AI$379,_book!$C$2:$C$379,$A10,_book!$A$2:$A$379,bkc_lob,_book!$B$2:$B$379,bkc_bu)/SUMIFS(_book!$F$2:$F$379,_book!$C$2:$C$379,$A10,_book!$A$2:$A$379,bkc_lob,_book!$B$2:$B$379,bkc_bu))</f>
        <v>1.018345805660974</v>
      </c>
      <c r="V10" s="29">
        <f>IF(SUMIFS(_book!$F$2:$F$379,_book!$C$2:$C$379,$A10,_book!$A$2:$A$379,bkc_lob,_book!$B$2:$B$379,bkc_bu)=0,"—",SUMIFS(_book!$AJ$2:$AJ$379,_book!$C$2:$C$379,$A10,_book!$A$2:$A$379,bkc_lob,_book!$B$2:$B$379,bkc_bu)/SUMIFS(_book!$F$2:$F$379,_book!$C$2:$C$379,$A10,_book!$A$2:$A$379,bkc_lob,_book!$B$2:$B$379,bkc_bu))</f>
        <v>0.92497176211301757</v>
      </c>
      <c r="W10" s="35">
        <f>IF(SUMIFS(_book!$F$2:$F$379,_book!$C$2:$C$379,$A10,_book!$A$2:$A$379,bkc_lob,_book!$B$2:$B$379,bkc_bu)=0,"—",SUMIFS(_book!$AN$2:$AN$379,_book!$C$2:$C$379,$A10,_book!$A$2:$A$379,bkc_lob,_book!$B$2:$B$379,bkc_bu)/SUMIFS(_book!$F$2:$F$379,_book!$C$2:$C$379,$A10,_book!$A$2:$A$379,bkc_lob,_book!$B$2:$B$379,bkc_bu))</f>
        <v>0.62481699346405228</v>
      </c>
      <c r="X10" s="34">
        <f>IF(SUMIFS(_book!$F$2:$F$379,_book!$C$2:$C$379,$A10,_book!$A$2:$A$379,bkc_lob,_book!$B$2:$B$379,bkc_bu)=0,"—",SUMIFS(_book!$AK$2:$AK$379,_book!$C$2:$C$379,$A10,_book!$A$2:$A$379,bkc_lob,_book!$B$2:$B$379,bkc_bu)/SUMIFS(_book!$F$2:$F$379,_book!$C$2:$C$379,$A10,_book!$A$2:$A$379,bkc_lob,_book!$B$2:$B$379,bkc_bu))</f>
        <v>0.99840915230712024</v>
      </c>
      <c r="Y10" s="34">
        <f>IF(SUMIFS(_book!$F$2:$F$379,_book!$C$2:$C$379,$A10,_book!$A$2:$A$379,bkc_lob,_book!$B$2:$B$379,bkc_bu)=0,"—",SUMIFS(_book!$AL$2:$AL$379,_book!$C$2:$C$379,$A10,_book!$A$2:$A$379,bkc_lob,_book!$B$2:$B$379,bkc_bu)/SUMIFS(_book!$F$2:$F$379,_book!$C$2:$C$379,$A10,_book!$A$2:$A$379,bkc_lob,_book!$B$2:$B$379,bkc_bu))</f>
        <v>1.0039480770928413</v>
      </c>
      <c r="Z10" s="34">
        <f>IF(SUMIFS(_book!$F$2:$F$379,_book!$C$2:$C$379,$A10,_book!$A$2:$A$379,bkc_lob,_book!$B$2:$B$379,bkc_bu)=0,"—",SUMIFS(_book!$AM$2:$AM$379,_book!$C$2:$C$379,$A10,_book!$A$2:$A$379,bkc_lob,_book!$B$2:$B$379,bkc_bu)/SUMIFS(_book!$F$2:$F$379,_book!$C$2:$C$379,$A10,_book!$A$2:$A$379,bkc_lob,_book!$B$2:$B$379,bkc_bu))</f>
        <v>1.0066666666666666</v>
      </c>
      <c r="AA10" s="36">
        <f>IF(COUNTIFS(_book!$D$2:$D$379,"?*",_book!$C$2:$C$379,$A10,_book!$A$2:$A$379,bkc_lob,_book!$B$2:$B$379,bkc_bu)=0,"",IF(COUNTIFS(_book!$D$2:$D$379,"?*",_book!$C$2:$C$379,$A10,_book!$A$2:$A$379,bkc_lob,_book!$B$2:$B$379,bkc_bu)=1,$W10*$X10*$Y10*$Z10,IF(SUMIFS(_book!$F$2:$F$379,_book!$C$2:$C$379,$A10,_book!$A$2:$A$379,bkc_lob,_book!$B$2:$B$379,bkc_bu)=0,"—",SUMIFS(_book!$AO$2:$AO$379,_book!$C$2:$C$379,$A10,_book!$A$2:$A$379,bkc_lob,_book!$B$2:$B$379,bkc_bu)/SUMIFS(_book!$F$2:$F$379,_book!$C$2:$C$379,$A10,_book!$A$2:$A$379,bkc_lob,_book!$B$2:$B$379,bkc_bu))))</f>
        <v>0.6304937738222478</v>
      </c>
      <c r="AB10" s="37">
        <f>IF(COUNTIFS(_book!$D$2:$D$379,"?*",_book!$C$2:$C$379,$A10,_book!$A$2:$A$379,bkc_lob,_book!$B$2:$B$379,bkc_bu)&lt;=1,"",($AA10-$W10*$X10*$Y10*$Z10)*100)</f>
        <v>3.2628341470108957E-3</v>
      </c>
      <c r="AC10" s="31">
        <f>IF(SUMIFS(_book!$F$2:$F$379,_book!$C$2:$C$379,$A10,_book!$A$2:$A$379,bkc_lob,_book!$B$2:$B$379,bkc_bu)=0,"—",SUMIFS(_book!$AQ$2:$AQ$379,_book!$C$2:$C$379,$A10,_book!$A$2:$A$379,bkc_lob,_book!$B$2:$B$379,bkc_bu)/SUMIFS(_book!$F$2:$F$379,_book!$C$2:$C$379,$A10,_book!$A$2:$A$379,bkc_lob,_book!$B$2:$B$379,bkc_bu))</f>
        <v>0</v>
      </c>
      <c r="AD10" s="34">
        <f>IF(SUMIFS(_book!$F$2:$F$379,_book!$C$2:$C$379,$A10,_book!$A$2:$A$379,bkc_lob,_book!$B$2:$B$379,bkc_bu)=0,"—",SUMIFS(_book!$AR$2:$AR$379,_book!$C$2:$C$379,$A10,_book!$A$2:$A$379,bkc_lob,_book!$B$2:$B$379,bkc_bu)/SUMIFS(_book!$F$2:$F$379,_book!$C$2:$C$379,$A10,_book!$A$2:$A$379,bkc_lob,_book!$B$2:$B$379,bkc_bu))</f>
        <v>0.99091832344268005</v>
      </c>
      <c r="AE10" s="34">
        <f>IF(SUMIFS(_book!$F$2:$F$379,_book!$C$2:$C$379,$A10,_book!$A$2:$A$379,bkc_lob,_book!$B$2:$B$379,bkc_bu)=0,"—",SUMIFS(_book!$AS$2:$AS$379,_book!$C$2:$C$379,$A10,_book!$A$2:$A$379,bkc_lob,_book!$B$2:$B$379,bkc_bu)/SUMIFS(_book!$F$2:$F$379,_book!$C$2:$C$379,$A10,_book!$A$2:$A$379,bkc_lob,_book!$B$2:$B$379,bkc_bu))</f>
        <v>0.98557249302617989</v>
      </c>
      <c r="AF10" s="36">
        <f>IF(COUNTIFS(_book!$D$2:$D$379,"?*",_book!$C$2:$C$379,$A10,_book!$A$2:$A$379,bkc_lob,_book!$B$2:$B$379,bkc_bu)=0,"",IF(COUNTIFS(_book!$D$2:$D$379,"?*",_book!$C$2:$C$379,$A10,_book!$A$2:$A$379,bkc_lob,_book!$B$2:$B$379,bkc_bu)=1,$W10*(1+$AC10)*$AD10*$AE10*$Z10,IF(SUMIFS(_book!$F$2:$F$379,_book!$C$2:$C$379,$A10,_book!$A$2:$A$379,bkc_lob,_book!$B$2:$B$379,bkc_bu)=0,"—",SUMIFS(_book!$AP$2:$AP$379,_book!$C$2:$C$379,$A10,_book!$A$2:$A$379,bkc_lob,_book!$B$2:$B$379,bkc_bu)/SUMIFS(_book!$F$2:$F$379,_book!$C$2:$C$379,$A10,_book!$A$2:$A$379,bkc_lob,_book!$B$2:$B$379,bkc_bu))))</f>
        <v>0.6140977501980297</v>
      </c>
      <c r="AG10" s="31" t="str">
        <f>IF(COUNTIFS(_book!$D$2:$D$379,"?*",_book!$C$2:$C$379,$A10,_book!$A$2:$A$379,bkc_lob,_book!$B$2:$B$379,bkc_bu)=0,"",IF(SUMIFS(_book!$V$2:$V$379,_book!$C$2:$C$379,$A10,_book!$A$2:$A$379,bkc_lob,_book!$B$2:$B$379,bkc_bu)=0,"—",SUMIFS(_book!$W$2:$W$379,_book!$C$2:$C$379,$A10,_book!$A$2:$A$379,bkc_lob,_book!$B$2:$B$379,bkc_bu)/SUMIFS(_book!$V$2:$V$379,_book!$C$2:$C$379,$A10,_book!$A$2:$A$379,bkc_lob,_book!$B$2:$B$379,bkc_bu)))</f>
        <v>—</v>
      </c>
      <c r="AH10" s="35" t="str">
        <f>IF(SUMIFS(_book!$V$2:$V$379,_book!$C$2:$C$379,$A10,_book!$A$2:$A$379,bkc_lob,_book!$B$2:$B$379,bkc_bu)=0,"—",IF(SUMIFS(_book!$F$2:$F$379,_book!$C$2:$C$379,$A10,_book!$A$2:$A$379,bkc_lob,_book!$B$2:$B$379,bkc_bu)=0,"—",SUMIFS(_book!$AT$2:$AT$379,_book!$C$2:$C$379,$A10,_book!$A$2:$A$379,bkc_lob,_book!$B$2:$B$379,bkc_bu)/SUMIFS(_book!$F$2:$F$379,_book!$C$2:$C$379,$A10,_book!$A$2:$A$379,bkc_lob,_book!$B$2:$B$379,bkc_bu)))</f>
        <v>—</v>
      </c>
      <c r="AI10" s="38" t="str">
        <f>IF(SUMIFS(_book!$V$2:$V$379,_book!$C$2:$C$379,$A10,_book!$A$2:$A$379,bkc_lob,_book!$B$2:$B$379,bkc_bu)=0,"—",($AH10-$AA10)*100)</f>
        <v>—</v>
      </c>
    </row>
    <row r="11" spans="1:35" x14ac:dyDescent="0.3">
      <c r="A11" s="39" t="s">
        <v>50</v>
      </c>
      <c r="B11" s="40">
        <f>SUMIFS(_book!$F$2:$F$379,_book!$C$2:$C$379,$A11,_book!$A$2:$A$379,bkc_lob,_book!$B$2:$B$379,bkc_bu)</f>
        <v>714000</v>
      </c>
      <c r="C11" s="41">
        <f>IF(SUMIFS(_book!$F$2:$F$379,_book!$C$2:$C$379,$A11,_book!$A$2:$A$379,bkc_lob,_book!$B$2:$B$379,bkc_bu)=0,"—",SUMIFS(_book!$AV$2:$AV$379,_book!$C$2:$C$379,$A11,_book!$A$2:$A$379,bkc_lob,_book!$B$2:$B$379,bkc_bu)/SUMIFS(_book!$F$2:$F$379,_book!$C$2:$C$379,$A11,_book!$A$2:$A$379,bkc_lob,_book!$B$2:$B$379,bkc_bu))</f>
        <v>0.9285882352941176</v>
      </c>
      <c r="D11" s="41">
        <f>IF(SUMIFS(_book!$F$2:$F$379,_book!$C$2:$C$379,$A11,_book!$A$2:$A$379,bkc_lob,_book!$B$2:$B$379,bkc_bu)=0,"—",SUMIFS(_book!$AW$2:$AW$379,_book!$C$2:$C$379,$A11,_book!$A$2:$A$379,bkc_lob,_book!$B$2:$B$379,bkc_bu)/SUMIFS(_book!$F$2:$F$379,_book!$C$2:$C$379,$A11,_book!$A$2:$A$379,bkc_lob,_book!$B$2:$B$379,bkc_bu))</f>
        <v>0.92168347338935575</v>
      </c>
      <c r="E11" s="41">
        <f>IF(SUMIFS(_book!$F$2:$F$379,_book!$C$2:$C$379,$A11,_book!$A$2:$A$379,bkc_lob,_book!$B$2:$B$379,bkc_bu)=0,"—",SUMIFS(_book!$AX$2:$AX$379,_book!$C$2:$C$379,$A11,_book!$A$2:$A$379,bkc_lob,_book!$B$2:$B$379,bkc_bu)/SUMIFS(_book!$F$2:$F$379,_book!$C$2:$C$379,$A11,_book!$A$2:$A$379,bkc_lob,_book!$B$2:$B$379,bkc_bu))</f>
        <v>0.92168347338935575</v>
      </c>
      <c r="F11" s="42" t="str">
        <f>IF(COUNTIFS(_book!$D$2:$D$379,"?*",_book!$C$2:$C$379,$A11,_book!$A$2:$A$379,bkc_lob,_book!$B$2:$B$379,bkc_bu)&lt;&gt;1,"—",INDEX(_book!$DG$2:$DG$379,MATCH(bkf_lob&amp;"|"&amp;bkf_bu&amp;"|"&amp;$A11,_book!$E$2:$E$379,0)))</f>
        <v>—</v>
      </c>
      <c r="G11" s="43" t="str">
        <f>IF(COUNTIFS(_book!$D$2:$D$379,"?*",_book!$C$2:$C$379,$A11,_book!$A$2:$A$379,bkc_lob,_book!$B$2:$B$379,bkc_bu)&lt;&gt;1,"—",INDEX(_book!$DH$2:$DH$379,MATCH(bkf_lob&amp;"|"&amp;bkf_bu&amp;"|"&amp;$A11,_book!$E$2:$E$379,0)))</f>
        <v>—</v>
      </c>
      <c r="H11" s="44" t="str">
        <f>IF(COUNTIFS(_book!$D$2:$D$379,"?*",_book!$C$2:$C$379,$A11,_book!$A$2:$A$379,bkc_lob,_book!$B$2:$B$379,bkc_bu)&lt;&gt;1,"—",INDEX(_book!$DI$2:$DI$379,MATCH(bkf_lob&amp;"|"&amp;bkf_bu&amp;"|"&amp;$A11,_book!$E$2:$E$379,0)))</f>
        <v>—</v>
      </c>
      <c r="I11" s="42" t="str">
        <f>IF(COUNTIFS(_book!$D$2:$D$379,"?*",_book!$C$2:$C$379,$A11,_book!$A$2:$A$379,bkc_lob,_book!$B$2:$B$379,bkc_bu)&lt;&gt;1,"—",INDEX(_book!$DJ$2:$DJ$379,MATCH(bkf_lob&amp;"|"&amp;bkf_bu&amp;"|"&amp;$A11,_book!$E$2:$E$379,0)))</f>
        <v>—</v>
      </c>
      <c r="J11" s="43" t="str">
        <f>IF(COUNTIFS(_book!$D$2:$D$379,"?*",_book!$C$2:$C$379,$A11,_book!$A$2:$A$379,bkc_lob,_book!$B$2:$B$379,bkc_bu)&lt;&gt;1,"—",INDEX(_book!$DK$2:$DK$379,MATCH(bkf_lob&amp;"|"&amp;bkf_bu&amp;"|"&amp;$A11,_book!$E$2:$E$379,0)))</f>
        <v>—</v>
      </c>
      <c r="K11" s="44" t="str">
        <f>IF(COUNTIFS(_book!$D$2:$D$379,"?*",_book!$C$2:$C$379,$A11,_book!$A$2:$A$379,bkc_lob,_book!$B$2:$B$379,bkc_bu)&lt;&gt;1,"—",INDEX(_book!$DL$2:$DL$379,MATCH(bkf_lob&amp;"|"&amp;bkf_bu&amp;"|"&amp;$A11,_book!$E$2:$E$379,0)))</f>
        <v>—</v>
      </c>
      <c r="L11" s="42" t="str">
        <f>IF(COUNTIFS(_book!$D$2:$D$379,"?*",_book!$C$2:$C$379,$A11,_book!$A$2:$A$379,bkc_lob,_book!$B$2:$B$379,bkc_bu)&lt;&gt;1,"—",INDEX(_book!$DM$2:$DM$379,MATCH(bkf_lob&amp;"|"&amp;bkf_bu&amp;"|"&amp;$A11,_book!$E$2:$E$379,0)))</f>
        <v>—</v>
      </c>
      <c r="M11" s="43" t="str">
        <f>IF(COUNTIFS(_book!$D$2:$D$379,"?*",_book!$C$2:$C$379,$A11,_book!$A$2:$A$379,bkc_lob,_book!$B$2:$B$379,bkc_bu)&lt;&gt;1,"—",INDEX(_book!$DN$2:$DN$379,MATCH(bkf_lob&amp;"|"&amp;bkf_bu&amp;"|"&amp;$A11,_book!$E$2:$E$379,0)))</f>
        <v>—</v>
      </c>
      <c r="N11" s="44" t="str">
        <f>IF(COUNTIFS(_book!$D$2:$D$379,"?*",_book!$C$2:$C$379,$A11,_book!$A$2:$A$379,bkc_lob,_book!$B$2:$B$379,bkc_bu)&lt;&gt;1,"—",INDEX(_book!$DO$2:$DO$379,MATCH(bkf_lob&amp;"|"&amp;bkf_bu&amp;"|"&amp;$A11,_book!$E$2:$E$379,0)))</f>
        <v>—</v>
      </c>
      <c r="O11" s="42" t="str">
        <f>IF(COUNTIFS(_book!$D$2:$D$379,"?*",_book!$C$2:$C$379,$A11,_book!$A$2:$A$379,bkc_lob,_book!$B$2:$B$379,bkc_bu)&lt;&gt;1,"—",INDEX(_book!$DP$2:$DP$379,MATCH(bkf_lob&amp;"|"&amp;bkf_bu&amp;"|"&amp;$A11,_book!$E$2:$E$379,0)))</f>
        <v>—</v>
      </c>
      <c r="P11" s="43" t="str">
        <f>IF(COUNTIFS(_book!$D$2:$D$379,"?*",_book!$C$2:$C$379,$A11,_book!$A$2:$A$379,bkc_lob,_book!$B$2:$B$379,bkc_bu)&lt;&gt;1,"—",INDEX(_book!$DQ$2:$DQ$379,MATCH(bkf_lob&amp;"|"&amp;bkf_bu&amp;"|"&amp;$A11,_book!$E$2:$E$379,0)))</f>
        <v>—</v>
      </c>
      <c r="Q11" s="44" t="str">
        <f>IF(COUNTIFS(_book!$D$2:$D$379,"?*",_book!$C$2:$C$379,$A11,_book!$A$2:$A$379,bkc_lob,_book!$B$2:$B$379,bkc_bu)&lt;&gt;1,"—",INDEX(_book!$DR$2:$DR$379,MATCH(bkf_lob&amp;"|"&amp;bkf_bu&amp;"|"&amp;$A11,_book!$E$2:$E$379,0)))</f>
        <v>—</v>
      </c>
      <c r="R11" s="45">
        <f>SUMIFS(_book!$AC$2:$AC$379,_book!$C$2:$C$379,$A11,_book!$A$2:$A$379,bkc_lob,_book!$B$2:$B$379,bkc_bu)</f>
        <v>18</v>
      </c>
      <c r="S11" s="45">
        <f>SUMIFS(_book!$AD$2:$AD$379,_book!$C$2:$C$379,$A11,_book!$A$2:$A$379,bkc_lob,_book!$B$2:$B$379,bkc_bu)</f>
        <v>12</v>
      </c>
      <c r="T11" s="46">
        <f>IF(SUMIFS(_book!$F$2:$F$379,_book!$C$2:$C$379,$A11,_book!$A$2:$A$379,bkc_lob,_book!$B$2:$B$379,bkc_bu)=0,"—",SUMIFS(_book!$AH$2:$AH$379,_book!$C$2:$C$379,$A11,_book!$A$2:$A$379,bkc_lob,_book!$B$2:$B$379,bkc_bu)/SUMIFS(_book!$F$2:$F$379,_book!$C$2:$C$379,$A11,_book!$A$2:$A$379,bkc_lob,_book!$B$2:$B$379,bkc_bu))</f>
        <v>1.0492857142857144</v>
      </c>
      <c r="U11" s="46">
        <f>IF(SUMIFS(_book!$F$2:$F$379,_book!$C$2:$C$379,$A11,_book!$A$2:$A$379,bkc_lob,_book!$B$2:$B$379,bkc_bu)=0,"—",SUMIFS(_book!$AI$2:$AI$379,_book!$C$2:$C$379,$A11,_book!$A$2:$A$379,bkc_lob,_book!$B$2:$B$379,bkc_bu)/SUMIFS(_book!$F$2:$F$379,_book!$C$2:$C$379,$A11,_book!$A$2:$A$379,bkc_lob,_book!$B$2:$B$379,bkc_bu))</f>
        <v>1.0484470245098039</v>
      </c>
      <c r="V11" s="41">
        <f>IF(SUMIFS(_book!$F$2:$F$379,_book!$C$2:$C$379,$A11,_book!$A$2:$A$379,bkc_lob,_book!$B$2:$B$379,bkc_bu)=0,"—",SUMIFS(_book!$AJ$2:$AJ$379,_book!$C$2:$C$379,$A11,_book!$A$2:$A$379,bkc_lob,_book!$B$2:$B$379,bkc_bu)/SUMIFS(_book!$F$2:$F$379,_book!$C$2:$C$379,$A11,_book!$A$2:$A$379,bkc_lob,_book!$B$2:$B$379,bkc_bu))</f>
        <v>0.92168347338935575</v>
      </c>
      <c r="W11" s="47">
        <f>IF(SUMIFS(_book!$F$2:$F$379,_book!$C$2:$C$379,$A11,_book!$A$2:$A$379,bkc_lob,_book!$B$2:$B$379,bkc_bu)=0,"—",SUMIFS(_book!$AN$2:$AN$379,_book!$C$2:$C$379,$A11,_book!$A$2:$A$379,bkc_lob,_book!$B$2:$B$379,bkc_bu)/SUMIFS(_book!$F$2:$F$379,_book!$C$2:$C$379,$A11,_book!$A$2:$A$379,bkc_lob,_book!$B$2:$B$379,bkc_bu))</f>
        <v>0.6380868347338936</v>
      </c>
      <c r="X11" s="46">
        <f>IF(SUMIFS(_book!$F$2:$F$379,_book!$C$2:$C$379,$A11,_book!$A$2:$A$379,bkc_lob,_book!$B$2:$B$379,bkc_bu)=0,"—",SUMIFS(_book!$AK$2:$AK$379,_book!$C$2:$C$379,$A11,_book!$A$2:$A$379,bkc_lob,_book!$B$2:$B$379,bkc_bu)/SUMIFS(_book!$F$2:$F$379,_book!$C$2:$C$379,$A11,_book!$A$2:$A$379,bkc_lob,_book!$B$2:$B$379,bkc_bu))</f>
        <v>1.0007706094470166</v>
      </c>
      <c r="Y11" s="46">
        <f>IF(SUMIFS(_book!$F$2:$F$379,_book!$C$2:$C$379,$A11,_book!$A$2:$A$379,bkc_lob,_book!$B$2:$B$379,bkc_bu)=0,"—",SUMIFS(_book!$AL$2:$AL$379,_book!$C$2:$C$379,$A11,_book!$A$2:$A$379,bkc_lob,_book!$B$2:$B$379,bkc_bu)/SUMIFS(_book!$F$2:$F$379,_book!$C$2:$C$379,$A11,_book!$A$2:$A$379,bkc_lob,_book!$B$2:$B$379,bkc_bu))</f>
        <v>1.0075477088664972</v>
      </c>
      <c r="Z11" s="46">
        <f>IF(SUMIFS(_book!$F$2:$F$379,_book!$C$2:$C$379,$A11,_book!$A$2:$A$379,bkc_lob,_book!$B$2:$B$379,bkc_bu)=0,"—",SUMIFS(_book!$AM$2:$AM$379,_book!$C$2:$C$379,$A11,_book!$A$2:$A$379,bkc_lob,_book!$B$2:$B$379,bkc_bu)/SUMIFS(_book!$F$2:$F$379,_book!$C$2:$C$379,$A11,_book!$A$2:$A$379,bkc_lob,_book!$B$2:$B$379,bkc_bu))</f>
        <v>1</v>
      </c>
      <c r="AA11" s="48">
        <f>IF(COUNTIFS(_book!$D$2:$D$379,"?*",_book!$C$2:$C$379,$A11,_book!$A$2:$A$379,bkc_lob,_book!$B$2:$B$379,bkc_bu)=0,"",IF(COUNTIFS(_book!$D$2:$D$379,"?*",_book!$C$2:$C$379,$A11,_book!$A$2:$A$379,bkc_lob,_book!$B$2:$B$379,bkc_bu)=1,$W11*$X11*$Y11*$Z11,IF(SUMIFS(_book!$F$2:$F$379,_book!$C$2:$C$379,$A11,_book!$A$2:$A$379,bkc_lob,_book!$B$2:$B$379,bkc_bu)=0,"—",SUMIFS(_book!$AO$2:$AO$379,_book!$C$2:$C$379,$A11,_book!$A$2:$A$379,bkc_lob,_book!$B$2:$B$379,bkc_bu)/SUMIFS(_book!$F$2:$F$379,_book!$C$2:$C$379,$A11,_book!$A$2:$A$379,bkc_lob,_book!$B$2:$B$379,bkc_bu))))</f>
        <v>0.64337359294939123</v>
      </c>
      <c r="AB11" s="49">
        <f>IF(COUNTIFS(_book!$D$2:$D$379,"?*",_book!$C$2:$C$379,$A11,_book!$A$2:$A$379,bkc_lob,_book!$B$2:$B$379,bkc_bu)&lt;=1,"",($AA11-$W11*$X11*$Y11*$Z11)*100)</f>
        <v>-2.4762514753584597E-3</v>
      </c>
      <c r="AC11" s="43">
        <f>IF(SUMIFS(_book!$F$2:$F$379,_book!$C$2:$C$379,$A11,_book!$A$2:$A$379,bkc_lob,_book!$B$2:$B$379,bkc_bu)=0,"—",SUMIFS(_book!$AQ$2:$AQ$379,_book!$C$2:$C$379,$A11,_book!$A$2:$A$379,bkc_lob,_book!$B$2:$B$379,bkc_bu)/SUMIFS(_book!$F$2:$F$379,_book!$C$2:$C$379,$A11,_book!$A$2:$A$379,bkc_lob,_book!$B$2:$B$379,bkc_bu))</f>
        <v>0</v>
      </c>
      <c r="AD11" s="46">
        <f>IF(SUMIFS(_book!$F$2:$F$379,_book!$C$2:$C$379,$A11,_book!$A$2:$A$379,bkc_lob,_book!$B$2:$B$379,bkc_bu)=0,"—",SUMIFS(_book!$AR$2:$AR$379,_book!$C$2:$C$379,$A11,_book!$A$2:$A$379,bkc_lob,_book!$B$2:$B$379,bkc_bu)/SUMIFS(_book!$F$2:$F$379,_book!$C$2:$C$379,$A11,_book!$A$2:$A$379,bkc_lob,_book!$B$2:$B$379,bkc_bu))</f>
        <v>0.97228572307718319</v>
      </c>
      <c r="AE11" s="46">
        <f>IF(SUMIFS(_book!$F$2:$F$379,_book!$C$2:$C$379,$A11,_book!$A$2:$A$379,bkc_lob,_book!$B$2:$B$379,bkc_bu)=0,"—",SUMIFS(_book!$AS$2:$AS$379,_book!$C$2:$C$379,$A11,_book!$A$2:$A$379,bkc_lob,_book!$B$2:$B$379,bkc_bu)/SUMIFS(_book!$F$2:$F$379,_book!$C$2:$C$379,$A11,_book!$A$2:$A$379,bkc_lob,_book!$B$2:$B$379,bkc_bu))</f>
        <v>1.0075477088664972</v>
      </c>
      <c r="AF11" s="48">
        <f>IF(COUNTIFS(_book!$D$2:$D$379,"?*",_book!$C$2:$C$379,$A11,_book!$A$2:$A$379,bkc_lob,_book!$B$2:$B$379,bkc_bu)=0,"",IF(COUNTIFS(_book!$D$2:$D$379,"?*",_book!$C$2:$C$379,$A11,_book!$A$2:$A$379,bkc_lob,_book!$B$2:$B$379,bkc_bu)=1,$W11*(1+$AC11)*$AD11*$AE11*$Z11,IF(SUMIFS(_book!$F$2:$F$379,_book!$C$2:$C$379,$A11,_book!$A$2:$A$379,bkc_lob,_book!$B$2:$B$379,bkc_bu)=0,"—",SUMIFS(_book!$AP$2:$AP$379,_book!$C$2:$C$379,$A11,_book!$A$2:$A$379,bkc_lob,_book!$B$2:$B$379,bkc_bu)/SUMIFS(_book!$F$2:$F$379,_book!$C$2:$C$379,$A11,_book!$A$2:$A$379,bkc_lob,_book!$B$2:$B$379,bkc_bu))))</f>
        <v>0.62518050451140361</v>
      </c>
      <c r="AG11" s="43" t="str">
        <f>IF(COUNTIFS(_book!$D$2:$D$379,"?*",_book!$C$2:$C$379,$A11,_book!$A$2:$A$379,bkc_lob,_book!$B$2:$B$379,bkc_bu)=0,"",IF(SUMIFS(_book!$V$2:$V$379,_book!$C$2:$C$379,$A11,_book!$A$2:$A$379,bkc_lob,_book!$B$2:$B$379,bkc_bu)=0,"—",SUMIFS(_book!$W$2:$W$379,_book!$C$2:$C$379,$A11,_book!$A$2:$A$379,bkc_lob,_book!$B$2:$B$379,bkc_bu)/SUMIFS(_book!$V$2:$V$379,_book!$C$2:$C$379,$A11,_book!$A$2:$A$379,bkc_lob,_book!$B$2:$B$379,bkc_bu)))</f>
        <v>—</v>
      </c>
      <c r="AH11" s="47" t="str">
        <f>IF(SUMIFS(_book!$V$2:$V$379,_book!$C$2:$C$379,$A11,_book!$A$2:$A$379,bkc_lob,_book!$B$2:$B$379,bkc_bu)=0,"—",IF(SUMIFS(_book!$F$2:$F$379,_book!$C$2:$C$379,$A11,_book!$A$2:$A$379,bkc_lob,_book!$B$2:$B$379,bkc_bu)=0,"—",SUMIFS(_book!$AT$2:$AT$379,_book!$C$2:$C$379,$A11,_book!$A$2:$A$379,bkc_lob,_book!$B$2:$B$379,bkc_bu)/SUMIFS(_book!$F$2:$F$379,_book!$C$2:$C$379,$A11,_book!$A$2:$A$379,bkc_lob,_book!$B$2:$B$379,bkc_bu)))</f>
        <v>—</v>
      </c>
      <c r="AI11" s="50" t="str">
        <f>IF(SUMIFS(_book!$V$2:$V$379,_book!$C$2:$C$379,$A11,_book!$A$2:$A$379,bkc_lob,_book!$B$2:$B$379,bkc_bu)=0,"—",($AH11-$AA11)*100)</f>
        <v>—</v>
      </c>
    </row>
    <row r="12" spans="1:35" x14ac:dyDescent="0.3">
      <c r="A12" s="27" t="s">
        <v>57</v>
      </c>
      <c r="B12" s="28">
        <f>SUMIFS(_book!$F$2:$F$379,_book!$C$2:$C$379,$A12,_book!$A$2:$A$379,bkc_lob,_book!$B$2:$B$379,bkc_bu)</f>
        <v>510000</v>
      </c>
      <c r="C12" s="29">
        <f>IF(SUMIFS(_book!$F$2:$F$379,_book!$C$2:$C$379,$A12,_book!$A$2:$A$379,bkc_lob,_book!$B$2:$B$379,bkc_bu)=0,"—",SUMIFS(_book!$AV$2:$AV$379,_book!$C$2:$C$379,$A12,_book!$A$2:$A$379,bkc_lob,_book!$B$2:$B$379,bkc_bu)/SUMIFS(_book!$F$2:$F$379,_book!$C$2:$C$379,$A12,_book!$A$2:$A$379,bkc_lob,_book!$B$2:$B$379,bkc_bu))</f>
        <v>0.9285882352941176</v>
      </c>
      <c r="D12" s="29">
        <f>IF(SUMIFS(_book!$F$2:$F$379,_book!$C$2:$C$379,$A12,_book!$A$2:$A$379,bkc_lob,_book!$B$2:$B$379,bkc_bu)=0,"—",SUMIFS(_book!$AW$2:$AW$379,_book!$C$2:$C$379,$A12,_book!$A$2:$A$379,bkc_lob,_book!$B$2:$B$379,bkc_bu)/SUMIFS(_book!$F$2:$F$379,_book!$C$2:$C$379,$A12,_book!$A$2:$A$379,bkc_lob,_book!$B$2:$B$379,bkc_bu))</f>
        <v>0.91858823529411759</v>
      </c>
      <c r="E12" s="29">
        <f>IF(SUMIFS(_book!$F$2:$F$379,_book!$C$2:$C$379,$A12,_book!$A$2:$A$379,bkc_lob,_book!$B$2:$B$379,bkc_bu)=0,"—",SUMIFS(_book!$AX$2:$AX$379,_book!$C$2:$C$379,$A12,_book!$A$2:$A$379,bkc_lob,_book!$B$2:$B$379,bkc_bu)/SUMIFS(_book!$F$2:$F$379,_book!$C$2:$C$379,$A12,_book!$A$2:$A$379,bkc_lob,_book!$B$2:$B$379,bkc_bu))</f>
        <v>0.93358823529411761</v>
      </c>
      <c r="F12" s="30" t="str">
        <f>IF(COUNTIFS(_book!$D$2:$D$379,"?*",_book!$C$2:$C$379,$A12,_book!$A$2:$A$379,bkc_lob,_book!$B$2:$B$379,bkc_bu)&lt;&gt;1,"—",INDEX(_book!$DG$2:$DG$379,MATCH(bkf_lob&amp;"|"&amp;bkf_bu&amp;"|"&amp;$A12,_book!$E$2:$E$379,0)))</f>
        <v>—</v>
      </c>
      <c r="G12" s="31" t="str">
        <f>IF(COUNTIFS(_book!$D$2:$D$379,"?*",_book!$C$2:$C$379,$A12,_book!$A$2:$A$379,bkc_lob,_book!$B$2:$B$379,bkc_bu)&lt;&gt;1,"—",INDEX(_book!$DH$2:$DH$379,MATCH(bkf_lob&amp;"|"&amp;bkf_bu&amp;"|"&amp;$A12,_book!$E$2:$E$379,0)))</f>
        <v>—</v>
      </c>
      <c r="H12" s="32" t="str">
        <f>IF(COUNTIFS(_book!$D$2:$D$379,"?*",_book!$C$2:$C$379,$A12,_book!$A$2:$A$379,bkc_lob,_book!$B$2:$B$379,bkc_bu)&lt;&gt;1,"—",INDEX(_book!$DI$2:$DI$379,MATCH(bkf_lob&amp;"|"&amp;bkf_bu&amp;"|"&amp;$A12,_book!$E$2:$E$379,0)))</f>
        <v>—</v>
      </c>
      <c r="I12" s="30" t="str">
        <f>IF(COUNTIFS(_book!$D$2:$D$379,"?*",_book!$C$2:$C$379,$A12,_book!$A$2:$A$379,bkc_lob,_book!$B$2:$B$379,bkc_bu)&lt;&gt;1,"—",INDEX(_book!$DJ$2:$DJ$379,MATCH(bkf_lob&amp;"|"&amp;bkf_bu&amp;"|"&amp;$A12,_book!$E$2:$E$379,0)))</f>
        <v>—</v>
      </c>
      <c r="J12" s="31" t="str">
        <f>IF(COUNTIFS(_book!$D$2:$D$379,"?*",_book!$C$2:$C$379,$A12,_book!$A$2:$A$379,bkc_lob,_book!$B$2:$B$379,bkc_bu)&lt;&gt;1,"—",INDEX(_book!$DK$2:$DK$379,MATCH(bkf_lob&amp;"|"&amp;bkf_bu&amp;"|"&amp;$A12,_book!$E$2:$E$379,0)))</f>
        <v>—</v>
      </c>
      <c r="K12" s="32" t="str">
        <f>IF(COUNTIFS(_book!$D$2:$D$379,"?*",_book!$C$2:$C$379,$A12,_book!$A$2:$A$379,bkc_lob,_book!$B$2:$B$379,bkc_bu)&lt;&gt;1,"—",INDEX(_book!$DL$2:$DL$379,MATCH(bkf_lob&amp;"|"&amp;bkf_bu&amp;"|"&amp;$A12,_book!$E$2:$E$379,0)))</f>
        <v>—</v>
      </c>
      <c r="L12" s="30" t="str">
        <f>IF(COUNTIFS(_book!$D$2:$D$379,"?*",_book!$C$2:$C$379,$A12,_book!$A$2:$A$379,bkc_lob,_book!$B$2:$B$379,bkc_bu)&lt;&gt;1,"—",INDEX(_book!$DM$2:$DM$379,MATCH(bkf_lob&amp;"|"&amp;bkf_bu&amp;"|"&amp;$A12,_book!$E$2:$E$379,0)))</f>
        <v>—</v>
      </c>
      <c r="M12" s="31" t="str">
        <f>IF(COUNTIFS(_book!$D$2:$D$379,"?*",_book!$C$2:$C$379,$A12,_book!$A$2:$A$379,bkc_lob,_book!$B$2:$B$379,bkc_bu)&lt;&gt;1,"—",INDEX(_book!$DN$2:$DN$379,MATCH(bkf_lob&amp;"|"&amp;bkf_bu&amp;"|"&amp;$A12,_book!$E$2:$E$379,0)))</f>
        <v>—</v>
      </c>
      <c r="N12" s="32" t="str">
        <f>IF(COUNTIFS(_book!$D$2:$D$379,"?*",_book!$C$2:$C$379,$A12,_book!$A$2:$A$379,bkc_lob,_book!$B$2:$B$379,bkc_bu)&lt;&gt;1,"—",INDEX(_book!$DO$2:$DO$379,MATCH(bkf_lob&amp;"|"&amp;bkf_bu&amp;"|"&amp;$A12,_book!$E$2:$E$379,0)))</f>
        <v>—</v>
      </c>
      <c r="O12" s="30" t="str">
        <f>IF(COUNTIFS(_book!$D$2:$D$379,"?*",_book!$C$2:$C$379,$A12,_book!$A$2:$A$379,bkc_lob,_book!$B$2:$B$379,bkc_bu)&lt;&gt;1,"—",INDEX(_book!$DP$2:$DP$379,MATCH(bkf_lob&amp;"|"&amp;bkf_bu&amp;"|"&amp;$A12,_book!$E$2:$E$379,0)))</f>
        <v>—</v>
      </c>
      <c r="P12" s="31" t="str">
        <f>IF(COUNTIFS(_book!$D$2:$D$379,"?*",_book!$C$2:$C$379,$A12,_book!$A$2:$A$379,bkc_lob,_book!$B$2:$B$379,bkc_bu)&lt;&gt;1,"—",INDEX(_book!$DQ$2:$DQ$379,MATCH(bkf_lob&amp;"|"&amp;bkf_bu&amp;"|"&amp;$A12,_book!$E$2:$E$379,0)))</f>
        <v>—</v>
      </c>
      <c r="Q12" s="32" t="str">
        <f>IF(COUNTIFS(_book!$D$2:$D$379,"?*",_book!$C$2:$C$379,$A12,_book!$A$2:$A$379,bkc_lob,_book!$B$2:$B$379,bkc_bu)&lt;&gt;1,"—",INDEX(_book!$DR$2:$DR$379,MATCH(bkf_lob&amp;"|"&amp;bkf_bu&amp;"|"&amp;$A12,_book!$E$2:$E$379,0)))</f>
        <v>—</v>
      </c>
      <c r="R12" s="33">
        <f>SUMIFS(_book!$AC$2:$AC$379,_book!$C$2:$C$379,$A12,_book!$A$2:$A$379,bkc_lob,_book!$B$2:$B$379,bkc_bu)</f>
        <v>12</v>
      </c>
      <c r="S12" s="33">
        <f>SUMIFS(_book!$AD$2:$AD$379,_book!$C$2:$C$379,$A12,_book!$A$2:$A$379,bkc_lob,_book!$B$2:$B$379,bkc_bu)</f>
        <v>6</v>
      </c>
      <c r="T12" s="34">
        <f>IF(SUMIFS(_book!$F$2:$F$379,_book!$C$2:$C$379,$A12,_book!$A$2:$A$379,bkc_lob,_book!$B$2:$B$379,bkc_bu)=0,"—",SUMIFS(_book!$AH$2:$AH$379,_book!$C$2:$C$379,$A12,_book!$A$2:$A$379,bkc_lob,_book!$B$2:$B$379,bkc_bu)/SUMIFS(_book!$F$2:$F$379,_book!$C$2:$C$379,$A12,_book!$A$2:$A$379,bkc_lob,_book!$B$2:$B$379,bkc_bu))</f>
        <v>1.0246666666666666</v>
      </c>
      <c r="U12" s="34">
        <f>IF(SUMIFS(_book!$F$2:$F$379,_book!$C$2:$C$379,$A12,_book!$A$2:$A$379,bkc_lob,_book!$B$2:$B$379,bkc_bu)=0,"—",SUMIFS(_book!$AI$2:$AI$379,_book!$C$2:$C$379,$A12,_book!$A$2:$A$379,bkc_lob,_book!$B$2:$B$379,bkc_bu)/SUMIFS(_book!$F$2:$F$379,_book!$C$2:$C$379,$A12,_book!$A$2:$A$379,bkc_lob,_book!$B$2:$B$379,bkc_bu))</f>
        <v>1.0261099999999999</v>
      </c>
      <c r="V12" s="29">
        <f>IF(SUMIFS(_book!$F$2:$F$379,_book!$C$2:$C$379,$A12,_book!$A$2:$A$379,bkc_lob,_book!$B$2:$B$379,bkc_bu)=0,"—",SUMIFS(_book!$AJ$2:$AJ$379,_book!$C$2:$C$379,$A12,_book!$A$2:$A$379,bkc_lob,_book!$B$2:$B$379,bkc_bu)/SUMIFS(_book!$F$2:$F$379,_book!$C$2:$C$379,$A12,_book!$A$2:$A$379,bkc_lob,_book!$B$2:$B$379,bkc_bu))</f>
        <v>0.92172288904620936</v>
      </c>
      <c r="W12" s="35">
        <f>IF(SUMIFS(_book!$F$2:$F$379,_book!$C$2:$C$379,$A12,_book!$A$2:$A$379,bkc_lob,_book!$B$2:$B$379,bkc_bu)=0,"—",SUMIFS(_book!$AN$2:$AN$379,_book!$C$2:$C$379,$A12,_book!$A$2:$A$379,bkc_lob,_book!$B$2:$B$379,bkc_bu)/SUMIFS(_book!$F$2:$F$379,_book!$C$2:$C$379,$A12,_book!$A$2:$A$379,bkc_lob,_book!$B$2:$B$379,bkc_bu))</f>
        <v>0.63663921568627446</v>
      </c>
      <c r="X12" s="34">
        <f>IF(SUMIFS(_book!$F$2:$F$379,_book!$C$2:$C$379,$A12,_book!$A$2:$A$379,bkc_lob,_book!$B$2:$B$379,bkc_bu)=0,"—",SUMIFS(_book!$AK$2:$AK$379,_book!$C$2:$C$379,$A12,_book!$A$2:$A$379,bkc_lob,_book!$B$2:$B$379,bkc_bu)/SUMIFS(_book!$F$2:$F$379,_book!$C$2:$C$379,$A12,_book!$A$2:$A$379,bkc_lob,_book!$B$2:$B$379,bkc_bu))</f>
        <v>0.9985696229443477</v>
      </c>
      <c r="Y12" s="34">
        <f>IF(SUMIFS(_book!$F$2:$F$379,_book!$C$2:$C$379,$A12,_book!$A$2:$A$379,bkc_lob,_book!$B$2:$B$379,bkc_bu)=0,"—",SUMIFS(_book!$AL$2:$AL$379,_book!$C$2:$C$379,$A12,_book!$A$2:$A$379,bkc_lob,_book!$B$2:$B$379,bkc_bu)/SUMIFS(_book!$F$2:$F$379,_book!$C$2:$C$379,$A12,_book!$A$2:$A$379,bkc_lob,_book!$B$2:$B$379,bkc_bu))</f>
        <v>1.0074785553735899</v>
      </c>
      <c r="Z12" s="34">
        <f>IF(SUMIFS(_book!$F$2:$F$379,_book!$C$2:$C$379,$A12,_book!$A$2:$A$379,bkc_lob,_book!$B$2:$B$379,bkc_bu)=0,"—",SUMIFS(_book!$AM$2:$AM$379,_book!$C$2:$C$379,$A12,_book!$A$2:$A$379,bkc_lob,_book!$B$2:$B$379,bkc_bu)/SUMIFS(_book!$F$2:$F$379,_book!$C$2:$C$379,$A12,_book!$A$2:$A$379,bkc_lob,_book!$B$2:$B$379,bkc_bu))</f>
        <v>1</v>
      </c>
      <c r="AA12" s="36">
        <f>IF(COUNTIFS(_book!$D$2:$D$379,"?*",_book!$C$2:$C$379,$A12,_book!$A$2:$A$379,bkc_lob,_book!$B$2:$B$379,bkc_bu)=0,"",IF(COUNTIFS(_book!$D$2:$D$379,"?*",_book!$C$2:$C$379,$A12,_book!$A$2:$A$379,bkc_lob,_book!$B$2:$B$379,bkc_bu)=1,$W12*$X12*$Y12*$Z12,IF(SUMIFS(_book!$F$2:$F$379,_book!$C$2:$C$379,$A12,_book!$A$2:$A$379,bkc_lob,_book!$B$2:$B$379,bkc_bu)=0,"—",SUMIFS(_book!$AO$2:$AO$379,_book!$C$2:$C$379,$A12,_book!$A$2:$A$379,bkc_lob,_book!$B$2:$B$379,bkc_bu)/SUMIFS(_book!$F$2:$F$379,_book!$C$2:$C$379,$A12,_book!$A$2:$A$379,bkc_lob,_book!$B$2:$B$379,bkc_bu))))</f>
        <v>0.6404617965612559</v>
      </c>
      <c r="AB12" s="37">
        <f>IF(COUNTIFS(_book!$D$2:$D$379,"?*",_book!$C$2:$C$379,$A12,_book!$A$2:$A$379,bkc_lob,_book!$B$2:$B$379,bkc_bu)&lt;=1,"",($AA12-$W12*$X12*$Y12*$Z12)*100)</f>
        <v>-2.111639793833664E-3</v>
      </c>
      <c r="AC12" s="31">
        <f>IF(SUMIFS(_book!$F$2:$F$379,_book!$C$2:$C$379,$A12,_book!$A$2:$A$379,bkc_lob,_book!$B$2:$B$379,bkc_bu)=0,"—",SUMIFS(_book!$AQ$2:$AQ$379,_book!$C$2:$C$379,$A12,_book!$A$2:$A$379,bkc_lob,_book!$B$2:$B$379,bkc_bu)/SUMIFS(_book!$F$2:$F$379,_book!$C$2:$C$379,$A12,_book!$A$2:$A$379,bkc_lob,_book!$B$2:$B$379,bkc_bu))</f>
        <v>0</v>
      </c>
      <c r="AD12" s="34">
        <f>IF(SUMIFS(_book!$F$2:$F$379,_book!$C$2:$C$379,$A12,_book!$A$2:$A$379,bkc_lob,_book!$B$2:$B$379,bkc_bu)=0,"—",SUMIFS(_book!$AR$2:$AR$379,_book!$C$2:$C$379,$A12,_book!$A$2:$A$379,bkc_lob,_book!$B$2:$B$379,bkc_bu)/SUMIFS(_book!$F$2:$F$379,_book!$C$2:$C$379,$A12,_book!$A$2:$A$379,bkc_lob,_book!$B$2:$B$379,bkc_bu))</f>
        <v>0.98820263425255861</v>
      </c>
      <c r="AE12" s="34">
        <f>IF(SUMIFS(_book!$F$2:$F$379,_book!$C$2:$C$379,$A12,_book!$A$2:$A$379,bkc_lob,_book!$B$2:$B$379,bkc_bu)=0,"—",SUMIFS(_book!$AS$2:$AS$379,_book!$C$2:$C$379,$A12,_book!$A$2:$A$379,bkc_lob,_book!$B$2:$B$379,bkc_bu)/SUMIFS(_book!$F$2:$F$379,_book!$C$2:$C$379,$A12,_book!$A$2:$A$379,bkc_lob,_book!$B$2:$B$379,bkc_bu))</f>
        <v>0.99670699704966714</v>
      </c>
      <c r="AF12" s="36">
        <f>IF(COUNTIFS(_book!$D$2:$D$379,"?*",_book!$C$2:$C$379,$A12,_book!$A$2:$A$379,bkc_lob,_book!$B$2:$B$379,bkc_bu)=0,"",IF(COUNTIFS(_book!$D$2:$D$379,"?*",_book!$C$2:$C$379,$A12,_book!$A$2:$A$379,bkc_lob,_book!$B$2:$B$379,bkc_bu)=1,$W12*(1+$AC12)*$AD12*$AE12*$Z12,IF(SUMIFS(_book!$F$2:$F$379,_book!$C$2:$C$379,$A12,_book!$A$2:$A$379,bkc_lob,_book!$B$2:$B$379,bkc_bu)=0,"—",SUMIFS(_book!$AP$2:$AP$379,_book!$C$2:$C$379,$A12,_book!$A$2:$A$379,bkc_lob,_book!$B$2:$B$379,bkc_bu)/SUMIFS(_book!$F$2:$F$379,_book!$C$2:$C$379,$A12,_book!$A$2:$A$379,bkc_lob,_book!$B$2:$B$379,bkc_bu))))</f>
        <v>0.62688653139714146</v>
      </c>
      <c r="AG12" s="31" t="str">
        <f>IF(COUNTIFS(_book!$D$2:$D$379,"?*",_book!$C$2:$C$379,$A12,_book!$A$2:$A$379,bkc_lob,_book!$B$2:$B$379,bkc_bu)=0,"",IF(SUMIFS(_book!$V$2:$V$379,_book!$C$2:$C$379,$A12,_book!$A$2:$A$379,bkc_lob,_book!$B$2:$B$379,bkc_bu)=0,"—",SUMIFS(_book!$W$2:$W$379,_book!$C$2:$C$379,$A12,_book!$A$2:$A$379,bkc_lob,_book!$B$2:$B$379,bkc_bu)/SUMIFS(_book!$V$2:$V$379,_book!$C$2:$C$379,$A12,_book!$A$2:$A$379,bkc_lob,_book!$B$2:$B$379,bkc_bu)))</f>
        <v>—</v>
      </c>
      <c r="AH12" s="35" t="str">
        <f>IF(SUMIFS(_book!$V$2:$V$379,_book!$C$2:$C$379,$A12,_book!$A$2:$A$379,bkc_lob,_book!$B$2:$B$379,bkc_bu)=0,"—",IF(SUMIFS(_book!$F$2:$F$379,_book!$C$2:$C$379,$A12,_book!$A$2:$A$379,bkc_lob,_book!$B$2:$B$379,bkc_bu)=0,"—",SUMIFS(_book!$AT$2:$AT$379,_book!$C$2:$C$379,$A12,_book!$A$2:$A$379,bkc_lob,_book!$B$2:$B$379,bkc_bu)/SUMIFS(_book!$F$2:$F$379,_book!$C$2:$C$379,$A12,_book!$A$2:$A$379,bkc_lob,_book!$B$2:$B$379,bkc_bu)))</f>
        <v>—</v>
      </c>
      <c r="AI12" s="38" t="str">
        <f>IF(SUMIFS(_book!$V$2:$V$379,_book!$C$2:$C$379,$A12,_book!$A$2:$A$379,bkc_lob,_book!$B$2:$B$379,bkc_bu)=0,"—",($AH12-$AA12)*100)</f>
        <v>—</v>
      </c>
    </row>
    <row r="13" spans="1:35" x14ac:dyDescent="0.3">
      <c r="A13" s="39" t="s">
        <v>58</v>
      </c>
      <c r="B13" s="40">
        <f>SUMIFS(_book!$F$2:$F$379,_book!$C$2:$C$379,$A13,_book!$A$2:$A$379,bkc_lob,_book!$B$2:$B$379,bkc_bu)</f>
        <v>1173000</v>
      </c>
      <c r="C13" s="41">
        <f>IF(SUMIFS(_book!$F$2:$F$379,_book!$C$2:$C$379,$A13,_book!$A$2:$A$379,bkc_lob,_book!$B$2:$B$379,bkc_bu)=0,"—",SUMIFS(_book!$AV$2:$AV$379,_book!$C$2:$C$379,$A13,_book!$A$2:$A$379,bkc_lob,_book!$B$2:$B$379,bkc_bu)/SUMIFS(_book!$F$2:$F$379,_book!$C$2:$C$379,$A13,_book!$A$2:$A$379,bkc_lob,_book!$B$2:$B$379,bkc_bu))</f>
        <v>0.9285882352941176</v>
      </c>
      <c r="D13" s="41">
        <f>IF(SUMIFS(_book!$F$2:$F$379,_book!$C$2:$C$379,$A13,_book!$A$2:$A$379,bkc_lob,_book!$B$2:$B$379,bkc_bu)=0,"—",SUMIFS(_book!$AW$2:$AW$379,_book!$C$2:$C$379,$A13,_book!$A$2:$A$379,bkc_lob,_book!$B$2:$B$379,bkc_bu)/SUMIFS(_book!$F$2:$F$379,_book!$C$2:$C$379,$A13,_book!$A$2:$A$379,bkc_lob,_book!$B$2:$B$379,bkc_bu))</f>
        <v>0.91858823529411759</v>
      </c>
      <c r="E13" s="41">
        <f>IF(SUMIFS(_book!$F$2:$F$379,_book!$C$2:$C$379,$A13,_book!$A$2:$A$379,bkc_lob,_book!$B$2:$B$379,bkc_bu)=0,"—",SUMIFS(_book!$AX$2:$AX$379,_book!$C$2:$C$379,$A13,_book!$A$2:$A$379,bkc_lob,_book!$B$2:$B$379,bkc_bu)/SUMIFS(_book!$F$2:$F$379,_book!$C$2:$C$379,$A13,_book!$A$2:$A$379,bkc_lob,_book!$B$2:$B$379,bkc_bu))</f>
        <v>0.9135882352941177</v>
      </c>
      <c r="F13" s="42" t="str">
        <f>IF(COUNTIFS(_book!$D$2:$D$379,"?*",_book!$C$2:$C$379,$A13,_book!$A$2:$A$379,bkc_lob,_book!$B$2:$B$379,bkc_bu)&lt;&gt;1,"—",INDEX(_book!$DG$2:$DG$379,MATCH(bkf_lob&amp;"|"&amp;bkf_bu&amp;"|"&amp;$A13,_book!$E$2:$E$379,0)))</f>
        <v>—</v>
      </c>
      <c r="G13" s="43" t="str">
        <f>IF(COUNTIFS(_book!$D$2:$D$379,"?*",_book!$C$2:$C$379,$A13,_book!$A$2:$A$379,bkc_lob,_book!$B$2:$B$379,bkc_bu)&lt;&gt;1,"—",INDEX(_book!$DH$2:$DH$379,MATCH(bkf_lob&amp;"|"&amp;bkf_bu&amp;"|"&amp;$A13,_book!$E$2:$E$379,0)))</f>
        <v>—</v>
      </c>
      <c r="H13" s="44" t="str">
        <f>IF(COUNTIFS(_book!$D$2:$D$379,"?*",_book!$C$2:$C$379,$A13,_book!$A$2:$A$379,bkc_lob,_book!$B$2:$B$379,bkc_bu)&lt;&gt;1,"—",INDEX(_book!$DI$2:$DI$379,MATCH(bkf_lob&amp;"|"&amp;bkf_bu&amp;"|"&amp;$A13,_book!$E$2:$E$379,0)))</f>
        <v>—</v>
      </c>
      <c r="I13" s="42" t="str">
        <f>IF(COUNTIFS(_book!$D$2:$D$379,"?*",_book!$C$2:$C$379,$A13,_book!$A$2:$A$379,bkc_lob,_book!$B$2:$B$379,bkc_bu)&lt;&gt;1,"—",INDEX(_book!$DJ$2:$DJ$379,MATCH(bkf_lob&amp;"|"&amp;bkf_bu&amp;"|"&amp;$A13,_book!$E$2:$E$379,0)))</f>
        <v>—</v>
      </c>
      <c r="J13" s="43" t="str">
        <f>IF(COUNTIFS(_book!$D$2:$D$379,"?*",_book!$C$2:$C$379,$A13,_book!$A$2:$A$379,bkc_lob,_book!$B$2:$B$379,bkc_bu)&lt;&gt;1,"—",INDEX(_book!$DK$2:$DK$379,MATCH(bkf_lob&amp;"|"&amp;bkf_bu&amp;"|"&amp;$A13,_book!$E$2:$E$379,0)))</f>
        <v>—</v>
      </c>
      <c r="K13" s="44" t="str">
        <f>IF(COUNTIFS(_book!$D$2:$D$379,"?*",_book!$C$2:$C$379,$A13,_book!$A$2:$A$379,bkc_lob,_book!$B$2:$B$379,bkc_bu)&lt;&gt;1,"—",INDEX(_book!$DL$2:$DL$379,MATCH(bkf_lob&amp;"|"&amp;bkf_bu&amp;"|"&amp;$A13,_book!$E$2:$E$379,0)))</f>
        <v>—</v>
      </c>
      <c r="L13" s="42" t="str">
        <f>IF(COUNTIFS(_book!$D$2:$D$379,"?*",_book!$C$2:$C$379,$A13,_book!$A$2:$A$379,bkc_lob,_book!$B$2:$B$379,bkc_bu)&lt;&gt;1,"—",INDEX(_book!$DM$2:$DM$379,MATCH(bkf_lob&amp;"|"&amp;bkf_bu&amp;"|"&amp;$A13,_book!$E$2:$E$379,0)))</f>
        <v>—</v>
      </c>
      <c r="M13" s="43" t="str">
        <f>IF(COUNTIFS(_book!$D$2:$D$379,"?*",_book!$C$2:$C$379,$A13,_book!$A$2:$A$379,bkc_lob,_book!$B$2:$B$379,bkc_bu)&lt;&gt;1,"—",INDEX(_book!$DN$2:$DN$379,MATCH(bkf_lob&amp;"|"&amp;bkf_bu&amp;"|"&amp;$A13,_book!$E$2:$E$379,0)))</f>
        <v>—</v>
      </c>
      <c r="N13" s="44" t="str">
        <f>IF(COUNTIFS(_book!$D$2:$D$379,"?*",_book!$C$2:$C$379,$A13,_book!$A$2:$A$379,bkc_lob,_book!$B$2:$B$379,bkc_bu)&lt;&gt;1,"—",INDEX(_book!$DO$2:$DO$379,MATCH(bkf_lob&amp;"|"&amp;bkf_bu&amp;"|"&amp;$A13,_book!$E$2:$E$379,0)))</f>
        <v>—</v>
      </c>
      <c r="O13" s="42" t="str">
        <f>IF(COUNTIFS(_book!$D$2:$D$379,"?*",_book!$C$2:$C$379,$A13,_book!$A$2:$A$379,bkc_lob,_book!$B$2:$B$379,bkc_bu)&lt;&gt;1,"—",INDEX(_book!$DP$2:$DP$379,MATCH(bkf_lob&amp;"|"&amp;bkf_bu&amp;"|"&amp;$A13,_book!$E$2:$E$379,0)))</f>
        <v>—</v>
      </c>
      <c r="P13" s="43" t="str">
        <f>IF(COUNTIFS(_book!$D$2:$D$379,"?*",_book!$C$2:$C$379,$A13,_book!$A$2:$A$379,bkc_lob,_book!$B$2:$B$379,bkc_bu)&lt;&gt;1,"—",INDEX(_book!$DQ$2:$DQ$379,MATCH(bkf_lob&amp;"|"&amp;bkf_bu&amp;"|"&amp;$A13,_book!$E$2:$E$379,0)))</f>
        <v>—</v>
      </c>
      <c r="Q13" s="44" t="str">
        <f>IF(COUNTIFS(_book!$D$2:$D$379,"?*",_book!$C$2:$C$379,$A13,_book!$A$2:$A$379,bkc_lob,_book!$B$2:$B$379,bkc_bu)&lt;&gt;1,"—",INDEX(_book!$DR$2:$DR$379,MATCH(bkf_lob&amp;"|"&amp;bkf_bu&amp;"|"&amp;$A13,_book!$E$2:$E$379,0)))</f>
        <v>—</v>
      </c>
      <c r="R13" s="45">
        <f>SUMIFS(_book!$AC$2:$AC$379,_book!$C$2:$C$379,$A13,_book!$A$2:$A$379,bkc_lob,_book!$B$2:$B$379,bkc_bu)</f>
        <v>6</v>
      </c>
      <c r="S13" s="45">
        <f>SUMIFS(_book!$AD$2:$AD$379,_book!$C$2:$C$379,$A13,_book!$A$2:$A$379,bkc_lob,_book!$B$2:$B$379,bkc_bu)</f>
        <v>6</v>
      </c>
      <c r="T13" s="46">
        <f>IF(SUMIFS(_book!$F$2:$F$379,_book!$C$2:$C$379,$A13,_book!$A$2:$A$379,bkc_lob,_book!$B$2:$B$379,bkc_bu)=0,"—",SUMIFS(_book!$AH$2:$AH$379,_book!$C$2:$C$379,$A13,_book!$A$2:$A$379,bkc_lob,_book!$B$2:$B$379,bkc_bu)/SUMIFS(_book!$F$2:$F$379,_book!$C$2:$C$379,$A13,_book!$A$2:$A$379,bkc_lob,_book!$B$2:$B$379,bkc_bu))</f>
        <v>1.0143478260869565</v>
      </c>
      <c r="U13" s="46">
        <f>IF(SUMIFS(_book!$F$2:$F$379,_book!$C$2:$C$379,$A13,_book!$A$2:$A$379,bkc_lob,_book!$B$2:$B$379,bkc_bu)=0,"—",SUMIFS(_book!$AI$2:$AI$379,_book!$C$2:$C$379,$A13,_book!$A$2:$A$379,bkc_lob,_book!$B$2:$B$379,bkc_bu)/SUMIFS(_book!$F$2:$F$379,_book!$C$2:$C$379,$A13,_book!$A$2:$A$379,bkc_lob,_book!$B$2:$B$379,bkc_bu))</f>
        <v>1.0155308496732025</v>
      </c>
      <c r="V13" s="41">
        <f>IF(SUMIFS(_book!$F$2:$F$379,_book!$C$2:$C$379,$A13,_book!$A$2:$A$379,bkc_lob,_book!$B$2:$B$379,bkc_bu)=0,"—",SUMIFS(_book!$AJ$2:$AJ$379,_book!$C$2:$C$379,$A13,_book!$A$2:$A$379,bkc_lob,_book!$B$2:$B$379,bkc_bu)/SUMIFS(_book!$F$2:$F$379,_book!$C$2:$C$379,$A13,_book!$A$2:$A$379,bkc_lob,_book!$B$2:$B$379,bkc_bu))</f>
        <v>0.91724061248457245</v>
      </c>
      <c r="W13" s="47">
        <f>IF(SUMIFS(_book!$F$2:$F$379,_book!$C$2:$C$379,$A13,_book!$A$2:$A$379,bkc_lob,_book!$B$2:$B$379,bkc_bu)=0,"—",SUMIFS(_book!$AN$2:$AN$379,_book!$C$2:$C$379,$A13,_book!$A$2:$A$379,bkc_lob,_book!$B$2:$B$379,bkc_bu)/SUMIFS(_book!$F$2:$F$379,_book!$C$2:$C$379,$A13,_book!$A$2:$A$379,bkc_lob,_book!$B$2:$B$379,bkc_bu))</f>
        <v>0.63616965046888319</v>
      </c>
      <c r="X13" s="46">
        <f>IF(SUMIFS(_book!$F$2:$F$379,_book!$C$2:$C$379,$A13,_book!$A$2:$A$379,bkc_lob,_book!$B$2:$B$379,bkc_bu)=0,"—",SUMIFS(_book!$AK$2:$AK$379,_book!$C$2:$C$379,$A13,_book!$A$2:$A$379,bkc_lob,_book!$B$2:$B$379,bkc_bu)/SUMIFS(_book!$F$2:$F$379,_book!$C$2:$C$379,$A13,_book!$A$2:$A$379,bkc_lob,_book!$B$2:$B$379,bkc_bu))</f>
        <v>0.99887340259385016</v>
      </c>
      <c r="Y13" s="46">
        <f>IF(SUMIFS(_book!$F$2:$F$379,_book!$C$2:$C$379,$A13,_book!$A$2:$A$379,bkc_lob,_book!$B$2:$B$379,bkc_bu)=0,"—",SUMIFS(_book!$AL$2:$AL$379,_book!$C$2:$C$379,$A13,_book!$A$2:$A$379,bkc_lob,_book!$B$2:$B$379,bkc_bu)/SUMIFS(_book!$F$2:$F$379,_book!$C$2:$C$379,$A13,_book!$A$2:$A$379,bkc_lob,_book!$B$2:$B$379,bkc_bu))</f>
        <v>1.012423120727155</v>
      </c>
      <c r="Z13" s="46">
        <f>IF(SUMIFS(_book!$F$2:$F$379,_book!$C$2:$C$379,$A13,_book!$A$2:$A$379,bkc_lob,_book!$B$2:$B$379,bkc_bu)=0,"—",SUMIFS(_book!$AM$2:$AM$379,_book!$C$2:$C$379,$A13,_book!$A$2:$A$379,bkc_lob,_book!$B$2:$B$379,bkc_bu)/SUMIFS(_book!$F$2:$F$379,_book!$C$2:$C$379,$A13,_book!$A$2:$A$379,bkc_lob,_book!$B$2:$B$379,bkc_bu))</f>
        <v>1</v>
      </c>
      <c r="AA13" s="48">
        <f>IF(COUNTIFS(_book!$D$2:$D$379,"?*",_book!$C$2:$C$379,$A13,_book!$A$2:$A$379,bkc_lob,_book!$B$2:$B$379,bkc_bu)=0,"",IF(COUNTIFS(_book!$D$2:$D$379,"?*",_book!$C$2:$C$379,$A13,_book!$A$2:$A$379,bkc_lob,_book!$B$2:$B$379,bkc_bu)=1,$W13*$X13*$Y13*$Z13,IF(SUMIFS(_book!$F$2:$F$379,_book!$C$2:$C$379,$A13,_book!$A$2:$A$379,bkc_lob,_book!$B$2:$B$379,bkc_bu)=0,"—",SUMIFS(_book!$AO$2:$AO$379,_book!$C$2:$C$379,$A13,_book!$A$2:$A$379,bkc_lob,_book!$B$2:$B$379,bkc_bu)/SUMIFS(_book!$F$2:$F$379,_book!$C$2:$C$379,$A13,_book!$A$2:$A$379,bkc_lob,_book!$B$2:$B$379,bkc_bu))))</f>
        <v>0.64336480150655972</v>
      </c>
      <c r="AB13" s="49">
        <f>IF(COUNTIFS(_book!$D$2:$D$379,"?*",_book!$C$2:$C$379,$A13,_book!$A$2:$A$379,bkc_lob,_book!$B$2:$B$379,bkc_bu)&lt;=1,"",($AA13-$W13*$X13*$Y13*$Z13)*100)</f>
        <v>1.7549483596224213E-3</v>
      </c>
      <c r="AC13" s="43">
        <f>IF(SUMIFS(_book!$F$2:$F$379,_book!$C$2:$C$379,$A13,_book!$A$2:$A$379,bkc_lob,_book!$B$2:$B$379,bkc_bu)=0,"—",SUMIFS(_book!$AQ$2:$AQ$379,_book!$C$2:$C$379,$A13,_book!$A$2:$A$379,bkc_lob,_book!$B$2:$B$379,bkc_bu)/SUMIFS(_book!$F$2:$F$379,_book!$C$2:$C$379,$A13,_book!$A$2:$A$379,bkc_lob,_book!$B$2:$B$379,bkc_bu))</f>
        <v>0</v>
      </c>
      <c r="AD13" s="46">
        <f>IF(SUMIFS(_book!$F$2:$F$379,_book!$C$2:$C$379,$A13,_book!$A$2:$A$379,bkc_lob,_book!$B$2:$B$379,bkc_bu)=0,"—",SUMIFS(_book!$AR$2:$AR$379,_book!$C$2:$C$379,$A13,_book!$A$2:$A$379,bkc_lob,_book!$B$2:$B$379,bkc_bu)/SUMIFS(_book!$F$2:$F$379,_book!$C$2:$C$379,$A13,_book!$A$2:$A$379,bkc_lob,_book!$B$2:$B$379,bkc_bu))</f>
        <v>0.98871556319809994</v>
      </c>
      <c r="AE13" s="46">
        <f>IF(SUMIFS(_book!$F$2:$F$379,_book!$C$2:$C$379,$A13,_book!$A$2:$A$379,bkc_lob,_book!$B$2:$B$379,bkc_bu)=0,"—",SUMIFS(_book!$AS$2:$AS$379,_book!$C$2:$C$379,$A13,_book!$A$2:$A$379,bkc_lob,_book!$B$2:$B$379,bkc_bu)/SUMIFS(_book!$F$2:$F$379,_book!$C$2:$C$379,$A13,_book!$A$2:$A$379,bkc_lob,_book!$B$2:$B$379,bkc_bu))</f>
        <v>1.015457002817145</v>
      </c>
      <c r="AF13" s="48">
        <f>IF(COUNTIFS(_book!$D$2:$D$379,"?*",_book!$C$2:$C$379,$A13,_book!$A$2:$A$379,bkc_lob,_book!$B$2:$B$379,bkc_bu)=0,"",IF(COUNTIFS(_book!$D$2:$D$379,"?*",_book!$C$2:$C$379,$A13,_book!$A$2:$A$379,bkc_lob,_book!$B$2:$B$379,bkc_bu)=1,$W13*(1+$AC13)*$AD13*$AE13*$Z13,IF(SUMIFS(_book!$F$2:$F$379,_book!$C$2:$C$379,$A13,_book!$A$2:$A$379,bkc_lob,_book!$B$2:$B$379,bkc_bu)=0,"—",SUMIFS(_book!$AP$2:$AP$379,_book!$C$2:$C$379,$A13,_book!$A$2:$A$379,bkc_lob,_book!$B$2:$B$379,bkc_bu)/SUMIFS(_book!$F$2:$F$379,_book!$C$2:$C$379,$A13,_book!$A$2:$A$379,bkc_lob,_book!$B$2:$B$379,bkc_bu))))</f>
        <v>0.63891163931053929</v>
      </c>
      <c r="AG13" s="43" t="str">
        <f>IF(COUNTIFS(_book!$D$2:$D$379,"?*",_book!$C$2:$C$379,$A13,_book!$A$2:$A$379,bkc_lob,_book!$B$2:$B$379,bkc_bu)=0,"",IF(SUMIFS(_book!$V$2:$V$379,_book!$C$2:$C$379,$A13,_book!$A$2:$A$379,bkc_lob,_book!$B$2:$B$379,bkc_bu)=0,"—",SUMIFS(_book!$W$2:$W$379,_book!$C$2:$C$379,$A13,_book!$A$2:$A$379,bkc_lob,_book!$B$2:$B$379,bkc_bu)/SUMIFS(_book!$V$2:$V$379,_book!$C$2:$C$379,$A13,_book!$A$2:$A$379,bkc_lob,_book!$B$2:$B$379,bkc_bu)))</f>
        <v>—</v>
      </c>
      <c r="AH13" s="47" t="str">
        <f>IF(SUMIFS(_book!$V$2:$V$379,_book!$C$2:$C$379,$A13,_book!$A$2:$A$379,bkc_lob,_book!$B$2:$B$379,bkc_bu)=0,"—",IF(SUMIFS(_book!$F$2:$F$379,_book!$C$2:$C$379,$A13,_book!$A$2:$A$379,bkc_lob,_book!$B$2:$B$379,bkc_bu)=0,"—",SUMIFS(_book!$AT$2:$AT$379,_book!$C$2:$C$379,$A13,_book!$A$2:$A$379,bkc_lob,_book!$B$2:$B$379,bkc_bu)/SUMIFS(_book!$F$2:$F$379,_book!$C$2:$C$379,$A13,_book!$A$2:$A$379,bkc_lob,_book!$B$2:$B$379,bkc_bu)))</f>
        <v>—</v>
      </c>
      <c r="AI13" s="50" t="str">
        <f>IF(SUMIFS(_book!$V$2:$V$379,_book!$C$2:$C$379,$A13,_book!$A$2:$A$379,bkc_lob,_book!$B$2:$B$379,bkc_bu)=0,"—",($AH13-$AA13)*100)</f>
        <v>—</v>
      </c>
    </row>
    <row r="14" spans="1:35" x14ac:dyDescent="0.3">
      <c r="A14" s="27" t="s">
        <v>65</v>
      </c>
      <c r="B14" s="28">
        <f>SUMIFS(_book!$F$2:$F$379,_book!$C$2:$C$379,$A14,_book!$A$2:$A$379,bkc_lob,_book!$B$2:$B$379,bkc_bu)</f>
        <v>969000</v>
      </c>
      <c r="C14" s="29">
        <f>IF(SUMIFS(_book!$F$2:$F$379,_book!$C$2:$C$379,$A14,_book!$A$2:$A$379,bkc_lob,_book!$B$2:$B$379,bkc_bu)=0,"—",SUMIFS(_book!$AV$2:$AV$379,_book!$C$2:$C$379,$A14,_book!$A$2:$A$379,bkc_lob,_book!$B$2:$B$379,bkc_bu)/SUMIFS(_book!$F$2:$F$379,_book!$C$2:$C$379,$A14,_book!$A$2:$A$379,bkc_lob,_book!$B$2:$B$379,bkc_bu))</f>
        <v>0.9285882352941176</v>
      </c>
      <c r="D14" s="29">
        <f>IF(SUMIFS(_book!$F$2:$F$379,_book!$C$2:$C$379,$A14,_book!$A$2:$A$379,bkc_lob,_book!$B$2:$B$379,bkc_bu)=0,"—",SUMIFS(_book!$AW$2:$AW$379,_book!$C$2:$C$379,$A14,_book!$A$2:$A$379,bkc_lob,_book!$B$2:$B$379,bkc_bu)/SUMIFS(_book!$F$2:$F$379,_book!$C$2:$C$379,$A14,_book!$A$2:$A$379,bkc_lob,_book!$B$2:$B$379,bkc_bu))</f>
        <v>0.91858823529411759</v>
      </c>
      <c r="E14" s="29">
        <f>IF(SUMIFS(_book!$F$2:$F$379,_book!$C$2:$C$379,$A14,_book!$A$2:$A$379,bkc_lob,_book!$B$2:$B$379,bkc_bu)=0,"—",SUMIFS(_book!$AX$2:$AX$379,_book!$C$2:$C$379,$A14,_book!$A$2:$A$379,bkc_lob,_book!$B$2:$B$379,bkc_bu)/SUMIFS(_book!$F$2:$F$379,_book!$C$2:$C$379,$A14,_book!$A$2:$A$379,bkc_lob,_book!$B$2:$B$379,bkc_bu))</f>
        <v>0.9285882352941176</v>
      </c>
      <c r="F14" s="30" t="str">
        <f>IF(COUNTIFS(_book!$D$2:$D$379,"?*",_book!$C$2:$C$379,$A14,_book!$A$2:$A$379,bkc_lob,_book!$B$2:$B$379,bkc_bu)&lt;&gt;1,"—",INDEX(_book!$DG$2:$DG$379,MATCH(bkf_lob&amp;"|"&amp;bkf_bu&amp;"|"&amp;$A14,_book!$E$2:$E$379,0)))</f>
        <v>—</v>
      </c>
      <c r="G14" s="31" t="str">
        <f>IF(COUNTIFS(_book!$D$2:$D$379,"?*",_book!$C$2:$C$379,$A14,_book!$A$2:$A$379,bkc_lob,_book!$B$2:$B$379,bkc_bu)&lt;&gt;1,"—",INDEX(_book!$DH$2:$DH$379,MATCH(bkf_lob&amp;"|"&amp;bkf_bu&amp;"|"&amp;$A14,_book!$E$2:$E$379,0)))</f>
        <v>—</v>
      </c>
      <c r="H14" s="32" t="str">
        <f>IF(COUNTIFS(_book!$D$2:$D$379,"?*",_book!$C$2:$C$379,$A14,_book!$A$2:$A$379,bkc_lob,_book!$B$2:$B$379,bkc_bu)&lt;&gt;1,"—",INDEX(_book!$DI$2:$DI$379,MATCH(bkf_lob&amp;"|"&amp;bkf_bu&amp;"|"&amp;$A14,_book!$E$2:$E$379,0)))</f>
        <v>—</v>
      </c>
      <c r="I14" s="30" t="str">
        <f>IF(COUNTIFS(_book!$D$2:$D$379,"?*",_book!$C$2:$C$379,$A14,_book!$A$2:$A$379,bkc_lob,_book!$B$2:$B$379,bkc_bu)&lt;&gt;1,"—",INDEX(_book!$DJ$2:$DJ$379,MATCH(bkf_lob&amp;"|"&amp;bkf_bu&amp;"|"&amp;$A14,_book!$E$2:$E$379,0)))</f>
        <v>—</v>
      </c>
      <c r="J14" s="31" t="str">
        <f>IF(COUNTIFS(_book!$D$2:$D$379,"?*",_book!$C$2:$C$379,$A14,_book!$A$2:$A$379,bkc_lob,_book!$B$2:$B$379,bkc_bu)&lt;&gt;1,"—",INDEX(_book!$DK$2:$DK$379,MATCH(bkf_lob&amp;"|"&amp;bkf_bu&amp;"|"&amp;$A14,_book!$E$2:$E$379,0)))</f>
        <v>—</v>
      </c>
      <c r="K14" s="32" t="str">
        <f>IF(COUNTIFS(_book!$D$2:$D$379,"?*",_book!$C$2:$C$379,$A14,_book!$A$2:$A$379,bkc_lob,_book!$B$2:$B$379,bkc_bu)&lt;&gt;1,"—",INDEX(_book!$DL$2:$DL$379,MATCH(bkf_lob&amp;"|"&amp;bkf_bu&amp;"|"&amp;$A14,_book!$E$2:$E$379,0)))</f>
        <v>—</v>
      </c>
      <c r="L14" s="30" t="str">
        <f>IF(COUNTIFS(_book!$D$2:$D$379,"?*",_book!$C$2:$C$379,$A14,_book!$A$2:$A$379,bkc_lob,_book!$B$2:$B$379,bkc_bu)&lt;&gt;1,"—",INDEX(_book!$DM$2:$DM$379,MATCH(bkf_lob&amp;"|"&amp;bkf_bu&amp;"|"&amp;$A14,_book!$E$2:$E$379,0)))</f>
        <v>—</v>
      </c>
      <c r="M14" s="31" t="str">
        <f>IF(COUNTIFS(_book!$D$2:$D$379,"?*",_book!$C$2:$C$379,$A14,_book!$A$2:$A$379,bkc_lob,_book!$B$2:$B$379,bkc_bu)&lt;&gt;1,"—",INDEX(_book!$DN$2:$DN$379,MATCH(bkf_lob&amp;"|"&amp;bkf_bu&amp;"|"&amp;$A14,_book!$E$2:$E$379,0)))</f>
        <v>—</v>
      </c>
      <c r="N14" s="32" t="str">
        <f>IF(COUNTIFS(_book!$D$2:$D$379,"?*",_book!$C$2:$C$379,$A14,_book!$A$2:$A$379,bkc_lob,_book!$B$2:$B$379,bkc_bu)&lt;&gt;1,"—",INDEX(_book!$DO$2:$DO$379,MATCH(bkf_lob&amp;"|"&amp;bkf_bu&amp;"|"&amp;$A14,_book!$E$2:$E$379,0)))</f>
        <v>—</v>
      </c>
      <c r="O14" s="30" t="str">
        <f>IF(COUNTIFS(_book!$D$2:$D$379,"?*",_book!$C$2:$C$379,$A14,_book!$A$2:$A$379,bkc_lob,_book!$B$2:$B$379,bkc_bu)&lt;&gt;1,"—",INDEX(_book!$DP$2:$DP$379,MATCH(bkf_lob&amp;"|"&amp;bkf_bu&amp;"|"&amp;$A14,_book!$E$2:$E$379,0)))</f>
        <v>—</v>
      </c>
      <c r="P14" s="31" t="str">
        <f>IF(COUNTIFS(_book!$D$2:$D$379,"?*",_book!$C$2:$C$379,$A14,_book!$A$2:$A$379,bkc_lob,_book!$B$2:$B$379,bkc_bu)&lt;&gt;1,"—",INDEX(_book!$DQ$2:$DQ$379,MATCH(bkf_lob&amp;"|"&amp;bkf_bu&amp;"|"&amp;$A14,_book!$E$2:$E$379,0)))</f>
        <v>—</v>
      </c>
      <c r="Q14" s="32" t="str">
        <f>IF(COUNTIFS(_book!$D$2:$D$379,"?*",_book!$C$2:$C$379,$A14,_book!$A$2:$A$379,bkc_lob,_book!$B$2:$B$379,bkc_bu)&lt;&gt;1,"—",INDEX(_book!$DR$2:$DR$379,MATCH(bkf_lob&amp;"|"&amp;bkf_bu&amp;"|"&amp;$A14,_book!$E$2:$E$379,0)))</f>
        <v>—</v>
      </c>
      <c r="R14" s="33">
        <f>SUMIFS(_book!$AC$2:$AC$379,_book!$C$2:$C$379,$A14,_book!$A$2:$A$379,bkc_lob,_book!$B$2:$B$379,bkc_bu)</f>
        <v>12</v>
      </c>
      <c r="S14" s="33">
        <f>SUMIFS(_book!$AD$2:$AD$379,_book!$C$2:$C$379,$A14,_book!$A$2:$A$379,bkc_lob,_book!$B$2:$B$379,bkc_bu)</f>
        <v>6</v>
      </c>
      <c r="T14" s="34">
        <f>IF(SUMIFS(_book!$F$2:$F$379,_book!$C$2:$C$379,$A14,_book!$A$2:$A$379,bkc_lob,_book!$B$2:$B$379,bkc_bu)=0,"—",SUMIFS(_book!$AH$2:$AH$379,_book!$C$2:$C$379,$A14,_book!$A$2:$A$379,bkc_lob,_book!$B$2:$B$379,bkc_bu)/SUMIFS(_book!$F$2:$F$379,_book!$C$2:$C$379,$A14,_book!$A$2:$A$379,bkc_lob,_book!$B$2:$B$379,bkc_bu))</f>
        <v>1.0228070175438597</v>
      </c>
      <c r="U14" s="34">
        <f>IF(SUMIFS(_book!$F$2:$F$379,_book!$C$2:$C$379,$A14,_book!$A$2:$A$379,bkc_lob,_book!$B$2:$B$379,bkc_bu)=0,"—",SUMIFS(_book!$AI$2:$AI$379,_book!$C$2:$C$379,$A14,_book!$A$2:$A$379,bkc_lob,_book!$B$2:$B$379,bkc_bu)/SUMIFS(_book!$F$2:$F$379,_book!$C$2:$C$379,$A14,_book!$A$2:$A$379,bkc_lob,_book!$B$2:$B$379,bkc_bu))</f>
        <v>1.0413717750257998</v>
      </c>
      <c r="V14" s="29">
        <f>IF(SUMIFS(_book!$F$2:$F$379,_book!$C$2:$C$379,$A14,_book!$A$2:$A$379,bkc_lob,_book!$B$2:$B$379,bkc_bu)=0,"—",SUMIFS(_book!$AJ$2:$AJ$379,_book!$C$2:$C$379,$A14,_book!$A$2:$A$379,bkc_lob,_book!$B$2:$B$379,bkc_bu)/SUMIFS(_book!$F$2:$F$379,_book!$C$2:$C$379,$A14,_book!$A$2:$A$379,bkc_lob,_book!$B$2:$B$379,bkc_bu))</f>
        <v>0.92227636596918683</v>
      </c>
      <c r="W14" s="35">
        <f>IF(SUMIFS(_book!$F$2:$F$379,_book!$C$2:$C$379,$A14,_book!$A$2:$A$379,bkc_lob,_book!$B$2:$B$379,bkc_bu)=0,"—",SUMIFS(_book!$AN$2:$AN$379,_book!$C$2:$C$379,$A14,_book!$A$2:$A$379,bkc_lob,_book!$B$2:$B$379,bkc_bu)/SUMIFS(_book!$F$2:$F$379,_book!$C$2:$C$379,$A14,_book!$A$2:$A$379,bkc_lob,_book!$B$2:$B$379,bkc_bu))</f>
        <v>0.63416202270381838</v>
      </c>
      <c r="X14" s="34">
        <f>IF(SUMIFS(_book!$F$2:$F$379,_book!$C$2:$C$379,$A14,_book!$A$2:$A$379,bkc_lob,_book!$B$2:$B$379,bkc_bu)=0,"—",SUMIFS(_book!$AK$2:$AK$379,_book!$C$2:$C$379,$A14,_book!$A$2:$A$379,bkc_lob,_book!$B$2:$B$379,bkc_bu)/SUMIFS(_book!$F$2:$F$379,_book!$C$2:$C$379,$A14,_book!$A$2:$A$379,bkc_lob,_book!$B$2:$B$379,bkc_bu))</f>
        <v>0.9824804585645045</v>
      </c>
      <c r="Y14" s="34">
        <f>IF(SUMIFS(_book!$F$2:$F$379,_book!$C$2:$C$379,$A14,_book!$A$2:$A$379,bkc_lob,_book!$B$2:$B$379,bkc_bu)=0,"—",SUMIFS(_book!$AL$2:$AL$379,_book!$C$2:$C$379,$A14,_book!$A$2:$A$379,bkc_lob,_book!$B$2:$B$379,bkc_bu)/SUMIFS(_book!$F$2:$F$379,_book!$C$2:$C$379,$A14,_book!$A$2:$A$379,bkc_lob,_book!$B$2:$B$379,bkc_bu))</f>
        <v>1.0068846959808939</v>
      </c>
      <c r="Z14" s="34">
        <f>IF(SUMIFS(_book!$F$2:$F$379,_book!$C$2:$C$379,$A14,_book!$A$2:$A$379,bkc_lob,_book!$B$2:$B$379,bkc_bu)=0,"—",SUMIFS(_book!$AM$2:$AM$379,_book!$C$2:$C$379,$A14,_book!$A$2:$A$379,bkc_lob,_book!$B$2:$B$379,bkc_bu)/SUMIFS(_book!$F$2:$F$379,_book!$C$2:$C$379,$A14,_book!$A$2:$A$379,bkc_lob,_book!$B$2:$B$379,bkc_bu))</f>
        <v>1</v>
      </c>
      <c r="AA14" s="36">
        <f>IF(COUNTIFS(_book!$D$2:$D$379,"?*",_book!$C$2:$C$379,$A14,_book!$A$2:$A$379,bkc_lob,_book!$B$2:$B$379,bkc_bu)=0,"",IF(COUNTIFS(_book!$D$2:$D$379,"?*",_book!$C$2:$C$379,$A14,_book!$A$2:$A$379,bkc_lob,_book!$B$2:$B$379,bkc_bu)=1,$W14*$X14*$Y14*$Z14,IF(SUMIFS(_book!$F$2:$F$379,_book!$C$2:$C$379,$A14,_book!$A$2:$A$379,bkc_lob,_book!$B$2:$B$379,bkc_bu)=0,"—",SUMIFS(_book!$AO$2:$AO$379,_book!$C$2:$C$379,$A14,_book!$A$2:$A$379,bkc_lob,_book!$B$2:$B$379,bkc_bu)/SUMIFS(_book!$F$2:$F$379,_book!$C$2:$C$379,$A14,_book!$A$2:$A$379,bkc_lob,_book!$B$2:$B$379,bkc_bu))))</f>
        <v>0.62737781201966514</v>
      </c>
      <c r="AB14" s="37">
        <f>IF(COUNTIFS(_book!$D$2:$D$379,"?*",_book!$C$2:$C$379,$A14,_book!$A$2:$A$379,bkc_lob,_book!$B$2:$B$379,bkc_bu)&lt;=1,"",($AA14-$W14*$X14*$Y14*$Z14)*100)</f>
        <v>3.6494961392019576E-3</v>
      </c>
      <c r="AC14" s="31">
        <f>IF(SUMIFS(_book!$F$2:$F$379,_book!$C$2:$C$379,$A14,_book!$A$2:$A$379,bkc_lob,_book!$B$2:$B$379,bkc_bu)=0,"—",SUMIFS(_book!$AQ$2:$AQ$379,_book!$C$2:$C$379,$A14,_book!$A$2:$A$379,bkc_lob,_book!$B$2:$B$379,bkc_bu)/SUMIFS(_book!$F$2:$F$379,_book!$C$2:$C$379,$A14,_book!$A$2:$A$379,bkc_lob,_book!$B$2:$B$379,bkc_bu))</f>
        <v>0</v>
      </c>
      <c r="AD14" s="34">
        <f>IF(SUMIFS(_book!$F$2:$F$379,_book!$C$2:$C$379,$A14,_book!$A$2:$A$379,bkc_lob,_book!$B$2:$B$379,bkc_bu)=0,"—",SUMIFS(_book!$AR$2:$AR$379,_book!$C$2:$C$379,$A14,_book!$A$2:$A$379,bkc_lob,_book!$B$2:$B$379,bkc_bu)/SUMIFS(_book!$F$2:$F$379,_book!$C$2:$C$379,$A14,_book!$A$2:$A$379,bkc_lob,_book!$B$2:$B$379,bkc_bu))</f>
        <v>0.97858496005271389</v>
      </c>
      <c r="AE14" s="34">
        <f>IF(SUMIFS(_book!$F$2:$F$379,_book!$C$2:$C$379,$A14,_book!$A$2:$A$379,bkc_lob,_book!$B$2:$B$379,bkc_bu)=0,"—",SUMIFS(_book!$AS$2:$AS$379,_book!$C$2:$C$379,$A14,_book!$A$2:$A$379,bkc_lob,_book!$B$2:$B$379,bkc_bu)/SUMIFS(_book!$F$2:$F$379,_book!$C$2:$C$379,$A14,_book!$A$2:$A$379,bkc_lob,_book!$B$2:$B$379,bkc_bu))</f>
        <v>0.99617646428628082</v>
      </c>
      <c r="AF14" s="36">
        <f>IF(COUNTIFS(_book!$D$2:$D$379,"?*",_book!$C$2:$C$379,$A14,_book!$A$2:$A$379,bkc_lob,_book!$B$2:$B$379,bkc_bu)=0,"",IF(COUNTIFS(_book!$D$2:$D$379,"?*",_book!$C$2:$C$379,$A14,_book!$A$2:$A$379,bkc_lob,_book!$B$2:$B$379,bkc_bu)=1,$W14*(1+$AC14)*$AD14*$AE14*$Z14,IF(SUMIFS(_book!$F$2:$F$379,_book!$C$2:$C$379,$A14,_book!$A$2:$A$379,bkc_lob,_book!$B$2:$B$379,bkc_bu)=0,"—",SUMIFS(_book!$AP$2:$AP$379,_book!$C$2:$C$379,$A14,_book!$A$2:$A$379,bkc_lob,_book!$B$2:$B$379,bkc_bu)/SUMIFS(_book!$F$2:$F$379,_book!$C$2:$C$379,$A14,_book!$A$2:$A$379,bkc_lob,_book!$B$2:$B$379,bkc_bu))))</f>
        <v>0.6183013644526858</v>
      </c>
      <c r="AG14" s="31" t="str">
        <f>IF(COUNTIFS(_book!$D$2:$D$379,"?*",_book!$C$2:$C$379,$A14,_book!$A$2:$A$379,bkc_lob,_book!$B$2:$B$379,bkc_bu)=0,"",IF(SUMIFS(_book!$V$2:$V$379,_book!$C$2:$C$379,$A14,_book!$A$2:$A$379,bkc_lob,_book!$B$2:$B$379,bkc_bu)=0,"—",SUMIFS(_book!$W$2:$W$379,_book!$C$2:$C$379,$A14,_book!$A$2:$A$379,bkc_lob,_book!$B$2:$B$379,bkc_bu)/SUMIFS(_book!$V$2:$V$379,_book!$C$2:$C$379,$A14,_book!$A$2:$A$379,bkc_lob,_book!$B$2:$B$379,bkc_bu)))</f>
        <v>—</v>
      </c>
      <c r="AH14" s="35" t="str">
        <f>IF(SUMIFS(_book!$V$2:$V$379,_book!$C$2:$C$379,$A14,_book!$A$2:$A$379,bkc_lob,_book!$B$2:$B$379,bkc_bu)=0,"—",IF(SUMIFS(_book!$F$2:$F$379,_book!$C$2:$C$379,$A14,_book!$A$2:$A$379,bkc_lob,_book!$B$2:$B$379,bkc_bu)=0,"—",SUMIFS(_book!$AT$2:$AT$379,_book!$C$2:$C$379,$A14,_book!$A$2:$A$379,bkc_lob,_book!$B$2:$B$379,bkc_bu)/SUMIFS(_book!$F$2:$F$379,_book!$C$2:$C$379,$A14,_book!$A$2:$A$379,bkc_lob,_book!$B$2:$B$379,bkc_bu)))</f>
        <v>—</v>
      </c>
      <c r="AI14" s="38" t="str">
        <f>IF(SUMIFS(_book!$V$2:$V$379,_book!$C$2:$C$379,$A14,_book!$A$2:$A$379,bkc_lob,_book!$B$2:$B$379,bkc_bu)=0,"—",($AH14-$AA14)*100)</f>
        <v>—</v>
      </c>
    </row>
    <row r="15" spans="1:35" x14ac:dyDescent="0.3">
      <c r="A15" s="39" t="s">
        <v>66</v>
      </c>
      <c r="B15" s="40">
        <f>SUMIFS(_book!$F$2:$F$379,_book!$C$2:$C$379,$A15,_book!$A$2:$A$379,bkc_lob,_book!$B$2:$B$379,bkc_bu)</f>
        <v>765000</v>
      </c>
      <c r="C15" s="41">
        <f>IF(SUMIFS(_book!$F$2:$F$379,_book!$C$2:$C$379,$A15,_book!$A$2:$A$379,bkc_lob,_book!$B$2:$B$379,bkc_bu)=0,"—",SUMIFS(_book!$AV$2:$AV$379,_book!$C$2:$C$379,$A15,_book!$A$2:$A$379,bkc_lob,_book!$B$2:$B$379,bkc_bu)/SUMIFS(_book!$F$2:$F$379,_book!$C$2:$C$379,$A15,_book!$A$2:$A$379,bkc_lob,_book!$B$2:$B$379,bkc_bu))</f>
        <v>0.9285882352941176</v>
      </c>
      <c r="D15" s="41">
        <f>IF(SUMIFS(_book!$F$2:$F$379,_book!$C$2:$C$379,$A15,_book!$A$2:$A$379,bkc_lob,_book!$B$2:$B$379,bkc_bu)=0,"—",SUMIFS(_book!$AW$2:$AW$379,_book!$C$2:$C$379,$A15,_book!$A$2:$A$379,bkc_lob,_book!$B$2:$B$379,bkc_bu)/SUMIFS(_book!$F$2:$F$379,_book!$C$2:$C$379,$A15,_book!$A$2:$A$379,bkc_lob,_book!$B$2:$B$379,bkc_bu))</f>
        <v>0.91858823529411759</v>
      </c>
      <c r="E15" s="41">
        <f>IF(SUMIFS(_book!$F$2:$F$379,_book!$C$2:$C$379,$A15,_book!$A$2:$A$379,bkc_lob,_book!$B$2:$B$379,bkc_bu)=0,"—",SUMIFS(_book!$AX$2:$AX$379,_book!$C$2:$C$379,$A15,_book!$A$2:$A$379,bkc_lob,_book!$B$2:$B$379,bkc_bu)/SUMIFS(_book!$F$2:$F$379,_book!$C$2:$C$379,$A15,_book!$A$2:$A$379,bkc_lob,_book!$B$2:$B$379,bkc_bu))</f>
        <v>0.9085882352941177</v>
      </c>
      <c r="F15" s="42" t="str">
        <f>IF(COUNTIFS(_book!$D$2:$D$379,"?*",_book!$C$2:$C$379,$A15,_book!$A$2:$A$379,bkc_lob,_book!$B$2:$B$379,bkc_bu)&lt;&gt;1,"—",INDEX(_book!$DG$2:$DG$379,MATCH(bkf_lob&amp;"|"&amp;bkf_bu&amp;"|"&amp;$A15,_book!$E$2:$E$379,0)))</f>
        <v>—</v>
      </c>
      <c r="G15" s="43" t="str">
        <f>IF(COUNTIFS(_book!$D$2:$D$379,"?*",_book!$C$2:$C$379,$A15,_book!$A$2:$A$379,bkc_lob,_book!$B$2:$B$379,bkc_bu)&lt;&gt;1,"—",INDEX(_book!$DH$2:$DH$379,MATCH(bkf_lob&amp;"|"&amp;bkf_bu&amp;"|"&amp;$A15,_book!$E$2:$E$379,0)))</f>
        <v>—</v>
      </c>
      <c r="H15" s="44" t="str">
        <f>IF(COUNTIFS(_book!$D$2:$D$379,"?*",_book!$C$2:$C$379,$A15,_book!$A$2:$A$379,bkc_lob,_book!$B$2:$B$379,bkc_bu)&lt;&gt;1,"—",INDEX(_book!$DI$2:$DI$379,MATCH(bkf_lob&amp;"|"&amp;bkf_bu&amp;"|"&amp;$A15,_book!$E$2:$E$379,0)))</f>
        <v>—</v>
      </c>
      <c r="I15" s="42" t="str">
        <f>IF(COUNTIFS(_book!$D$2:$D$379,"?*",_book!$C$2:$C$379,$A15,_book!$A$2:$A$379,bkc_lob,_book!$B$2:$B$379,bkc_bu)&lt;&gt;1,"—",INDEX(_book!$DJ$2:$DJ$379,MATCH(bkf_lob&amp;"|"&amp;bkf_bu&amp;"|"&amp;$A15,_book!$E$2:$E$379,0)))</f>
        <v>—</v>
      </c>
      <c r="J15" s="43" t="str">
        <f>IF(COUNTIFS(_book!$D$2:$D$379,"?*",_book!$C$2:$C$379,$A15,_book!$A$2:$A$379,bkc_lob,_book!$B$2:$B$379,bkc_bu)&lt;&gt;1,"—",INDEX(_book!$DK$2:$DK$379,MATCH(bkf_lob&amp;"|"&amp;bkf_bu&amp;"|"&amp;$A15,_book!$E$2:$E$379,0)))</f>
        <v>—</v>
      </c>
      <c r="K15" s="44" t="str">
        <f>IF(COUNTIFS(_book!$D$2:$D$379,"?*",_book!$C$2:$C$379,$A15,_book!$A$2:$A$379,bkc_lob,_book!$B$2:$B$379,bkc_bu)&lt;&gt;1,"—",INDEX(_book!$DL$2:$DL$379,MATCH(bkf_lob&amp;"|"&amp;bkf_bu&amp;"|"&amp;$A15,_book!$E$2:$E$379,0)))</f>
        <v>—</v>
      </c>
      <c r="L15" s="42" t="str">
        <f>IF(COUNTIFS(_book!$D$2:$D$379,"?*",_book!$C$2:$C$379,$A15,_book!$A$2:$A$379,bkc_lob,_book!$B$2:$B$379,bkc_bu)&lt;&gt;1,"—",INDEX(_book!$DM$2:$DM$379,MATCH(bkf_lob&amp;"|"&amp;bkf_bu&amp;"|"&amp;$A15,_book!$E$2:$E$379,0)))</f>
        <v>—</v>
      </c>
      <c r="M15" s="43" t="str">
        <f>IF(COUNTIFS(_book!$D$2:$D$379,"?*",_book!$C$2:$C$379,$A15,_book!$A$2:$A$379,bkc_lob,_book!$B$2:$B$379,bkc_bu)&lt;&gt;1,"—",INDEX(_book!$DN$2:$DN$379,MATCH(bkf_lob&amp;"|"&amp;bkf_bu&amp;"|"&amp;$A15,_book!$E$2:$E$379,0)))</f>
        <v>—</v>
      </c>
      <c r="N15" s="44" t="str">
        <f>IF(COUNTIFS(_book!$D$2:$D$379,"?*",_book!$C$2:$C$379,$A15,_book!$A$2:$A$379,bkc_lob,_book!$B$2:$B$379,bkc_bu)&lt;&gt;1,"—",INDEX(_book!$DO$2:$DO$379,MATCH(bkf_lob&amp;"|"&amp;bkf_bu&amp;"|"&amp;$A15,_book!$E$2:$E$379,0)))</f>
        <v>—</v>
      </c>
      <c r="O15" s="42" t="str">
        <f>IF(COUNTIFS(_book!$D$2:$D$379,"?*",_book!$C$2:$C$379,$A15,_book!$A$2:$A$379,bkc_lob,_book!$B$2:$B$379,bkc_bu)&lt;&gt;1,"—",INDEX(_book!$DP$2:$DP$379,MATCH(bkf_lob&amp;"|"&amp;bkf_bu&amp;"|"&amp;$A15,_book!$E$2:$E$379,0)))</f>
        <v>—</v>
      </c>
      <c r="P15" s="43" t="str">
        <f>IF(COUNTIFS(_book!$D$2:$D$379,"?*",_book!$C$2:$C$379,$A15,_book!$A$2:$A$379,bkc_lob,_book!$B$2:$B$379,bkc_bu)&lt;&gt;1,"—",INDEX(_book!$DQ$2:$DQ$379,MATCH(bkf_lob&amp;"|"&amp;bkf_bu&amp;"|"&amp;$A15,_book!$E$2:$E$379,0)))</f>
        <v>—</v>
      </c>
      <c r="Q15" s="44" t="str">
        <f>IF(COUNTIFS(_book!$D$2:$D$379,"?*",_book!$C$2:$C$379,$A15,_book!$A$2:$A$379,bkc_lob,_book!$B$2:$B$379,bkc_bu)&lt;&gt;1,"—",INDEX(_book!$DR$2:$DR$379,MATCH(bkf_lob&amp;"|"&amp;bkf_bu&amp;"|"&amp;$A15,_book!$E$2:$E$379,0)))</f>
        <v>—</v>
      </c>
      <c r="R15" s="45">
        <f>SUMIFS(_book!$AC$2:$AC$379,_book!$C$2:$C$379,$A15,_book!$A$2:$A$379,bkc_lob,_book!$B$2:$B$379,bkc_bu)</f>
        <v>18</v>
      </c>
      <c r="S15" s="45">
        <f>SUMIFS(_book!$AD$2:$AD$379,_book!$C$2:$C$379,$A15,_book!$A$2:$A$379,bkc_lob,_book!$B$2:$B$379,bkc_bu)</f>
        <v>6</v>
      </c>
      <c r="T15" s="46">
        <f>IF(SUMIFS(_book!$F$2:$F$379,_book!$C$2:$C$379,$A15,_book!$A$2:$A$379,bkc_lob,_book!$B$2:$B$379,bkc_bu)=0,"—",SUMIFS(_book!$AH$2:$AH$379,_book!$C$2:$C$379,$A15,_book!$A$2:$A$379,bkc_lob,_book!$B$2:$B$379,bkc_bu)/SUMIFS(_book!$F$2:$F$379,_book!$C$2:$C$379,$A15,_book!$A$2:$A$379,bkc_lob,_book!$B$2:$B$379,bkc_bu))</f>
        <v>1.0504444444444445</v>
      </c>
      <c r="U15" s="46">
        <f>IF(SUMIFS(_book!$F$2:$F$379,_book!$C$2:$C$379,$A15,_book!$A$2:$A$379,bkc_lob,_book!$B$2:$B$379,bkc_bu)=0,"—",SUMIFS(_book!$AI$2:$AI$379,_book!$C$2:$C$379,$A15,_book!$A$2:$A$379,bkc_lob,_book!$B$2:$B$379,bkc_bu)/SUMIFS(_book!$F$2:$F$379,_book!$C$2:$C$379,$A15,_book!$A$2:$A$379,bkc_lob,_book!$B$2:$B$379,bkc_bu))</f>
        <v>1.0479630704429919</v>
      </c>
      <c r="V15" s="41">
        <f>IF(SUMIFS(_book!$F$2:$F$379,_book!$C$2:$C$379,$A15,_book!$A$2:$A$379,bkc_lob,_book!$B$2:$B$379,bkc_bu)=0,"—",SUMIFS(_book!$AJ$2:$AJ$379,_book!$C$2:$C$379,$A15,_book!$A$2:$A$379,bkc_lob,_book!$B$2:$B$379,bkc_bu)/SUMIFS(_book!$F$2:$F$379,_book!$C$2:$C$379,$A15,_book!$A$2:$A$379,bkc_lob,_book!$B$2:$B$379,bkc_bu))</f>
        <v>0.91649846612605645</v>
      </c>
      <c r="W15" s="47">
        <f>IF(SUMIFS(_book!$F$2:$F$379,_book!$C$2:$C$379,$A15,_book!$A$2:$A$379,bkc_lob,_book!$B$2:$B$379,bkc_bu)=0,"—",SUMIFS(_book!$AN$2:$AN$379,_book!$C$2:$C$379,$A15,_book!$A$2:$A$379,bkc_lob,_book!$B$2:$B$379,bkc_bu)/SUMIFS(_book!$F$2:$F$379,_book!$C$2:$C$379,$A15,_book!$A$2:$A$379,bkc_lob,_book!$B$2:$B$379,bkc_bu))</f>
        <v>0.63277254901960789</v>
      </c>
      <c r="X15" s="46">
        <f>IF(SUMIFS(_book!$F$2:$F$379,_book!$C$2:$C$379,$A15,_book!$A$2:$A$379,bkc_lob,_book!$B$2:$B$379,bkc_bu)=0,"—",SUMIFS(_book!$AK$2:$AK$379,_book!$C$2:$C$379,$A15,_book!$A$2:$A$379,bkc_lob,_book!$B$2:$B$379,bkc_bu)/SUMIFS(_book!$F$2:$F$379,_book!$C$2:$C$379,$A15,_book!$A$2:$A$379,bkc_lob,_book!$B$2:$B$379,bkc_bu))</f>
        <v>1.0024010138643675</v>
      </c>
      <c r="Y15" s="46">
        <f>IF(SUMIFS(_book!$F$2:$F$379,_book!$C$2:$C$379,$A15,_book!$A$2:$A$379,bkc_lob,_book!$B$2:$B$379,bkc_bu)=0,"—",SUMIFS(_book!$AL$2:$AL$379,_book!$C$2:$C$379,$A15,_book!$A$2:$A$379,bkc_lob,_book!$B$2:$B$379,bkc_bu)/SUMIFS(_book!$F$2:$F$379,_book!$C$2:$C$379,$A15,_book!$A$2:$A$379,bkc_lob,_book!$B$2:$B$379,bkc_bu))</f>
        <v>1.0132466839556689</v>
      </c>
      <c r="Z15" s="46">
        <f>IF(SUMIFS(_book!$F$2:$F$379,_book!$C$2:$C$379,$A15,_book!$A$2:$A$379,bkc_lob,_book!$B$2:$B$379,bkc_bu)=0,"—",SUMIFS(_book!$AM$2:$AM$379,_book!$C$2:$C$379,$A15,_book!$A$2:$A$379,bkc_lob,_book!$B$2:$B$379,bkc_bu)/SUMIFS(_book!$F$2:$F$379,_book!$C$2:$C$379,$A15,_book!$A$2:$A$379,bkc_lob,_book!$B$2:$B$379,bkc_bu))</f>
        <v>1</v>
      </c>
      <c r="AA15" s="48">
        <f>IF(COUNTIFS(_book!$D$2:$D$379,"?*",_book!$C$2:$C$379,$A15,_book!$A$2:$A$379,bkc_lob,_book!$B$2:$B$379,bkc_bu)=0,"",IF(COUNTIFS(_book!$D$2:$D$379,"?*",_book!$C$2:$C$379,$A15,_book!$A$2:$A$379,bkc_lob,_book!$B$2:$B$379,bkc_bu)=1,$W15*$X15*$Y15*$Z15,IF(SUMIFS(_book!$F$2:$F$379,_book!$C$2:$C$379,$A15,_book!$A$2:$A$379,bkc_lob,_book!$B$2:$B$379,bkc_bu)=0,"—",SUMIFS(_book!$AO$2:$AO$379,_book!$C$2:$C$379,$A15,_book!$A$2:$A$379,bkc_lob,_book!$B$2:$B$379,bkc_bu)/SUMIFS(_book!$F$2:$F$379,_book!$C$2:$C$379,$A15,_book!$A$2:$A$379,bkc_lob,_book!$B$2:$B$379,bkc_bu))))</f>
        <v>0.64271136494625281</v>
      </c>
      <c r="AB15" s="49">
        <f>IF(COUNTIFS(_book!$D$2:$D$379,"?*",_book!$C$2:$C$379,$A15,_book!$A$2:$A$379,bkc_lob,_book!$B$2:$B$379,bkc_bu)&lt;=1,"",($AA15-$W15*$X15*$Y15*$Z15)*100)</f>
        <v>1.7256661286380037E-3</v>
      </c>
      <c r="AC15" s="43">
        <f>IF(SUMIFS(_book!$F$2:$F$379,_book!$C$2:$C$379,$A15,_book!$A$2:$A$379,bkc_lob,_book!$B$2:$B$379,bkc_bu)=0,"—",SUMIFS(_book!$AQ$2:$AQ$379,_book!$C$2:$C$379,$A15,_book!$A$2:$A$379,bkc_lob,_book!$B$2:$B$379,bkc_bu)/SUMIFS(_book!$F$2:$F$379,_book!$C$2:$C$379,$A15,_book!$A$2:$A$379,bkc_lob,_book!$B$2:$B$379,bkc_bu))</f>
        <v>0</v>
      </c>
      <c r="AD15" s="46">
        <f>IF(SUMIFS(_book!$F$2:$F$379,_book!$C$2:$C$379,$A15,_book!$A$2:$A$379,bkc_lob,_book!$B$2:$B$379,bkc_bu)=0,"—",SUMIFS(_book!$AR$2:$AR$379,_book!$C$2:$C$379,$A15,_book!$A$2:$A$379,bkc_lob,_book!$B$2:$B$379,bkc_bu)/SUMIFS(_book!$F$2:$F$379,_book!$C$2:$C$379,$A15,_book!$A$2:$A$379,bkc_lob,_book!$B$2:$B$379,bkc_bu))</f>
        <v>0.98992628364935698</v>
      </c>
      <c r="AE15" s="46">
        <f>IF(SUMIFS(_book!$F$2:$F$379,_book!$C$2:$C$379,$A15,_book!$A$2:$A$379,bkc_lob,_book!$B$2:$B$379,bkc_bu)=0,"—",SUMIFS(_book!$AS$2:$AS$379,_book!$C$2:$C$379,$A15,_book!$A$2:$A$379,bkc_lob,_book!$B$2:$B$379,bkc_bu)/SUMIFS(_book!$F$2:$F$379,_book!$C$2:$C$379,$A15,_book!$A$2:$A$379,bkc_lob,_book!$B$2:$B$379,bkc_bu))</f>
        <v>1.0206427660228443</v>
      </c>
      <c r="AF15" s="48">
        <f>IF(COUNTIFS(_book!$D$2:$D$379,"?*",_book!$C$2:$C$379,$A15,_book!$A$2:$A$379,bkc_lob,_book!$B$2:$B$379,bkc_bu)=0,"",IF(COUNTIFS(_book!$D$2:$D$379,"?*",_book!$C$2:$C$379,$A15,_book!$A$2:$A$379,bkc_lob,_book!$B$2:$B$379,bkc_bu)=1,$W15*(1+$AC15)*$AD15*$AE15*$Z15,IF(SUMIFS(_book!$F$2:$F$379,_book!$C$2:$C$379,$A15,_book!$A$2:$A$379,bkc_lob,_book!$B$2:$B$379,bkc_bu)=0,"—",SUMIFS(_book!$AP$2:$AP$379,_book!$C$2:$C$379,$A15,_book!$A$2:$A$379,bkc_lob,_book!$B$2:$B$379,bkc_bu)/SUMIFS(_book!$F$2:$F$379,_book!$C$2:$C$379,$A15,_book!$A$2:$A$379,bkc_lob,_book!$B$2:$B$379,bkc_bu))))</f>
        <v>0.63946551668999696</v>
      </c>
      <c r="AG15" s="43" t="str">
        <f>IF(COUNTIFS(_book!$D$2:$D$379,"?*",_book!$C$2:$C$379,$A15,_book!$A$2:$A$379,bkc_lob,_book!$B$2:$B$379,bkc_bu)=0,"",IF(SUMIFS(_book!$V$2:$V$379,_book!$C$2:$C$379,$A15,_book!$A$2:$A$379,bkc_lob,_book!$B$2:$B$379,bkc_bu)=0,"—",SUMIFS(_book!$W$2:$W$379,_book!$C$2:$C$379,$A15,_book!$A$2:$A$379,bkc_lob,_book!$B$2:$B$379,bkc_bu)/SUMIFS(_book!$V$2:$V$379,_book!$C$2:$C$379,$A15,_book!$A$2:$A$379,bkc_lob,_book!$B$2:$B$379,bkc_bu)))</f>
        <v>—</v>
      </c>
      <c r="AH15" s="47" t="str">
        <f>IF(SUMIFS(_book!$V$2:$V$379,_book!$C$2:$C$379,$A15,_book!$A$2:$A$379,bkc_lob,_book!$B$2:$B$379,bkc_bu)=0,"—",IF(SUMIFS(_book!$F$2:$F$379,_book!$C$2:$C$379,$A15,_book!$A$2:$A$379,bkc_lob,_book!$B$2:$B$379,bkc_bu)=0,"—",SUMIFS(_book!$AT$2:$AT$379,_book!$C$2:$C$379,$A15,_book!$A$2:$A$379,bkc_lob,_book!$B$2:$B$379,bkc_bu)/SUMIFS(_book!$F$2:$F$379,_book!$C$2:$C$379,$A15,_book!$A$2:$A$379,bkc_lob,_book!$B$2:$B$379,bkc_bu)))</f>
        <v>—</v>
      </c>
      <c r="AI15" s="50" t="str">
        <f>IF(SUMIFS(_book!$V$2:$V$379,_book!$C$2:$C$379,$A15,_book!$A$2:$A$379,bkc_lob,_book!$B$2:$B$379,bkc_bu)=0,"—",($AH15-$AA15)*100)</f>
        <v>—</v>
      </c>
    </row>
    <row r="16" spans="1:35" x14ac:dyDescent="0.3">
      <c r="A16" s="27" t="s">
        <v>67</v>
      </c>
      <c r="B16" s="28">
        <f>SUMIFS(_book!$F$2:$F$379,_book!$C$2:$C$379,$A16,_book!$A$2:$A$379,bkc_lob,_book!$B$2:$B$379,bkc_bu)</f>
        <v>561000</v>
      </c>
      <c r="C16" s="29">
        <f>IF(SUMIFS(_book!$F$2:$F$379,_book!$C$2:$C$379,$A16,_book!$A$2:$A$379,bkc_lob,_book!$B$2:$B$379,bkc_bu)=0,"—",SUMIFS(_book!$AV$2:$AV$379,_book!$C$2:$C$379,$A16,_book!$A$2:$A$379,bkc_lob,_book!$B$2:$B$379,bkc_bu)/SUMIFS(_book!$F$2:$F$379,_book!$C$2:$C$379,$A16,_book!$A$2:$A$379,bkc_lob,_book!$B$2:$B$379,bkc_bu))</f>
        <v>0.9285882352941176</v>
      </c>
      <c r="D16" s="29">
        <f>IF(SUMIFS(_book!$F$2:$F$379,_book!$C$2:$C$379,$A16,_book!$A$2:$A$379,bkc_lob,_book!$B$2:$B$379,bkc_bu)=0,"—",SUMIFS(_book!$AW$2:$AW$379,_book!$C$2:$C$379,$A16,_book!$A$2:$A$379,bkc_lob,_book!$B$2:$B$379,bkc_bu)/SUMIFS(_book!$F$2:$F$379,_book!$C$2:$C$379,$A16,_book!$A$2:$A$379,bkc_lob,_book!$B$2:$B$379,bkc_bu))</f>
        <v>0.91858823529411759</v>
      </c>
      <c r="E16" s="29">
        <f>IF(SUMIFS(_book!$F$2:$F$379,_book!$C$2:$C$379,$A16,_book!$A$2:$A$379,bkc_lob,_book!$B$2:$B$379,bkc_bu)=0,"—",SUMIFS(_book!$AX$2:$AX$379,_book!$C$2:$C$379,$A16,_book!$A$2:$A$379,bkc_lob,_book!$B$2:$B$379,bkc_bu)/SUMIFS(_book!$F$2:$F$379,_book!$C$2:$C$379,$A16,_book!$A$2:$A$379,bkc_lob,_book!$B$2:$B$379,bkc_bu))</f>
        <v>0.9235882352941176</v>
      </c>
      <c r="F16" s="30" t="str">
        <f>IF(COUNTIFS(_book!$D$2:$D$379,"?*",_book!$C$2:$C$379,$A16,_book!$A$2:$A$379,bkc_lob,_book!$B$2:$B$379,bkc_bu)&lt;&gt;1,"—",INDEX(_book!$DG$2:$DG$379,MATCH(bkf_lob&amp;"|"&amp;bkf_bu&amp;"|"&amp;$A16,_book!$E$2:$E$379,0)))</f>
        <v>—</v>
      </c>
      <c r="G16" s="31" t="str">
        <f>IF(COUNTIFS(_book!$D$2:$D$379,"?*",_book!$C$2:$C$379,$A16,_book!$A$2:$A$379,bkc_lob,_book!$B$2:$B$379,bkc_bu)&lt;&gt;1,"—",INDEX(_book!$DH$2:$DH$379,MATCH(bkf_lob&amp;"|"&amp;bkf_bu&amp;"|"&amp;$A16,_book!$E$2:$E$379,0)))</f>
        <v>—</v>
      </c>
      <c r="H16" s="32" t="str">
        <f>IF(COUNTIFS(_book!$D$2:$D$379,"?*",_book!$C$2:$C$379,$A16,_book!$A$2:$A$379,bkc_lob,_book!$B$2:$B$379,bkc_bu)&lt;&gt;1,"—",INDEX(_book!$DI$2:$DI$379,MATCH(bkf_lob&amp;"|"&amp;bkf_bu&amp;"|"&amp;$A16,_book!$E$2:$E$379,0)))</f>
        <v>—</v>
      </c>
      <c r="I16" s="30" t="str">
        <f>IF(COUNTIFS(_book!$D$2:$D$379,"?*",_book!$C$2:$C$379,$A16,_book!$A$2:$A$379,bkc_lob,_book!$B$2:$B$379,bkc_bu)&lt;&gt;1,"—",INDEX(_book!$DJ$2:$DJ$379,MATCH(bkf_lob&amp;"|"&amp;bkf_bu&amp;"|"&amp;$A16,_book!$E$2:$E$379,0)))</f>
        <v>—</v>
      </c>
      <c r="J16" s="31" t="str">
        <f>IF(COUNTIFS(_book!$D$2:$D$379,"?*",_book!$C$2:$C$379,$A16,_book!$A$2:$A$379,bkc_lob,_book!$B$2:$B$379,bkc_bu)&lt;&gt;1,"—",INDEX(_book!$DK$2:$DK$379,MATCH(bkf_lob&amp;"|"&amp;bkf_bu&amp;"|"&amp;$A16,_book!$E$2:$E$379,0)))</f>
        <v>—</v>
      </c>
      <c r="K16" s="32" t="str">
        <f>IF(COUNTIFS(_book!$D$2:$D$379,"?*",_book!$C$2:$C$379,$A16,_book!$A$2:$A$379,bkc_lob,_book!$B$2:$B$379,bkc_bu)&lt;&gt;1,"—",INDEX(_book!$DL$2:$DL$379,MATCH(bkf_lob&amp;"|"&amp;bkf_bu&amp;"|"&amp;$A16,_book!$E$2:$E$379,0)))</f>
        <v>—</v>
      </c>
      <c r="L16" s="30" t="str">
        <f>IF(COUNTIFS(_book!$D$2:$D$379,"?*",_book!$C$2:$C$379,$A16,_book!$A$2:$A$379,bkc_lob,_book!$B$2:$B$379,bkc_bu)&lt;&gt;1,"—",INDEX(_book!$DM$2:$DM$379,MATCH(bkf_lob&amp;"|"&amp;bkf_bu&amp;"|"&amp;$A16,_book!$E$2:$E$379,0)))</f>
        <v>—</v>
      </c>
      <c r="M16" s="31" t="str">
        <f>IF(COUNTIFS(_book!$D$2:$D$379,"?*",_book!$C$2:$C$379,$A16,_book!$A$2:$A$379,bkc_lob,_book!$B$2:$B$379,bkc_bu)&lt;&gt;1,"—",INDEX(_book!$DN$2:$DN$379,MATCH(bkf_lob&amp;"|"&amp;bkf_bu&amp;"|"&amp;$A16,_book!$E$2:$E$379,0)))</f>
        <v>—</v>
      </c>
      <c r="N16" s="32" t="str">
        <f>IF(COUNTIFS(_book!$D$2:$D$379,"?*",_book!$C$2:$C$379,$A16,_book!$A$2:$A$379,bkc_lob,_book!$B$2:$B$379,bkc_bu)&lt;&gt;1,"—",INDEX(_book!$DO$2:$DO$379,MATCH(bkf_lob&amp;"|"&amp;bkf_bu&amp;"|"&amp;$A16,_book!$E$2:$E$379,0)))</f>
        <v>—</v>
      </c>
      <c r="O16" s="30" t="str">
        <f>IF(COUNTIFS(_book!$D$2:$D$379,"?*",_book!$C$2:$C$379,$A16,_book!$A$2:$A$379,bkc_lob,_book!$B$2:$B$379,bkc_bu)&lt;&gt;1,"—",INDEX(_book!$DP$2:$DP$379,MATCH(bkf_lob&amp;"|"&amp;bkf_bu&amp;"|"&amp;$A16,_book!$E$2:$E$379,0)))</f>
        <v>—</v>
      </c>
      <c r="P16" s="31" t="str">
        <f>IF(COUNTIFS(_book!$D$2:$D$379,"?*",_book!$C$2:$C$379,$A16,_book!$A$2:$A$379,bkc_lob,_book!$B$2:$B$379,bkc_bu)&lt;&gt;1,"—",INDEX(_book!$DQ$2:$DQ$379,MATCH(bkf_lob&amp;"|"&amp;bkf_bu&amp;"|"&amp;$A16,_book!$E$2:$E$379,0)))</f>
        <v>—</v>
      </c>
      <c r="Q16" s="32" t="str">
        <f>IF(COUNTIFS(_book!$D$2:$D$379,"?*",_book!$C$2:$C$379,$A16,_book!$A$2:$A$379,bkc_lob,_book!$B$2:$B$379,bkc_bu)&lt;&gt;1,"—",INDEX(_book!$DR$2:$DR$379,MATCH(bkf_lob&amp;"|"&amp;bkf_bu&amp;"|"&amp;$A16,_book!$E$2:$E$379,0)))</f>
        <v>—</v>
      </c>
      <c r="R16" s="33">
        <f>SUMIFS(_book!$AC$2:$AC$379,_book!$C$2:$C$379,$A16,_book!$A$2:$A$379,bkc_lob,_book!$B$2:$B$379,bkc_bu)</f>
        <v>6</v>
      </c>
      <c r="S16" s="33">
        <f>SUMIFS(_book!$AD$2:$AD$379,_book!$C$2:$C$379,$A16,_book!$A$2:$A$379,bkc_lob,_book!$B$2:$B$379,bkc_bu)</f>
        <v>12</v>
      </c>
      <c r="T16" s="34">
        <f>IF(SUMIFS(_book!$F$2:$F$379,_book!$C$2:$C$379,$A16,_book!$A$2:$A$379,bkc_lob,_book!$B$2:$B$379,bkc_bu)=0,"—",SUMIFS(_book!$AH$2:$AH$379,_book!$C$2:$C$379,$A16,_book!$A$2:$A$379,bkc_lob,_book!$B$2:$B$379,bkc_bu)/SUMIFS(_book!$F$2:$F$379,_book!$C$2:$C$379,$A16,_book!$A$2:$A$379,bkc_lob,_book!$B$2:$B$379,bkc_bu))</f>
        <v>1</v>
      </c>
      <c r="U16" s="34">
        <f>IF(SUMIFS(_book!$F$2:$F$379,_book!$C$2:$C$379,$A16,_book!$A$2:$A$379,bkc_lob,_book!$B$2:$B$379,bkc_bu)=0,"—",SUMIFS(_book!$AI$2:$AI$379,_book!$C$2:$C$379,$A16,_book!$A$2:$A$379,bkc_lob,_book!$B$2:$B$379,bkc_bu)/SUMIFS(_book!$F$2:$F$379,_book!$C$2:$C$379,$A16,_book!$A$2:$A$379,bkc_lob,_book!$B$2:$B$379,bkc_bu))</f>
        <v>1.0236023241245797</v>
      </c>
      <c r="V16" s="29">
        <f>IF(SUMIFS(_book!$F$2:$F$379,_book!$C$2:$C$379,$A16,_book!$A$2:$A$379,bkc_lob,_book!$B$2:$B$379,bkc_bu)=0,"—",SUMIFS(_book!$AJ$2:$AJ$379,_book!$C$2:$C$379,$A16,_book!$A$2:$A$379,bkc_lob,_book!$B$2:$B$379,bkc_bu)/SUMIFS(_book!$F$2:$F$379,_book!$C$2:$C$379,$A16,_book!$A$2:$A$379,bkc_lob,_book!$B$2:$B$379,bkc_bu))</f>
        <v>0.91963311987814833</v>
      </c>
      <c r="W16" s="35">
        <f>IF(SUMIFS(_book!$F$2:$F$379,_book!$C$2:$C$379,$A16,_book!$A$2:$A$379,bkc_lob,_book!$B$2:$B$379,bkc_bu)=0,"—",SUMIFS(_book!$AN$2:$AN$379,_book!$C$2:$C$379,$A16,_book!$A$2:$A$379,bkc_lob,_book!$B$2:$B$379,bkc_bu)/SUMIFS(_book!$F$2:$F$379,_book!$C$2:$C$379,$A16,_book!$A$2:$A$379,bkc_lob,_book!$B$2:$B$379,bkc_bu))</f>
        <v>0.63267557932263818</v>
      </c>
      <c r="X16" s="34">
        <f>IF(SUMIFS(_book!$F$2:$F$379,_book!$C$2:$C$379,$A16,_book!$A$2:$A$379,bkc_lob,_book!$B$2:$B$379,bkc_bu)=0,"—",SUMIFS(_book!$AK$2:$AK$379,_book!$C$2:$C$379,$A16,_book!$A$2:$A$379,bkc_lob,_book!$B$2:$B$379,bkc_bu)/SUMIFS(_book!$F$2:$F$379,_book!$C$2:$C$379,$A16,_book!$A$2:$A$379,bkc_lob,_book!$B$2:$B$379,bkc_bu))</f>
        <v>0.97779416443626943</v>
      </c>
      <c r="Y16" s="34">
        <f>IF(SUMIFS(_book!$F$2:$F$379,_book!$C$2:$C$379,$A16,_book!$A$2:$A$379,bkc_lob,_book!$B$2:$B$379,bkc_bu)=0,"—",SUMIFS(_book!$AL$2:$AL$379,_book!$C$2:$C$379,$A16,_book!$A$2:$A$379,bkc_lob,_book!$B$2:$B$379,bkc_bu)/SUMIFS(_book!$F$2:$F$379,_book!$C$2:$C$379,$A16,_book!$A$2:$A$379,bkc_lob,_book!$B$2:$B$379,bkc_bu))</f>
        <v>1.0062220769090895</v>
      </c>
      <c r="Z16" s="34">
        <f>IF(SUMIFS(_book!$F$2:$F$379,_book!$C$2:$C$379,$A16,_book!$A$2:$A$379,bkc_lob,_book!$B$2:$B$379,bkc_bu)=0,"—",SUMIFS(_book!$AM$2:$AM$379,_book!$C$2:$C$379,$A16,_book!$A$2:$A$379,bkc_lob,_book!$B$2:$B$379,bkc_bu)/SUMIFS(_book!$F$2:$F$379,_book!$C$2:$C$379,$A16,_book!$A$2:$A$379,bkc_lob,_book!$B$2:$B$379,bkc_bu))</f>
        <v>1</v>
      </c>
      <c r="AA16" s="36">
        <f>IF(COUNTIFS(_book!$D$2:$D$379,"?*",_book!$C$2:$C$379,$A16,_book!$A$2:$A$379,bkc_lob,_book!$B$2:$B$379,bkc_bu)=0,"",IF(COUNTIFS(_book!$D$2:$D$379,"?*",_book!$C$2:$C$379,$A16,_book!$A$2:$A$379,bkc_lob,_book!$B$2:$B$379,bkc_bu)=1,$W16*$X16*$Y16*$Z16,IF(SUMIFS(_book!$F$2:$F$379,_book!$C$2:$C$379,$A16,_book!$A$2:$A$379,bkc_lob,_book!$B$2:$B$379,bkc_bu)=0,"—",SUMIFS(_book!$AO$2:$AO$379,_book!$C$2:$C$379,$A16,_book!$A$2:$A$379,bkc_lob,_book!$B$2:$B$379,bkc_bu)/SUMIFS(_book!$F$2:$F$379,_book!$C$2:$C$379,$A16,_book!$A$2:$A$379,bkc_lob,_book!$B$2:$B$379,bkc_bu))))</f>
        <v>0.62220100904985076</v>
      </c>
      <c r="AB16" s="37">
        <f>IF(COUNTIFS(_book!$D$2:$D$379,"?*",_book!$C$2:$C$379,$A16,_book!$A$2:$A$379,bkc_lob,_book!$B$2:$B$379,bkc_bu)&lt;=1,"",($AA16-$W16*$X16*$Y16*$Z16)*100)</f>
        <v>-2.7462198847538755E-2</v>
      </c>
      <c r="AC16" s="31">
        <f>IF(SUMIFS(_book!$F$2:$F$379,_book!$C$2:$C$379,$A16,_book!$A$2:$A$379,bkc_lob,_book!$B$2:$B$379,bkc_bu)=0,"—",SUMIFS(_book!$AQ$2:$AQ$379,_book!$C$2:$C$379,$A16,_book!$A$2:$A$379,bkc_lob,_book!$B$2:$B$379,bkc_bu)/SUMIFS(_book!$F$2:$F$379,_book!$C$2:$C$379,$A16,_book!$A$2:$A$379,bkc_lob,_book!$B$2:$B$379,bkc_bu))</f>
        <v>0</v>
      </c>
      <c r="AD16" s="34">
        <f>IF(SUMIFS(_book!$F$2:$F$379,_book!$C$2:$C$379,$A16,_book!$A$2:$A$379,bkc_lob,_book!$B$2:$B$379,bkc_bu)=0,"—",SUMIFS(_book!$AR$2:$AR$379,_book!$C$2:$C$379,$A16,_book!$A$2:$A$379,bkc_lob,_book!$B$2:$B$379,bkc_bu)/SUMIFS(_book!$F$2:$F$379,_book!$C$2:$C$379,$A16,_book!$A$2:$A$379,bkc_lob,_book!$B$2:$B$379,bkc_bu))</f>
        <v>0.93770699008837077</v>
      </c>
      <c r="AE16" s="34">
        <f>IF(SUMIFS(_book!$F$2:$F$379,_book!$C$2:$C$379,$A16,_book!$A$2:$A$379,bkc_lob,_book!$B$2:$B$379,bkc_bu)=0,"—",SUMIFS(_book!$AS$2:$AS$379,_book!$C$2:$C$379,$A16,_book!$A$2:$A$379,bkc_lob,_book!$B$2:$B$379,bkc_bu)/SUMIFS(_book!$F$2:$F$379,_book!$C$2:$C$379,$A16,_book!$A$2:$A$379,bkc_lob,_book!$B$2:$B$379,bkc_bu))</f>
        <v>1.0039102426242641</v>
      </c>
      <c r="AF16" s="36">
        <f>IF(COUNTIFS(_book!$D$2:$D$379,"?*",_book!$C$2:$C$379,$A16,_book!$A$2:$A$379,bkc_lob,_book!$B$2:$B$379,bkc_bu)=0,"",IF(COUNTIFS(_book!$D$2:$D$379,"?*",_book!$C$2:$C$379,$A16,_book!$A$2:$A$379,bkc_lob,_book!$B$2:$B$379,bkc_bu)=1,$W16*(1+$AC16)*$AD16*$AE16*$Z16,IF(SUMIFS(_book!$F$2:$F$379,_book!$C$2:$C$379,$A16,_book!$A$2:$A$379,bkc_lob,_book!$B$2:$B$379,bkc_bu)=0,"—",SUMIFS(_book!$AP$2:$AP$379,_book!$C$2:$C$379,$A16,_book!$A$2:$A$379,bkc_lob,_book!$B$2:$B$379,bkc_bu)/SUMIFS(_book!$F$2:$F$379,_book!$C$2:$C$379,$A16,_book!$A$2:$A$379,bkc_lob,_book!$B$2:$B$379,bkc_bu))))</f>
        <v>0.59490704852005472</v>
      </c>
      <c r="AG16" s="31">
        <f>IF(COUNTIFS(_book!$D$2:$D$379,"?*",_book!$C$2:$C$379,$A16,_book!$A$2:$A$379,bkc_lob,_book!$B$2:$B$379,bkc_bu)=0,"",IF(SUMIFS(_book!$V$2:$V$379,_book!$C$2:$C$379,$A16,_book!$A$2:$A$379,bkc_lob,_book!$B$2:$B$379,bkc_bu)=0,"—",SUMIFS(_book!$W$2:$W$379,_book!$C$2:$C$379,$A16,_book!$A$2:$A$379,bkc_lob,_book!$B$2:$B$379,bkc_bu)/SUMIFS(_book!$V$2:$V$379,_book!$C$2:$C$379,$A16,_book!$A$2:$A$379,bkc_lob,_book!$B$2:$B$379,bkc_bu)))</f>
        <v>9.9999999999999992E-2</v>
      </c>
      <c r="AH16" s="35">
        <f>IF(SUMIFS(_book!$V$2:$V$379,_book!$C$2:$C$379,$A16,_book!$A$2:$A$379,bkc_lob,_book!$B$2:$B$379,bkc_bu)=0,"—",IF(SUMIFS(_book!$F$2:$F$379,_book!$C$2:$C$379,$A16,_book!$A$2:$A$379,bkc_lob,_book!$B$2:$B$379,bkc_bu)=0,"—",SUMIFS(_book!$AT$2:$AT$379,_book!$C$2:$C$379,$A16,_book!$A$2:$A$379,bkc_lob,_book!$B$2:$B$379,bkc_bu)/SUMIFS(_book!$F$2:$F$379,_book!$C$2:$C$379,$A16,_book!$A$2:$A$379,bkc_lob,_book!$B$2:$B$379,bkc_bu)))</f>
        <v>0.61983809869668405</v>
      </c>
      <c r="AI16" s="38">
        <f>IF(SUMIFS(_book!$V$2:$V$379,_book!$C$2:$C$379,$A16,_book!$A$2:$A$379,bkc_lob,_book!$B$2:$B$379,bkc_bu)=0,"—",($AH16-$AA16)*100)</f>
        <v>-0.23629103531667139</v>
      </c>
    </row>
    <row r="17" spans="1:35" x14ac:dyDescent="0.3">
      <c r="A17" s="39" t="s">
        <v>73</v>
      </c>
      <c r="B17" s="40">
        <f>SUMIFS(_book!$F$2:$F$379,_book!$C$2:$C$379,$A17,_book!$A$2:$A$379,bkc_lob,_book!$B$2:$B$379,bkc_bu)</f>
        <v>935000</v>
      </c>
      <c r="C17" s="41">
        <f>IF(SUMIFS(_book!$F$2:$F$379,_book!$C$2:$C$379,$A17,_book!$A$2:$A$379,bkc_lob,_book!$B$2:$B$379,bkc_bu)=0,"—",SUMIFS(_book!$AV$2:$AV$379,_book!$C$2:$C$379,$A17,_book!$A$2:$A$379,bkc_lob,_book!$B$2:$B$379,bkc_bu)/SUMIFS(_book!$F$2:$F$379,_book!$C$2:$C$379,$A17,_book!$A$2:$A$379,bkc_lob,_book!$B$2:$B$379,bkc_bu))</f>
        <v>0.9285882352941176</v>
      </c>
      <c r="D17" s="41">
        <f>IF(SUMIFS(_book!$F$2:$F$379,_book!$C$2:$C$379,$A17,_book!$A$2:$A$379,bkc_lob,_book!$B$2:$B$379,bkc_bu)=0,"—",SUMIFS(_book!$AW$2:$AW$379,_book!$C$2:$C$379,$A17,_book!$A$2:$A$379,bkc_lob,_book!$B$2:$B$379,bkc_bu)/SUMIFS(_book!$F$2:$F$379,_book!$C$2:$C$379,$A17,_book!$A$2:$A$379,bkc_lob,_book!$B$2:$B$379,bkc_bu))</f>
        <v>0.91858823529411759</v>
      </c>
      <c r="E17" s="41">
        <f>IF(SUMIFS(_book!$F$2:$F$379,_book!$C$2:$C$379,$A17,_book!$A$2:$A$379,bkc_lob,_book!$B$2:$B$379,bkc_bu)=0,"—",SUMIFS(_book!$AX$2:$AX$379,_book!$C$2:$C$379,$A17,_book!$A$2:$A$379,bkc_lob,_book!$B$2:$B$379,bkc_bu)/SUMIFS(_book!$F$2:$F$379,_book!$C$2:$C$379,$A17,_book!$A$2:$A$379,bkc_lob,_book!$B$2:$B$379,bkc_bu))</f>
        <v>0.93858823529411761</v>
      </c>
      <c r="F17" s="42" t="str">
        <f>IF(COUNTIFS(_book!$D$2:$D$379,"?*",_book!$C$2:$C$379,$A17,_book!$A$2:$A$379,bkc_lob,_book!$B$2:$B$379,bkc_bu)&lt;&gt;1,"—",INDEX(_book!$DG$2:$DG$379,MATCH(bkf_lob&amp;"|"&amp;bkf_bu&amp;"|"&amp;$A17,_book!$E$2:$E$379,0)))</f>
        <v>—</v>
      </c>
      <c r="G17" s="43" t="str">
        <f>IF(COUNTIFS(_book!$D$2:$D$379,"?*",_book!$C$2:$C$379,$A17,_book!$A$2:$A$379,bkc_lob,_book!$B$2:$B$379,bkc_bu)&lt;&gt;1,"—",INDEX(_book!$DH$2:$DH$379,MATCH(bkf_lob&amp;"|"&amp;bkf_bu&amp;"|"&amp;$A17,_book!$E$2:$E$379,0)))</f>
        <v>—</v>
      </c>
      <c r="H17" s="44" t="str">
        <f>IF(COUNTIFS(_book!$D$2:$D$379,"?*",_book!$C$2:$C$379,$A17,_book!$A$2:$A$379,bkc_lob,_book!$B$2:$B$379,bkc_bu)&lt;&gt;1,"—",INDEX(_book!$DI$2:$DI$379,MATCH(bkf_lob&amp;"|"&amp;bkf_bu&amp;"|"&amp;$A17,_book!$E$2:$E$379,0)))</f>
        <v>—</v>
      </c>
      <c r="I17" s="42" t="str">
        <f>IF(COUNTIFS(_book!$D$2:$D$379,"?*",_book!$C$2:$C$379,$A17,_book!$A$2:$A$379,bkc_lob,_book!$B$2:$B$379,bkc_bu)&lt;&gt;1,"—",INDEX(_book!$DJ$2:$DJ$379,MATCH(bkf_lob&amp;"|"&amp;bkf_bu&amp;"|"&amp;$A17,_book!$E$2:$E$379,0)))</f>
        <v>—</v>
      </c>
      <c r="J17" s="43" t="str">
        <f>IF(COUNTIFS(_book!$D$2:$D$379,"?*",_book!$C$2:$C$379,$A17,_book!$A$2:$A$379,bkc_lob,_book!$B$2:$B$379,bkc_bu)&lt;&gt;1,"—",INDEX(_book!$DK$2:$DK$379,MATCH(bkf_lob&amp;"|"&amp;bkf_bu&amp;"|"&amp;$A17,_book!$E$2:$E$379,0)))</f>
        <v>—</v>
      </c>
      <c r="K17" s="44" t="str">
        <f>IF(COUNTIFS(_book!$D$2:$D$379,"?*",_book!$C$2:$C$379,$A17,_book!$A$2:$A$379,bkc_lob,_book!$B$2:$B$379,bkc_bu)&lt;&gt;1,"—",INDEX(_book!$DL$2:$DL$379,MATCH(bkf_lob&amp;"|"&amp;bkf_bu&amp;"|"&amp;$A17,_book!$E$2:$E$379,0)))</f>
        <v>—</v>
      </c>
      <c r="L17" s="42" t="str">
        <f>IF(COUNTIFS(_book!$D$2:$D$379,"?*",_book!$C$2:$C$379,$A17,_book!$A$2:$A$379,bkc_lob,_book!$B$2:$B$379,bkc_bu)&lt;&gt;1,"—",INDEX(_book!$DM$2:$DM$379,MATCH(bkf_lob&amp;"|"&amp;bkf_bu&amp;"|"&amp;$A17,_book!$E$2:$E$379,0)))</f>
        <v>—</v>
      </c>
      <c r="M17" s="43" t="str">
        <f>IF(COUNTIFS(_book!$D$2:$D$379,"?*",_book!$C$2:$C$379,$A17,_book!$A$2:$A$379,bkc_lob,_book!$B$2:$B$379,bkc_bu)&lt;&gt;1,"—",INDEX(_book!$DN$2:$DN$379,MATCH(bkf_lob&amp;"|"&amp;bkf_bu&amp;"|"&amp;$A17,_book!$E$2:$E$379,0)))</f>
        <v>—</v>
      </c>
      <c r="N17" s="44" t="str">
        <f>IF(COUNTIFS(_book!$D$2:$D$379,"?*",_book!$C$2:$C$379,$A17,_book!$A$2:$A$379,bkc_lob,_book!$B$2:$B$379,bkc_bu)&lt;&gt;1,"—",INDEX(_book!$DO$2:$DO$379,MATCH(bkf_lob&amp;"|"&amp;bkf_bu&amp;"|"&amp;$A17,_book!$E$2:$E$379,0)))</f>
        <v>—</v>
      </c>
      <c r="O17" s="42" t="str">
        <f>IF(COUNTIFS(_book!$D$2:$D$379,"?*",_book!$C$2:$C$379,$A17,_book!$A$2:$A$379,bkc_lob,_book!$B$2:$B$379,bkc_bu)&lt;&gt;1,"—",INDEX(_book!$DP$2:$DP$379,MATCH(bkf_lob&amp;"|"&amp;bkf_bu&amp;"|"&amp;$A17,_book!$E$2:$E$379,0)))</f>
        <v>—</v>
      </c>
      <c r="P17" s="43" t="str">
        <f>IF(COUNTIFS(_book!$D$2:$D$379,"?*",_book!$C$2:$C$379,$A17,_book!$A$2:$A$379,bkc_lob,_book!$B$2:$B$379,bkc_bu)&lt;&gt;1,"—",INDEX(_book!$DQ$2:$DQ$379,MATCH(bkf_lob&amp;"|"&amp;bkf_bu&amp;"|"&amp;$A17,_book!$E$2:$E$379,0)))</f>
        <v>—</v>
      </c>
      <c r="Q17" s="44" t="str">
        <f>IF(COUNTIFS(_book!$D$2:$D$379,"?*",_book!$C$2:$C$379,$A17,_book!$A$2:$A$379,bkc_lob,_book!$B$2:$B$379,bkc_bu)&lt;&gt;1,"—",INDEX(_book!$DR$2:$DR$379,MATCH(bkf_lob&amp;"|"&amp;bkf_bu&amp;"|"&amp;$A17,_book!$E$2:$E$379,0)))</f>
        <v>—</v>
      </c>
      <c r="R17" s="45">
        <f>SUMIFS(_book!$AC$2:$AC$379,_book!$C$2:$C$379,$A17,_book!$A$2:$A$379,bkc_lob,_book!$B$2:$B$379,bkc_bu)</f>
        <v>18</v>
      </c>
      <c r="S17" s="45">
        <f>SUMIFS(_book!$AD$2:$AD$379,_book!$C$2:$C$379,$A17,_book!$A$2:$A$379,bkc_lob,_book!$B$2:$B$379,bkc_bu)</f>
        <v>6</v>
      </c>
      <c r="T17" s="46">
        <f>IF(SUMIFS(_book!$F$2:$F$379,_book!$C$2:$C$379,$A17,_book!$A$2:$A$379,bkc_lob,_book!$B$2:$B$379,bkc_bu)=0,"—",SUMIFS(_book!$AH$2:$AH$379,_book!$C$2:$C$379,$A17,_book!$A$2:$A$379,bkc_lob,_book!$B$2:$B$379,bkc_bu)/SUMIFS(_book!$F$2:$F$379,_book!$C$2:$C$379,$A17,_book!$A$2:$A$379,bkc_lob,_book!$B$2:$B$379,bkc_bu))</f>
        <v>1.0381818181818181</v>
      </c>
      <c r="U17" s="46">
        <f>IF(SUMIFS(_book!$F$2:$F$379,_book!$C$2:$C$379,$A17,_book!$A$2:$A$379,bkc_lob,_book!$B$2:$B$379,bkc_bu)=0,"—",SUMIFS(_book!$AI$2:$AI$379,_book!$C$2:$C$379,$A17,_book!$A$2:$A$379,bkc_lob,_book!$B$2:$B$379,bkc_bu)/SUMIFS(_book!$F$2:$F$379,_book!$C$2:$C$379,$A17,_book!$A$2:$A$379,bkc_lob,_book!$B$2:$B$379,bkc_bu))</f>
        <v>1.0307939358288771</v>
      </c>
      <c r="V17" s="41">
        <f>IF(SUMIFS(_book!$F$2:$F$379,_book!$C$2:$C$379,$A17,_book!$A$2:$A$379,bkc_lob,_book!$B$2:$B$379,bkc_bu)=0,"—",SUMIFS(_book!$AJ$2:$AJ$379,_book!$C$2:$C$379,$A17,_book!$A$2:$A$379,bkc_lob,_book!$B$2:$B$379,bkc_bu)/SUMIFS(_book!$F$2:$F$379,_book!$C$2:$C$379,$A17,_book!$A$2:$A$379,bkc_lob,_book!$B$2:$B$379,bkc_bu))</f>
        <v>0.92276777363023987</v>
      </c>
      <c r="W17" s="47">
        <f>IF(SUMIFS(_book!$F$2:$F$379,_book!$C$2:$C$379,$A17,_book!$A$2:$A$379,bkc_lob,_book!$B$2:$B$379,bkc_bu)=0,"—",SUMIFS(_book!$AN$2:$AN$379,_book!$C$2:$C$379,$A17,_book!$A$2:$A$379,bkc_lob,_book!$B$2:$B$379,bkc_bu)/SUMIFS(_book!$F$2:$F$379,_book!$C$2:$C$379,$A17,_book!$A$2:$A$379,bkc_lob,_book!$B$2:$B$379,bkc_bu))</f>
        <v>0.62974224598930484</v>
      </c>
      <c r="X17" s="46">
        <f>IF(SUMIFS(_book!$F$2:$F$379,_book!$C$2:$C$379,$A17,_book!$A$2:$A$379,bkc_lob,_book!$B$2:$B$379,bkc_bu)=0,"—",SUMIFS(_book!$AK$2:$AK$379,_book!$C$2:$C$379,$A17,_book!$A$2:$A$379,bkc_lob,_book!$B$2:$B$379,bkc_bu)/SUMIFS(_book!$F$2:$F$379,_book!$C$2:$C$379,$A17,_book!$A$2:$A$379,bkc_lob,_book!$B$2:$B$379,bkc_bu))</f>
        <v>1.0071014071025131</v>
      </c>
      <c r="Y17" s="46">
        <f>IF(SUMIFS(_book!$F$2:$F$379,_book!$C$2:$C$379,$A17,_book!$A$2:$A$379,bkc_lob,_book!$B$2:$B$379,bkc_bu)=0,"—",SUMIFS(_book!$AL$2:$AL$379,_book!$C$2:$C$379,$A17,_book!$A$2:$A$379,bkc_lob,_book!$B$2:$B$379,bkc_bu)/SUMIFS(_book!$F$2:$F$379,_book!$C$2:$C$379,$A17,_book!$A$2:$A$379,bkc_lob,_book!$B$2:$B$379,bkc_bu))</f>
        <v>1.0063331554742274</v>
      </c>
      <c r="Z17" s="46">
        <f>IF(SUMIFS(_book!$F$2:$F$379,_book!$C$2:$C$379,$A17,_book!$A$2:$A$379,bkc_lob,_book!$B$2:$B$379,bkc_bu)=0,"—",SUMIFS(_book!$AM$2:$AM$379,_book!$C$2:$C$379,$A17,_book!$A$2:$A$379,bkc_lob,_book!$B$2:$B$379,bkc_bu)/SUMIFS(_book!$F$2:$F$379,_book!$C$2:$C$379,$A17,_book!$A$2:$A$379,bkc_lob,_book!$B$2:$B$379,bkc_bu))</f>
        <v>1</v>
      </c>
      <c r="AA17" s="48">
        <f>IF(COUNTIFS(_book!$D$2:$D$379,"?*",_book!$C$2:$C$379,$A17,_book!$A$2:$A$379,bkc_lob,_book!$B$2:$B$379,bkc_bu)=0,"",IF(COUNTIFS(_book!$D$2:$D$379,"?*",_book!$C$2:$C$379,$A17,_book!$A$2:$A$379,bkc_lob,_book!$B$2:$B$379,bkc_bu)=1,$W17*$X17*$Y17*$Z17,IF(SUMIFS(_book!$F$2:$F$379,_book!$C$2:$C$379,$A17,_book!$A$2:$A$379,bkc_lob,_book!$B$2:$B$379,bkc_bu)=0,"—",SUMIFS(_book!$AO$2:$AO$379,_book!$C$2:$C$379,$A17,_book!$A$2:$A$379,bkc_lob,_book!$B$2:$B$379,bkc_bu)/SUMIFS(_book!$F$2:$F$379,_book!$C$2:$C$379,$A17,_book!$A$2:$A$379,bkc_lob,_book!$B$2:$B$379,bkc_bu))))</f>
        <v>0.63832837666519981</v>
      </c>
      <c r="AB17" s="49">
        <f>IF(COUNTIFS(_book!$D$2:$D$379,"?*",_book!$C$2:$C$379,$A17,_book!$A$2:$A$379,bkc_lob,_book!$B$2:$B$379,bkc_bu)&lt;=1,"",($AA17-$W17*$X17*$Y17*$Z17)*100)</f>
        <v>9.7496838627142424E-3</v>
      </c>
      <c r="AC17" s="43">
        <f>IF(SUMIFS(_book!$F$2:$F$379,_book!$C$2:$C$379,$A17,_book!$A$2:$A$379,bkc_lob,_book!$B$2:$B$379,bkc_bu)=0,"—",SUMIFS(_book!$AQ$2:$AQ$379,_book!$C$2:$C$379,$A17,_book!$A$2:$A$379,bkc_lob,_book!$B$2:$B$379,bkc_bu)/SUMIFS(_book!$F$2:$F$379,_book!$C$2:$C$379,$A17,_book!$A$2:$A$379,bkc_lob,_book!$B$2:$B$379,bkc_bu))</f>
        <v>0</v>
      </c>
      <c r="AD17" s="46">
        <f>IF(SUMIFS(_book!$F$2:$F$379,_book!$C$2:$C$379,$A17,_book!$A$2:$A$379,bkc_lob,_book!$B$2:$B$379,bkc_bu)=0,"—",SUMIFS(_book!$AR$2:$AR$379,_book!$C$2:$C$379,$A17,_book!$A$2:$A$379,bkc_lob,_book!$B$2:$B$379,bkc_bu)/SUMIFS(_book!$F$2:$F$379,_book!$C$2:$C$379,$A17,_book!$A$2:$A$379,bkc_lob,_book!$B$2:$B$379,bkc_bu))</f>
        <v>0.98815193588305028</v>
      </c>
      <c r="AE17" s="46">
        <f>IF(SUMIFS(_book!$F$2:$F$379,_book!$C$2:$C$379,$A17,_book!$A$2:$A$379,bkc_lob,_book!$B$2:$B$379,bkc_bu)=0,"—",SUMIFS(_book!$AS$2:$AS$379,_book!$C$2:$C$379,$A17,_book!$A$2:$A$379,bkc_lob,_book!$B$2:$B$379,bkc_bu)/SUMIFS(_book!$F$2:$F$379,_book!$C$2:$C$379,$A17,_book!$A$2:$A$379,bkc_lob,_book!$B$2:$B$379,bkc_bu))</f>
        <v>0.99205454955524841</v>
      </c>
      <c r="AF17" s="48">
        <f>IF(COUNTIFS(_book!$D$2:$D$379,"?*",_book!$C$2:$C$379,$A17,_book!$A$2:$A$379,bkc_lob,_book!$B$2:$B$379,bkc_bu)=0,"",IF(COUNTIFS(_book!$D$2:$D$379,"?*",_book!$C$2:$C$379,$A17,_book!$A$2:$A$379,bkc_lob,_book!$B$2:$B$379,bkc_bu)=1,$W17*(1+$AC17)*$AD17*$AE17*$Z17,IF(SUMIFS(_book!$F$2:$F$379,_book!$C$2:$C$379,$A17,_book!$A$2:$A$379,bkc_lob,_book!$B$2:$B$379,bkc_bu)=0,"—",SUMIFS(_book!$AP$2:$AP$379,_book!$C$2:$C$379,$A17,_book!$A$2:$A$379,bkc_lob,_book!$B$2:$B$379,bkc_bu)/SUMIFS(_book!$F$2:$F$379,_book!$C$2:$C$379,$A17,_book!$A$2:$A$379,bkc_lob,_book!$B$2:$B$379,bkc_bu))))</f>
        <v>0.61718697248052623</v>
      </c>
      <c r="AG17" s="43" t="str">
        <f>IF(COUNTIFS(_book!$D$2:$D$379,"?*",_book!$C$2:$C$379,$A17,_book!$A$2:$A$379,bkc_lob,_book!$B$2:$B$379,bkc_bu)=0,"",IF(SUMIFS(_book!$V$2:$V$379,_book!$C$2:$C$379,$A17,_book!$A$2:$A$379,bkc_lob,_book!$B$2:$B$379,bkc_bu)=0,"—",SUMIFS(_book!$W$2:$W$379,_book!$C$2:$C$379,$A17,_book!$A$2:$A$379,bkc_lob,_book!$B$2:$B$379,bkc_bu)/SUMIFS(_book!$V$2:$V$379,_book!$C$2:$C$379,$A17,_book!$A$2:$A$379,bkc_lob,_book!$B$2:$B$379,bkc_bu)))</f>
        <v>—</v>
      </c>
      <c r="AH17" s="47" t="str">
        <f>IF(SUMIFS(_book!$V$2:$V$379,_book!$C$2:$C$379,$A17,_book!$A$2:$A$379,bkc_lob,_book!$B$2:$B$379,bkc_bu)=0,"—",IF(SUMIFS(_book!$F$2:$F$379,_book!$C$2:$C$379,$A17,_book!$A$2:$A$379,bkc_lob,_book!$B$2:$B$379,bkc_bu)=0,"—",SUMIFS(_book!$AT$2:$AT$379,_book!$C$2:$C$379,$A17,_book!$A$2:$A$379,bkc_lob,_book!$B$2:$B$379,bkc_bu)/SUMIFS(_book!$F$2:$F$379,_book!$C$2:$C$379,$A17,_book!$A$2:$A$379,bkc_lob,_book!$B$2:$B$379,bkc_bu)))</f>
        <v>—</v>
      </c>
      <c r="AI17" s="50" t="str">
        <f>IF(SUMIFS(_book!$V$2:$V$379,_book!$C$2:$C$379,$A17,_book!$A$2:$A$379,bkc_lob,_book!$B$2:$B$379,bkc_bu)=0,"—",($AH17-$AA17)*100)</f>
        <v>—</v>
      </c>
    </row>
    <row r="18" spans="1:35" x14ac:dyDescent="0.3">
      <c r="A18" s="27" t="s">
        <v>78</v>
      </c>
      <c r="B18" s="28">
        <f>SUMIFS(_book!$F$2:$F$379,_book!$C$2:$C$379,$A18,_book!$A$2:$A$379,bkc_lob,_book!$B$2:$B$379,bkc_bu)</f>
        <v>1020000</v>
      </c>
      <c r="C18" s="29">
        <f>IF(SUMIFS(_book!$F$2:$F$379,_book!$C$2:$C$379,$A18,_book!$A$2:$A$379,bkc_lob,_book!$B$2:$B$379,bkc_bu)=0,"—",SUMIFS(_book!$AV$2:$AV$379,_book!$C$2:$C$379,$A18,_book!$A$2:$A$379,bkc_lob,_book!$B$2:$B$379,bkc_bu)/SUMIFS(_book!$F$2:$F$379,_book!$C$2:$C$379,$A18,_book!$A$2:$A$379,bkc_lob,_book!$B$2:$B$379,bkc_bu))</f>
        <v>0.9285882352941176</v>
      </c>
      <c r="D18" s="29">
        <f>IF(SUMIFS(_book!$F$2:$F$379,_book!$C$2:$C$379,$A18,_book!$A$2:$A$379,bkc_lob,_book!$B$2:$B$379,bkc_bu)=0,"—",SUMIFS(_book!$AW$2:$AW$379,_book!$C$2:$C$379,$A18,_book!$A$2:$A$379,bkc_lob,_book!$B$2:$B$379,bkc_bu)/SUMIFS(_book!$F$2:$F$379,_book!$C$2:$C$379,$A18,_book!$A$2:$A$379,bkc_lob,_book!$B$2:$B$379,bkc_bu))</f>
        <v>0.91858823529411759</v>
      </c>
      <c r="E18" s="29">
        <f>IF(SUMIFS(_book!$F$2:$F$379,_book!$C$2:$C$379,$A18,_book!$A$2:$A$379,bkc_lob,_book!$B$2:$B$379,bkc_bu)=0,"—",SUMIFS(_book!$AX$2:$AX$379,_book!$C$2:$C$379,$A18,_book!$A$2:$A$379,bkc_lob,_book!$B$2:$B$379,bkc_bu)/SUMIFS(_book!$F$2:$F$379,_book!$C$2:$C$379,$A18,_book!$A$2:$A$379,bkc_lob,_book!$B$2:$B$379,bkc_bu))</f>
        <v>0.91858823529411759</v>
      </c>
      <c r="F18" s="30" t="str">
        <f>IF(COUNTIFS(_book!$D$2:$D$379,"?*",_book!$C$2:$C$379,$A18,_book!$A$2:$A$379,bkc_lob,_book!$B$2:$B$379,bkc_bu)&lt;&gt;1,"—",INDEX(_book!$DG$2:$DG$379,MATCH(bkf_lob&amp;"|"&amp;bkf_bu&amp;"|"&amp;$A18,_book!$E$2:$E$379,0)))</f>
        <v>—</v>
      </c>
      <c r="G18" s="31" t="str">
        <f>IF(COUNTIFS(_book!$D$2:$D$379,"?*",_book!$C$2:$C$379,$A18,_book!$A$2:$A$379,bkc_lob,_book!$B$2:$B$379,bkc_bu)&lt;&gt;1,"—",INDEX(_book!$DH$2:$DH$379,MATCH(bkf_lob&amp;"|"&amp;bkf_bu&amp;"|"&amp;$A18,_book!$E$2:$E$379,0)))</f>
        <v>—</v>
      </c>
      <c r="H18" s="32" t="str">
        <f>IF(COUNTIFS(_book!$D$2:$D$379,"?*",_book!$C$2:$C$379,$A18,_book!$A$2:$A$379,bkc_lob,_book!$B$2:$B$379,bkc_bu)&lt;&gt;1,"—",INDEX(_book!$DI$2:$DI$379,MATCH(bkf_lob&amp;"|"&amp;bkf_bu&amp;"|"&amp;$A18,_book!$E$2:$E$379,0)))</f>
        <v>—</v>
      </c>
      <c r="I18" s="30" t="str">
        <f>IF(COUNTIFS(_book!$D$2:$D$379,"?*",_book!$C$2:$C$379,$A18,_book!$A$2:$A$379,bkc_lob,_book!$B$2:$B$379,bkc_bu)&lt;&gt;1,"—",INDEX(_book!$DJ$2:$DJ$379,MATCH(bkf_lob&amp;"|"&amp;bkf_bu&amp;"|"&amp;$A18,_book!$E$2:$E$379,0)))</f>
        <v>—</v>
      </c>
      <c r="J18" s="31" t="str">
        <f>IF(COUNTIFS(_book!$D$2:$D$379,"?*",_book!$C$2:$C$379,$A18,_book!$A$2:$A$379,bkc_lob,_book!$B$2:$B$379,bkc_bu)&lt;&gt;1,"—",INDEX(_book!$DK$2:$DK$379,MATCH(bkf_lob&amp;"|"&amp;bkf_bu&amp;"|"&amp;$A18,_book!$E$2:$E$379,0)))</f>
        <v>—</v>
      </c>
      <c r="K18" s="32" t="str">
        <f>IF(COUNTIFS(_book!$D$2:$D$379,"?*",_book!$C$2:$C$379,$A18,_book!$A$2:$A$379,bkc_lob,_book!$B$2:$B$379,bkc_bu)&lt;&gt;1,"—",INDEX(_book!$DL$2:$DL$379,MATCH(bkf_lob&amp;"|"&amp;bkf_bu&amp;"|"&amp;$A18,_book!$E$2:$E$379,0)))</f>
        <v>—</v>
      </c>
      <c r="L18" s="30" t="str">
        <f>IF(COUNTIFS(_book!$D$2:$D$379,"?*",_book!$C$2:$C$379,$A18,_book!$A$2:$A$379,bkc_lob,_book!$B$2:$B$379,bkc_bu)&lt;&gt;1,"—",INDEX(_book!$DM$2:$DM$379,MATCH(bkf_lob&amp;"|"&amp;bkf_bu&amp;"|"&amp;$A18,_book!$E$2:$E$379,0)))</f>
        <v>—</v>
      </c>
      <c r="M18" s="31" t="str">
        <f>IF(COUNTIFS(_book!$D$2:$D$379,"?*",_book!$C$2:$C$379,$A18,_book!$A$2:$A$379,bkc_lob,_book!$B$2:$B$379,bkc_bu)&lt;&gt;1,"—",INDEX(_book!$DN$2:$DN$379,MATCH(bkf_lob&amp;"|"&amp;bkf_bu&amp;"|"&amp;$A18,_book!$E$2:$E$379,0)))</f>
        <v>—</v>
      </c>
      <c r="N18" s="32" t="str">
        <f>IF(COUNTIFS(_book!$D$2:$D$379,"?*",_book!$C$2:$C$379,$A18,_book!$A$2:$A$379,bkc_lob,_book!$B$2:$B$379,bkc_bu)&lt;&gt;1,"—",INDEX(_book!$DO$2:$DO$379,MATCH(bkf_lob&amp;"|"&amp;bkf_bu&amp;"|"&amp;$A18,_book!$E$2:$E$379,0)))</f>
        <v>—</v>
      </c>
      <c r="O18" s="30" t="str">
        <f>IF(COUNTIFS(_book!$D$2:$D$379,"?*",_book!$C$2:$C$379,$A18,_book!$A$2:$A$379,bkc_lob,_book!$B$2:$B$379,bkc_bu)&lt;&gt;1,"—",INDEX(_book!$DP$2:$DP$379,MATCH(bkf_lob&amp;"|"&amp;bkf_bu&amp;"|"&amp;$A18,_book!$E$2:$E$379,0)))</f>
        <v>—</v>
      </c>
      <c r="P18" s="31" t="str">
        <f>IF(COUNTIFS(_book!$D$2:$D$379,"?*",_book!$C$2:$C$379,$A18,_book!$A$2:$A$379,bkc_lob,_book!$B$2:$B$379,bkc_bu)&lt;&gt;1,"—",INDEX(_book!$DQ$2:$DQ$379,MATCH(bkf_lob&amp;"|"&amp;bkf_bu&amp;"|"&amp;$A18,_book!$E$2:$E$379,0)))</f>
        <v>—</v>
      </c>
      <c r="Q18" s="32" t="str">
        <f>IF(COUNTIFS(_book!$D$2:$D$379,"?*",_book!$C$2:$C$379,$A18,_book!$A$2:$A$379,bkc_lob,_book!$B$2:$B$379,bkc_bu)&lt;&gt;1,"—",INDEX(_book!$DR$2:$DR$379,MATCH(bkf_lob&amp;"|"&amp;bkf_bu&amp;"|"&amp;$A18,_book!$E$2:$E$379,0)))</f>
        <v>—</v>
      </c>
      <c r="R18" s="33">
        <f>SUMIFS(_book!$AC$2:$AC$379,_book!$C$2:$C$379,$A18,_book!$A$2:$A$379,bkc_lob,_book!$B$2:$B$379,bkc_bu)</f>
        <v>18</v>
      </c>
      <c r="S18" s="33">
        <f>SUMIFS(_book!$AD$2:$AD$379,_book!$C$2:$C$379,$A18,_book!$A$2:$A$379,bkc_lob,_book!$B$2:$B$379,bkc_bu)</f>
        <v>0</v>
      </c>
      <c r="T18" s="34">
        <f>IF(SUMIFS(_book!$F$2:$F$379,_book!$C$2:$C$379,$A18,_book!$A$2:$A$379,bkc_lob,_book!$B$2:$B$379,bkc_bu)=0,"—",SUMIFS(_book!$AH$2:$AH$379,_book!$C$2:$C$379,$A18,_book!$A$2:$A$379,bkc_lob,_book!$B$2:$B$379,bkc_bu)/SUMIFS(_book!$F$2:$F$379,_book!$C$2:$C$379,$A18,_book!$A$2:$A$379,bkc_lob,_book!$B$2:$B$379,bkc_bu))</f>
        <v>1.0303333333333333</v>
      </c>
      <c r="U18" s="34">
        <f>IF(SUMIFS(_book!$F$2:$F$379,_book!$C$2:$C$379,$A18,_book!$A$2:$A$379,bkc_lob,_book!$B$2:$B$379,bkc_bu)=0,"—",SUMIFS(_book!$AI$2:$AI$379,_book!$C$2:$C$379,$A18,_book!$A$2:$A$379,bkc_lob,_book!$B$2:$B$379,bkc_bu)/SUMIFS(_book!$F$2:$F$379,_book!$C$2:$C$379,$A18,_book!$A$2:$A$379,bkc_lob,_book!$B$2:$B$379,bkc_bu))</f>
        <v>1.0258388616557734</v>
      </c>
      <c r="V18" s="29">
        <f>IF(SUMIFS(_book!$F$2:$F$379,_book!$C$2:$C$379,$A18,_book!$A$2:$A$379,bkc_lob,_book!$B$2:$B$379,bkc_bu)=0,"—",SUMIFS(_book!$AJ$2:$AJ$379,_book!$C$2:$C$379,$A18,_book!$A$2:$A$379,bkc_lob,_book!$B$2:$B$379,bkc_bu)/SUMIFS(_book!$F$2:$F$379,_book!$C$2:$C$379,$A18,_book!$A$2:$A$379,bkc_lob,_book!$B$2:$B$379,bkc_bu))</f>
        <v>0.91858823529411759</v>
      </c>
      <c r="W18" s="35">
        <f>IF(SUMIFS(_book!$F$2:$F$379,_book!$C$2:$C$379,$A18,_book!$A$2:$A$379,bkc_lob,_book!$B$2:$B$379,bkc_bu)=0,"—",SUMIFS(_book!$AN$2:$AN$379,_book!$C$2:$C$379,$A18,_book!$A$2:$A$379,bkc_lob,_book!$B$2:$B$379,bkc_bu)/SUMIFS(_book!$F$2:$F$379,_book!$C$2:$C$379,$A18,_book!$A$2:$A$379,bkc_lob,_book!$B$2:$B$379,bkc_bu))</f>
        <v>0.62883921568627454</v>
      </c>
      <c r="X18" s="34">
        <f>IF(SUMIFS(_book!$F$2:$F$379,_book!$C$2:$C$379,$A18,_book!$A$2:$A$379,bkc_lob,_book!$B$2:$B$379,bkc_bu)=0,"—",SUMIFS(_book!$AK$2:$AK$379,_book!$C$2:$C$379,$A18,_book!$A$2:$A$379,bkc_lob,_book!$B$2:$B$379,bkc_bu)/SUMIFS(_book!$F$2:$F$379,_book!$C$2:$C$379,$A18,_book!$A$2:$A$379,bkc_lob,_book!$B$2:$B$379,bkc_bu))</f>
        <v>1.0044004277774889</v>
      </c>
      <c r="Y18" s="34">
        <f>IF(SUMIFS(_book!$F$2:$F$379,_book!$C$2:$C$379,$A18,_book!$A$2:$A$379,bkc_lob,_book!$B$2:$B$379,bkc_bu)=0,"—",SUMIFS(_book!$AL$2:$AL$379,_book!$C$2:$C$379,$A18,_book!$A$2:$A$379,bkc_lob,_book!$B$2:$B$379,bkc_bu)/SUMIFS(_book!$F$2:$F$379,_book!$C$2:$C$379,$A18,_book!$A$2:$A$379,bkc_lob,_book!$B$2:$B$379,bkc_bu))</f>
        <v>1.0109311645652717</v>
      </c>
      <c r="Z18" s="34">
        <f>IF(SUMIFS(_book!$F$2:$F$379,_book!$C$2:$C$379,$A18,_book!$A$2:$A$379,bkc_lob,_book!$B$2:$B$379,bkc_bu)=0,"—",SUMIFS(_book!$AM$2:$AM$379,_book!$C$2:$C$379,$A18,_book!$A$2:$A$379,bkc_lob,_book!$B$2:$B$379,bkc_bu)/SUMIFS(_book!$F$2:$F$379,_book!$C$2:$C$379,$A18,_book!$A$2:$A$379,bkc_lob,_book!$B$2:$B$379,bkc_bu))</f>
        <v>1</v>
      </c>
      <c r="AA18" s="36">
        <f>IF(COUNTIFS(_book!$D$2:$D$379,"?*",_book!$C$2:$C$379,$A18,_book!$A$2:$A$379,bkc_lob,_book!$B$2:$B$379,bkc_bu)=0,"",IF(COUNTIFS(_book!$D$2:$D$379,"?*",_book!$C$2:$C$379,$A18,_book!$A$2:$A$379,bkc_lob,_book!$B$2:$B$379,bkc_bu)=1,$W18*$X18*$Y18*$Z18,IF(SUMIFS(_book!$F$2:$F$379,_book!$C$2:$C$379,$A18,_book!$A$2:$A$379,bkc_lob,_book!$B$2:$B$379,bkc_bu)=0,"—",SUMIFS(_book!$AO$2:$AO$379,_book!$C$2:$C$379,$A18,_book!$A$2:$A$379,bkc_lob,_book!$B$2:$B$379,bkc_bu)/SUMIFS(_book!$F$2:$F$379,_book!$C$2:$C$379,$A18,_book!$A$2:$A$379,bkc_lob,_book!$B$2:$B$379,bkc_bu))))</f>
        <v>0.63853082186350196</v>
      </c>
      <c r="AB18" s="37">
        <f>IF(COUNTIFS(_book!$D$2:$D$379,"?*",_book!$C$2:$C$379,$A18,_book!$A$2:$A$379,bkc_lob,_book!$B$2:$B$379,bkc_bu)&lt;=1,"",($AA18-$W18*$X18*$Y18*$Z18)*100)</f>
        <v>2.0251374877378048E-3</v>
      </c>
      <c r="AC18" s="31">
        <f>IF(SUMIFS(_book!$F$2:$F$379,_book!$C$2:$C$379,$A18,_book!$A$2:$A$379,bkc_lob,_book!$B$2:$B$379,bkc_bu)=0,"—",SUMIFS(_book!$AQ$2:$AQ$379,_book!$C$2:$C$379,$A18,_book!$A$2:$A$379,bkc_lob,_book!$B$2:$B$379,bkc_bu)/SUMIFS(_book!$F$2:$F$379,_book!$C$2:$C$379,$A18,_book!$A$2:$A$379,bkc_lob,_book!$B$2:$B$379,bkc_bu))</f>
        <v>0</v>
      </c>
      <c r="AD18" s="34">
        <f>IF(SUMIFS(_book!$F$2:$F$379,_book!$C$2:$C$379,$A18,_book!$A$2:$A$379,bkc_lob,_book!$B$2:$B$379,bkc_bu)=0,"—",SUMIFS(_book!$AR$2:$AR$379,_book!$C$2:$C$379,$A18,_book!$A$2:$A$379,bkc_lob,_book!$B$2:$B$379,bkc_bu)/SUMIFS(_book!$F$2:$F$379,_book!$C$2:$C$379,$A18,_book!$A$2:$A$379,bkc_lob,_book!$B$2:$B$379,bkc_bu))</f>
        <v>1</v>
      </c>
      <c r="AE18" s="34">
        <f>IF(SUMIFS(_book!$F$2:$F$379,_book!$C$2:$C$379,$A18,_book!$A$2:$A$379,bkc_lob,_book!$B$2:$B$379,bkc_bu)=0,"—",SUMIFS(_book!$AS$2:$AS$379,_book!$C$2:$C$379,$A18,_book!$A$2:$A$379,bkc_lob,_book!$B$2:$B$379,bkc_bu)/SUMIFS(_book!$F$2:$F$379,_book!$C$2:$C$379,$A18,_book!$A$2:$A$379,bkc_lob,_book!$B$2:$B$379,bkc_bu))</f>
        <v>1.0109311645652717</v>
      </c>
      <c r="AF18" s="36">
        <f>IF(COUNTIFS(_book!$D$2:$D$379,"?*",_book!$C$2:$C$379,$A18,_book!$A$2:$A$379,bkc_lob,_book!$B$2:$B$379,bkc_bu)=0,"",IF(COUNTIFS(_book!$D$2:$D$379,"?*",_book!$C$2:$C$379,$A18,_book!$A$2:$A$379,bkc_lob,_book!$B$2:$B$379,bkc_bu)=1,$W18*(1+$AC18)*$AD18*$AE18*$Z18,IF(SUMIFS(_book!$F$2:$F$379,_book!$C$2:$C$379,$A18,_book!$A$2:$A$379,bkc_lob,_book!$B$2:$B$379,bkc_bu)=0,"—",SUMIFS(_book!$AP$2:$AP$379,_book!$C$2:$C$379,$A18,_book!$A$2:$A$379,bkc_lob,_book!$B$2:$B$379,bkc_bu)/SUMIFS(_book!$F$2:$F$379,_book!$C$2:$C$379,$A18,_book!$A$2:$A$379,bkc_lob,_book!$B$2:$B$379,bkc_bu))))</f>
        <v>0.63571208963976633</v>
      </c>
      <c r="AG18" s="31" t="str">
        <f>IF(COUNTIFS(_book!$D$2:$D$379,"?*",_book!$C$2:$C$379,$A18,_book!$A$2:$A$379,bkc_lob,_book!$B$2:$B$379,bkc_bu)=0,"",IF(SUMIFS(_book!$V$2:$V$379,_book!$C$2:$C$379,$A18,_book!$A$2:$A$379,bkc_lob,_book!$B$2:$B$379,bkc_bu)=0,"—",SUMIFS(_book!$W$2:$W$379,_book!$C$2:$C$379,$A18,_book!$A$2:$A$379,bkc_lob,_book!$B$2:$B$379,bkc_bu)/SUMIFS(_book!$V$2:$V$379,_book!$C$2:$C$379,$A18,_book!$A$2:$A$379,bkc_lob,_book!$B$2:$B$379,bkc_bu)))</f>
        <v>—</v>
      </c>
      <c r="AH18" s="35" t="str">
        <f>IF(SUMIFS(_book!$V$2:$V$379,_book!$C$2:$C$379,$A18,_book!$A$2:$A$379,bkc_lob,_book!$B$2:$B$379,bkc_bu)=0,"—",IF(SUMIFS(_book!$F$2:$F$379,_book!$C$2:$C$379,$A18,_book!$A$2:$A$379,bkc_lob,_book!$B$2:$B$379,bkc_bu)=0,"—",SUMIFS(_book!$AT$2:$AT$379,_book!$C$2:$C$379,$A18,_book!$A$2:$A$379,bkc_lob,_book!$B$2:$B$379,bkc_bu)/SUMIFS(_book!$F$2:$F$379,_book!$C$2:$C$379,$A18,_book!$A$2:$A$379,bkc_lob,_book!$B$2:$B$379,bkc_bu)))</f>
        <v>—</v>
      </c>
      <c r="AI18" s="38" t="str">
        <f>IF(SUMIFS(_book!$V$2:$V$379,_book!$C$2:$C$379,$A18,_book!$A$2:$A$379,bkc_lob,_book!$B$2:$B$379,bkc_bu)=0,"—",($AH18-$AA18)*100)</f>
        <v>—</v>
      </c>
    </row>
    <row r="19" spans="1:35" x14ac:dyDescent="0.3">
      <c r="A19" s="39" t="s">
        <v>80</v>
      </c>
      <c r="B19" s="40">
        <f>SUMIFS(_book!$F$2:$F$379,_book!$C$2:$C$379,$A19,_book!$A$2:$A$379,bkc_lob,_book!$B$2:$B$379,bkc_bu)</f>
        <v>816000</v>
      </c>
      <c r="C19" s="41">
        <f>IF(SUMIFS(_book!$F$2:$F$379,_book!$C$2:$C$379,$A19,_book!$A$2:$A$379,bkc_lob,_book!$B$2:$B$379,bkc_bu)=0,"—",SUMIFS(_book!$AV$2:$AV$379,_book!$C$2:$C$379,$A19,_book!$A$2:$A$379,bkc_lob,_book!$B$2:$B$379,bkc_bu)/SUMIFS(_book!$F$2:$F$379,_book!$C$2:$C$379,$A19,_book!$A$2:$A$379,bkc_lob,_book!$B$2:$B$379,bkc_bu))</f>
        <v>0.9285882352941176</v>
      </c>
      <c r="D19" s="41">
        <f>IF(SUMIFS(_book!$F$2:$F$379,_book!$C$2:$C$379,$A19,_book!$A$2:$A$379,bkc_lob,_book!$B$2:$B$379,bkc_bu)=0,"—",SUMIFS(_book!$AW$2:$AW$379,_book!$C$2:$C$379,$A19,_book!$A$2:$A$379,bkc_lob,_book!$B$2:$B$379,bkc_bu)/SUMIFS(_book!$F$2:$F$379,_book!$C$2:$C$379,$A19,_book!$A$2:$A$379,bkc_lob,_book!$B$2:$B$379,bkc_bu))</f>
        <v>0.91858823529411759</v>
      </c>
      <c r="E19" s="41">
        <f>IF(SUMIFS(_book!$F$2:$F$379,_book!$C$2:$C$379,$A19,_book!$A$2:$A$379,bkc_lob,_book!$B$2:$B$379,bkc_bu)=0,"—",SUMIFS(_book!$AX$2:$AX$379,_book!$C$2:$C$379,$A19,_book!$A$2:$A$379,bkc_lob,_book!$B$2:$B$379,bkc_bu)/SUMIFS(_book!$F$2:$F$379,_book!$C$2:$C$379,$A19,_book!$A$2:$A$379,bkc_lob,_book!$B$2:$B$379,bkc_bu))</f>
        <v>0.93358823529411761</v>
      </c>
      <c r="F19" s="42" t="str">
        <f>IF(COUNTIFS(_book!$D$2:$D$379,"?*",_book!$C$2:$C$379,$A19,_book!$A$2:$A$379,bkc_lob,_book!$B$2:$B$379,bkc_bu)&lt;&gt;1,"—",INDEX(_book!$DG$2:$DG$379,MATCH(bkf_lob&amp;"|"&amp;bkf_bu&amp;"|"&amp;$A19,_book!$E$2:$E$379,0)))</f>
        <v>—</v>
      </c>
      <c r="G19" s="43" t="str">
        <f>IF(COUNTIFS(_book!$D$2:$D$379,"?*",_book!$C$2:$C$379,$A19,_book!$A$2:$A$379,bkc_lob,_book!$B$2:$B$379,bkc_bu)&lt;&gt;1,"—",INDEX(_book!$DH$2:$DH$379,MATCH(bkf_lob&amp;"|"&amp;bkf_bu&amp;"|"&amp;$A19,_book!$E$2:$E$379,0)))</f>
        <v>—</v>
      </c>
      <c r="H19" s="44" t="str">
        <f>IF(COUNTIFS(_book!$D$2:$D$379,"?*",_book!$C$2:$C$379,$A19,_book!$A$2:$A$379,bkc_lob,_book!$B$2:$B$379,bkc_bu)&lt;&gt;1,"—",INDEX(_book!$DI$2:$DI$379,MATCH(bkf_lob&amp;"|"&amp;bkf_bu&amp;"|"&amp;$A19,_book!$E$2:$E$379,0)))</f>
        <v>—</v>
      </c>
      <c r="I19" s="42" t="str">
        <f>IF(COUNTIFS(_book!$D$2:$D$379,"?*",_book!$C$2:$C$379,$A19,_book!$A$2:$A$379,bkc_lob,_book!$B$2:$B$379,bkc_bu)&lt;&gt;1,"—",INDEX(_book!$DJ$2:$DJ$379,MATCH(bkf_lob&amp;"|"&amp;bkf_bu&amp;"|"&amp;$A19,_book!$E$2:$E$379,0)))</f>
        <v>—</v>
      </c>
      <c r="J19" s="43" t="str">
        <f>IF(COUNTIFS(_book!$D$2:$D$379,"?*",_book!$C$2:$C$379,$A19,_book!$A$2:$A$379,bkc_lob,_book!$B$2:$B$379,bkc_bu)&lt;&gt;1,"—",INDEX(_book!$DK$2:$DK$379,MATCH(bkf_lob&amp;"|"&amp;bkf_bu&amp;"|"&amp;$A19,_book!$E$2:$E$379,0)))</f>
        <v>—</v>
      </c>
      <c r="K19" s="44" t="str">
        <f>IF(COUNTIFS(_book!$D$2:$D$379,"?*",_book!$C$2:$C$379,$A19,_book!$A$2:$A$379,bkc_lob,_book!$B$2:$B$379,bkc_bu)&lt;&gt;1,"—",INDEX(_book!$DL$2:$DL$379,MATCH(bkf_lob&amp;"|"&amp;bkf_bu&amp;"|"&amp;$A19,_book!$E$2:$E$379,0)))</f>
        <v>—</v>
      </c>
      <c r="L19" s="42" t="str">
        <f>IF(COUNTIFS(_book!$D$2:$D$379,"?*",_book!$C$2:$C$379,$A19,_book!$A$2:$A$379,bkc_lob,_book!$B$2:$B$379,bkc_bu)&lt;&gt;1,"—",INDEX(_book!$DM$2:$DM$379,MATCH(bkf_lob&amp;"|"&amp;bkf_bu&amp;"|"&amp;$A19,_book!$E$2:$E$379,0)))</f>
        <v>—</v>
      </c>
      <c r="M19" s="43" t="str">
        <f>IF(COUNTIFS(_book!$D$2:$D$379,"?*",_book!$C$2:$C$379,$A19,_book!$A$2:$A$379,bkc_lob,_book!$B$2:$B$379,bkc_bu)&lt;&gt;1,"—",INDEX(_book!$DN$2:$DN$379,MATCH(bkf_lob&amp;"|"&amp;bkf_bu&amp;"|"&amp;$A19,_book!$E$2:$E$379,0)))</f>
        <v>—</v>
      </c>
      <c r="N19" s="44" t="str">
        <f>IF(COUNTIFS(_book!$D$2:$D$379,"?*",_book!$C$2:$C$379,$A19,_book!$A$2:$A$379,bkc_lob,_book!$B$2:$B$379,bkc_bu)&lt;&gt;1,"—",INDEX(_book!$DO$2:$DO$379,MATCH(bkf_lob&amp;"|"&amp;bkf_bu&amp;"|"&amp;$A19,_book!$E$2:$E$379,0)))</f>
        <v>—</v>
      </c>
      <c r="O19" s="42" t="str">
        <f>IF(COUNTIFS(_book!$D$2:$D$379,"?*",_book!$C$2:$C$379,$A19,_book!$A$2:$A$379,bkc_lob,_book!$B$2:$B$379,bkc_bu)&lt;&gt;1,"—",INDEX(_book!$DP$2:$DP$379,MATCH(bkf_lob&amp;"|"&amp;bkf_bu&amp;"|"&amp;$A19,_book!$E$2:$E$379,0)))</f>
        <v>—</v>
      </c>
      <c r="P19" s="43" t="str">
        <f>IF(COUNTIFS(_book!$D$2:$D$379,"?*",_book!$C$2:$C$379,$A19,_book!$A$2:$A$379,bkc_lob,_book!$B$2:$B$379,bkc_bu)&lt;&gt;1,"—",INDEX(_book!$DQ$2:$DQ$379,MATCH(bkf_lob&amp;"|"&amp;bkf_bu&amp;"|"&amp;$A19,_book!$E$2:$E$379,0)))</f>
        <v>—</v>
      </c>
      <c r="Q19" s="44" t="str">
        <f>IF(COUNTIFS(_book!$D$2:$D$379,"?*",_book!$C$2:$C$379,$A19,_book!$A$2:$A$379,bkc_lob,_book!$B$2:$B$379,bkc_bu)&lt;&gt;1,"—",INDEX(_book!$DR$2:$DR$379,MATCH(bkf_lob&amp;"|"&amp;bkf_bu&amp;"|"&amp;$A19,_book!$E$2:$E$379,0)))</f>
        <v>—</v>
      </c>
      <c r="R19" s="45">
        <f>SUMIFS(_book!$AC$2:$AC$379,_book!$C$2:$C$379,$A19,_book!$A$2:$A$379,bkc_lob,_book!$B$2:$B$379,bkc_bu)</f>
        <v>0</v>
      </c>
      <c r="S19" s="45">
        <f>SUMIFS(_book!$AD$2:$AD$379,_book!$C$2:$C$379,$A19,_book!$A$2:$A$379,bkc_lob,_book!$B$2:$B$379,bkc_bu)</f>
        <v>6</v>
      </c>
      <c r="T19" s="46">
        <f>IF(SUMIFS(_book!$F$2:$F$379,_book!$C$2:$C$379,$A19,_book!$A$2:$A$379,bkc_lob,_book!$B$2:$B$379,bkc_bu)=0,"—",SUMIFS(_book!$AH$2:$AH$379,_book!$C$2:$C$379,$A19,_book!$A$2:$A$379,bkc_lob,_book!$B$2:$B$379,bkc_bu)/SUMIFS(_book!$F$2:$F$379,_book!$C$2:$C$379,$A19,_book!$A$2:$A$379,bkc_lob,_book!$B$2:$B$379,bkc_bu))</f>
        <v>1</v>
      </c>
      <c r="U19" s="46">
        <f>IF(SUMIFS(_book!$F$2:$F$379,_book!$C$2:$C$379,$A19,_book!$A$2:$A$379,bkc_lob,_book!$B$2:$B$379,bkc_bu)=0,"—",SUMIFS(_book!$AI$2:$AI$379,_book!$C$2:$C$379,$A19,_book!$A$2:$A$379,bkc_lob,_book!$B$2:$B$379,bkc_bu)/SUMIFS(_book!$F$2:$F$379,_book!$C$2:$C$379,$A19,_book!$A$2:$A$379,bkc_lob,_book!$B$2:$B$379,bkc_bu))</f>
        <v>1.0041302083333334</v>
      </c>
      <c r="V19" s="41">
        <f>IF(SUMIFS(_book!$F$2:$F$379,_book!$C$2:$C$379,$A19,_book!$A$2:$A$379,bkc_lob,_book!$B$2:$B$379,bkc_bu)=0,"—",SUMIFS(_book!$AJ$2:$AJ$379,_book!$C$2:$C$379,$A19,_book!$A$2:$A$379,bkc_lob,_book!$B$2:$B$379,bkc_bu)/SUMIFS(_book!$F$2:$F$379,_book!$C$2:$C$379,$A19,_book!$A$2:$A$379,bkc_lob,_book!$B$2:$B$379,bkc_bu))</f>
        <v>0.92172288904620914</v>
      </c>
      <c r="W19" s="47">
        <f>IF(SUMIFS(_book!$F$2:$F$379,_book!$C$2:$C$379,$A19,_book!$A$2:$A$379,bkc_lob,_book!$B$2:$B$379,bkc_bu)=0,"—",SUMIFS(_book!$AN$2:$AN$379,_book!$C$2:$C$379,$A19,_book!$A$2:$A$379,bkc_lob,_book!$B$2:$B$379,bkc_bu)/SUMIFS(_book!$F$2:$F$379,_book!$C$2:$C$379,$A19,_book!$A$2:$A$379,bkc_lob,_book!$B$2:$B$379,bkc_bu))</f>
        <v>0.62837254901960782</v>
      </c>
      <c r="X19" s="46">
        <f>IF(SUMIFS(_book!$F$2:$F$379,_book!$C$2:$C$379,$A19,_book!$A$2:$A$379,bkc_lob,_book!$B$2:$B$379,bkc_bu)=0,"—",SUMIFS(_book!$AK$2:$AK$379,_book!$C$2:$C$379,$A19,_book!$A$2:$A$379,bkc_lob,_book!$B$2:$B$379,bkc_bu)/SUMIFS(_book!$F$2:$F$379,_book!$C$2:$C$379,$A19,_book!$A$2:$A$379,bkc_lob,_book!$B$2:$B$379,bkc_bu))</f>
        <v>0.99591856726209227</v>
      </c>
      <c r="Y19" s="46">
        <f>IF(SUMIFS(_book!$F$2:$F$379,_book!$C$2:$C$379,$A19,_book!$A$2:$A$379,bkc_lob,_book!$B$2:$B$379,bkc_bu)=0,"—",SUMIFS(_book!$AL$2:$AL$379,_book!$C$2:$C$379,$A19,_book!$A$2:$A$379,bkc_lob,_book!$B$2:$B$379,bkc_bu)/SUMIFS(_book!$F$2:$F$379,_book!$C$2:$C$379,$A19,_book!$A$2:$A$379,bkc_lob,_book!$B$2:$B$379,bkc_bu))</f>
        <v>1.0074785553735897</v>
      </c>
      <c r="Z19" s="46">
        <f>IF(SUMIFS(_book!$F$2:$F$379,_book!$C$2:$C$379,$A19,_book!$A$2:$A$379,bkc_lob,_book!$B$2:$B$379,bkc_bu)=0,"—",SUMIFS(_book!$AM$2:$AM$379,_book!$C$2:$C$379,$A19,_book!$A$2:$A$379,bkc_lob,_book!$B$2:$B$379,bkc_bu)/SUMIFS(_book!$F$2:$F$379,_book!$C$2:$C$379,$A19,_book!$A$2:$A$379,bkc_lob,_book!$B$2:$B$379,bkc_bu))</f>
        <v>1</v>
      </c>
      <c r="AA19" s="48">
        <f>IF(COUNTIFS(_book!$D$2:$D$379,"?*",_book!$C$2:$C$379,$A19,_book!$A$2:$A$379,bkc_lob,_book!$B$2:$B$379,bkc_bu)=0,"",IF(COUNTIFS(_book!$D$2:$D$379,"?*",_book!$C$2:$C$379,$A19,_book!$A$2:$A$379,bkc_lob,_book!$B$2:$B$379,bkc_bu)=1,$W19*$X19*$Y19*$Z19,IF(SUMIFS(_book!$F$2:$F$379,_book!$C$2:$C$379,$A19,_book!$A$2:$A$379,bkc_lob,_book!$B$2:$B$379,bkc_bu)=0,"—",SUMIFS(_book!$AO$2:$AO$379,_book!$C$2:$C$379,$A19,_book!$A$2:$A$379,bkc_lob,_book!$B$2:$B$379,bkc_bu)/SUMIFS(_book!$F$2:$F$379,_book!$C$2:$C$379,$A19,_book!$A$2:$A$379,bkc_lob,_book!$B$2:$B$379,bkc_bu))))</f>
        <v>0.63043984352016469</v>
      </c>
      <c r="AB19" s="49">
        <f>IF(COUNTIFS(_book!$D$2:$D$379,"?*",_book!$C$2:$C$379,$A19,_book!$A$2:$A$379,bkc_lob,_book!$B$2:$B$379,bkc_bu)&lt;=1,"",($AA19-$W19*$X19*$Y19*$Z19)*100)</f>
        <v>-4.8184155341912671E-3</v>
      </c>
      <c r="AC19" s="43">
        <f>IF(SUMIFS(_book!$F$2:$F$379,_book!$C$2:$C$379,$A19,_book!$A$2:$A$379,bkc_lob,_book!$B$2:$B$379,bkc_bu)=0,"—",SUMIFS(_book!$AQ$2:$AQ$379,_book!$C$2:$C$379,$A19,_book!$A$2:$A$379,bkc_lob,_book!$B$2:$B$379,bkc_bu)/SUMIFS(_book!$F$2:$F$379,_book!$C$2:$C$379,$A19,_book!$A$2:$A$379,bkc_lob,_book!$B$2:$B$379,bkc_bu))</f>
        <v>0</v>
      </c>
      <c r="AD19" s="46">
        <f>IF(SUMIFS(_book!$F$2:$F$379,_book!$C$2:$C$379,$A19,_book!$A$2:$A$379,bkc_lob,_book!$B$2:$B$379,bkc_bu)=0,"—",SUMIFS(_book!$AR$2:$AR$379,_book!$C$2:$C$379,$A19,_book!$A$2:$A$379,bkc_lob,_book!$B$2:$B$379,bkc_bu)/SUMIFS(_book!$F$2:$F$379,_book!$C$2:$C$379,$A19,_book!$A$2:$A$379,bkc_lob,_book!$B$2:$B$379,bkc_bu))</f>
        <v>0.98676872165139318</v>
      </c>
      <c r="AE19" s="46">
        <f>IF(SUMIFS(_book!$F$2:$F$379,_book!$C$2:$C$379,$A19,_book!$A$2:$A$379,bkc_lob,_book!$B$2:$B$379,bkc_bu)=0,"—",SUMIFS(_book!$AS$2:$AS$379,_book!$C$2:$C$379,$A19,_book!$A$2:$A$379,bkc_lob,_book!$B$2:$B$379,bkc_bu)/SUMIFS(_book!$F$2:$F$379,_book!$C$2:$C$379,$A19,_book!$A$2:$A$379,bkc_lob,_book!$B$2:$B$379,bkc_bu))</f>
        <v>0.99670699704966714</v>
      </c>
      <c r="AF19" s="48">
        <f>IF(COUNTIFS(_book!$D$2:$D$379,"?*",_book!$C$2:$C$379,$A19,_book!$A$2:$A$379,bkc_lob,_book!$B$2:$B$379,bkc_bu)=0,"",IF(COUNTIFS(_book!$D$2:$D$379,"?*",_book!$C$2:$C$379,$A19,_book!$A$2:$A$379,bkc_lob,_book!$B$2:$B$379,bkc_bu)=1,$W19*(1+$AC19)*$AD19*$AE19*$Z19,IF(SUMIFS(_book!$F$2:$F$379,_book!$C$2:$C$379,$A19,_book!$A$2:$A$379,bkc_lob,_book!$B$2:$B$379,bkc_bu)=0,"—",SUMIFS(_book!$AP$2:$AP$379,_book!$C$2:$C$379,$A19,_book!$A$2:$A$379,bkc_lob,_book!$B$2:$B$379,bkc_bu)/SUMIFS(_book!$F$2:$F$379,_book!$C$2:$C$379,$A19,_book!$A$2:$A$379,bkc_lob,_book!$B$2:$B$379,bkc_bu))))</f>
        <v>0.61781953071697027</v>
      </c>
      <c r="AG19" s="43" t="str">
        <f>IF(COUNTIFS(_book!$D$2:$D$379,"?*",_book!$C$2:$C$379,$A19,_book!$A$2:$A$379,bkc_lob,_book!$B$2:$B$379,bkc_bu)=0,"",IF(SUMIFS(_book!$V$2:$V$379,_book!$C$2:$C$379,$A19,_book!$A$2:$A$379,bkc_lob,_book!$B$2:$B$379,bkc_bu)=0,"—",SUMIFS(_book!$W$2:$W$379,_book!$C$2:$C$379,$A19,_book!$A$2:$A$379,bkc_lob,_book!$B$2:$B$379,bkc_bu)/SUMIFS(_book!$V$2:$V$379,_book!$C$2:$C$379,$A19,_book!$A$2:$A$379,bkc_lob,_book!$B$2:$B$379,bkc_bu)))</f>
        <v>—</v>
      </c>
      <c r="AH19" s="47" t="str">
        <f>IF(SUMIFS(_book!$V$2:$V$379,_book!$C$2:$C$379,$A19,_book!$A$2:$A$379,bkc_lob,_book!$B$2:$B$379,bkc_bu)=0,"—",IF(SUMIFS(_book!$F$2:$F$379,_book!$C$2:$C$379,$A19,_book!$A$2:$A$379,bkc_lob,_book!$B$2:$B$379,bkc_bu)=0,"—",SUMIFS(_book!$AT$2:$AT$379,_book!$C$2:$C$379,$A19,_book!$A$2:$A$379,bkc_lob,_book!$B$2:$B$379,bkc_bu)/SUMIFS(_book!$F$2:$F$379,_book!$C$2:$C$379,$A19,_book!$A$2:$A$379,bkc_lob,_book!$B$2:$B$379,bkc_bu)))</f>
        <v>—</v>
      </c>
      <c r="AI19" s="50" t="str">
        <f>IF(SUMIFS(_book!$V$2:$V$379,_book!$C$2:$C$379,$A19,_book!$A$2:$A$379,bkc_lob,_book!$B$2:$B$379,bkc_bu)=0,"—",($AH19-$AA19)*100)</f>
        <v>—</v>
      </c>
    </row>
    <row r="20" spans="1:35" x14ac:dyDescent="0.3">
      <c r="A20" s="27" t="s">
        <v>82</v>
      </c>
      <c r="B20" s="28">
        <f>SUMIFS(_book!$F$2:$F$379,_book!$C$2:$C$379,$A20,_book!$A$2:$A$379,bkc_lob,_book!$B$2:$B$379,bkc_bu)</f>
        <v>612000</v>
      </c>
      <c r="C20" s="29">
        <f>IF(SUMIFS(_book!$F$2:$F$379,_book!$C$2:$C$379,$A20,_book!$A$2:$A$379,bkc_lob,_book!$B$2:$B$379,bkc_bu)=0,"—",SUMIFS(_book!$AV$2:$AV$379,_book!$C$2:$C$379,$A20,_book!$A$2:$A$379,bkc_lob,_book!$B$2:$B$379,bkc_bu)/SUMIFS(_book!$F$2:$F$379,_book!$C$2:$C$379,$A20,_book!$A$2:$A$379,bkc_lob,_book!$B$2:$B$379,bkc_bu))</f>
        <v>0.9285882352941176</v>
      </c>
      <c r="D20" s="29">
        <f>IF(SUMIFS(_book!$F$2:$F$379,_book!$C$2:$C$379,$A20,_book!$A$2:$A$379,bkc_lob,_book!$B$2:$B$379,bkc_bu)=0,"—",SUMIFS(_book!$AW$2:$AW$379,_book!$C$2:$C$379,$A20,_book!$A$2:$A$379,bkc_lob,_book!$B$2:$B$379,bkc_bu)/SUMIFS(_book!$F$2:$F$379,_book!$C$2:$C$379,$A20,_book!$A$2:$A$379,bkc_lob,_book!$B$2:$B$379,bkc_bu))</f>
        <v>0.91858823529411759</v>
      </c>
      <c r="E20" s="29">
        <f>IF(SUMIFS(_book!$F$2:$F$379,_book!$C$2:$C$379,$A20,_book!$A$2:$A$379,bkc_lob,_book!$B$2:$B$379,bkc_bu)=0,"—",SUMIFS(_book!$AX$2:$AX$379,_book!$C$2:$C$379,$A20,_book!$A$2:$A$379,bkc_lob,_book!$B$2:$B$379,bkc_bu)/SUMIFS(_book!$F$2:$F$379,_book!$C$2:$C$379,$A20,_book!$A$2:$A$379,bkc_lob,_book!$B$2:$B$379,bkc_bu))</f>
        <v>0.9135882352941177</v>
      </c>
      <c r="F20" s="30" t="str">
        <f>IF(COUNTIFS(_book!$D$2:$D$379,"?*",_book!$C$2:$C$379,$A20,_book!$A$2:$A$379,bkc_lob,_book!$B$2:$B$379,bkc_bu)&lt;&gt;1,"—",INDEX(_book!$DG$2:$DG$379,MATCH(bkf_lob&amp;"|"&amp;bkf_bu&amp;"|"&amp;$A20,_book!$E$2:$E$379,0)))</f>
        <v>—</v>
      </c>
      <c r="G20" s="31" t="str">
        <f>IF(COUNTIFS(_book!$D$2:$D$379,"?*",_book!$C$2:$C$379,$A20,_book!$A$2:$A$379,bkc_lob,_book!$B$2:$B$379,bkc_bu)&lt;&gt;1,"—",INDEX(_book!$DH$2:$DH$379,MATCH(bkf_lob&amp;"|"&amp;bkf_bu&amp;"|"&amp;$A20,_book!$E$2:$E$379,0)))</f>
        <v>—</v>
      </c>
      <c r="H20" s="32" t="str">
        <f>IF(COUNTIFS(_book!$D$2:$D$379,"?*",_book!$C$2:$C$379,$A20,_book!$A$2:$A$379,bkc_lob,_book!$B$2:$B$379,bkc_bu)&lt;&gt;1,"—",INDEX(_book!$DI$2:$DI$379,MATCH(bkf_lob&amp;"|"&amp;bkf_bu&amp;"|"&amp;$A20,_book!$E$2:$E$379,0)))</f>
        <v>—</v>
      </c>
      <c r="I20" s="30" t="str">
        <f>IF(COUNTIFS(_book!$D$2:$D$379,"?*",_book!$C$2:$C$379,$A20,_book!$A$2:$A$379,bkc_lob,_book!$B$2:$B$379,bkc_bu)&lt;&gt;1,"—",INDEX(_book!$DJ$2:$DJ$379,MATCH(bkf_lob&amp;"|"&amp;bkf_bu&amp;"|"&amp;$A20,_book!$E$2:$E$379,0)))</f>
        <v>—</v>
      </c>
      <c r="J20" s="31" t="str">
        <f>IF(COUNTIFS(_book!$D$2:$D$379,"?*",_book!$C$2:$C$379,$A20,_book!$A$2:$A$379,bkc_lob,_book!$B$2:$B$379,bkc_bu)&lt;&gt;1,"—",INDEX(_book!$DK$2:$DK$379,MATCH(bkf_lob&amp;"|"&amp;bkf_bu&amp;"|"&amp;$A20,_book!$E$2:$E$379,0)))</f>
        <v>—</v>
      </c>
      <c r="K20" s="32" t="str">
        <f>IF(COUNTIFS(_book!$D$2:$D$379,"?*",_book!$C$2:$C$379,$A20,_book!$A$2:$A$379,bkc_lob,_book!$B$2:$B$379,bkc_bu)&lt;&gt;1,"—",INDEX(_book!$DL$2:$DL$379,MATCH(bkf_lob&amp;"|"&amp;bkf_bu&amp;"|"&amp;$A20,_book!$E$2:$E$379,0)))</f>
        <v>—</v>
      </c>
      <c r="L20" s="30" t="str">
        <f>IF(COUNTIFS(_book!$D$2:$D$379,"?*",_book!$C$2:$C$379,$A20,_book!$A$2:$A$379,bkc_lob,_book!$B$2:$B$379,bkc_bu)&lt;&gt;1,"—",INDEX(_book!$DM$2:$DM$379,MATCH(bkf_lob&amp;"|"&amp;bkf_bu&amp;"|"&amp;$A20,_book!$E$2:$E$379,0)))</f>
        <v>—</v>
      </c>
      <c r="M20" s="31" t="str">
        <f>IF(COUNTIFS(_book!$D$2:$D$379,"?*",_book!$C$2:$C$379,$A20,_book!$A$2:$A$379,bkc_lob,_book!$B$2:$B$379,bkc_bu)&lt;&gt;1,"—",INDEX(_book!$DN$2:$DN$379,MATCH(bkf_lob&amp;"|"&amp;bkf_bu&amp;"|"&amp;$A20,_book!$E$2:$E$379,0)))</f>
        <v>—</v>
      </c>
      <c r="N20" s="32" t="str">
        <f>IF(COUNTIFS(_book!$D$2:$D$379,"?*",_book!$C$2:$C$379,$A20,_book!$A$2:$A$379,bkc_lob,_book!$B$2:$B$379,bkc_bu)&lt;&gt;1,"—",INDEX(_book!$DO$2:$DO$379,MATCH(bkf_lob&amp;"|"&amp;bkf_bu&amp;"|"&amp;$A20,_book!$E$2:$E$379,0)))</f>
        <v>—</v>
      </c>
      <c r="O20" s="30" t="str">
        <f>IF(COUNTIFS(_book!$D$2:$D$379,"?*",_book!$C$2:$C$379,$A20,_book!$A$2:$A$379,bkc_lob,_book!$B$2:$B$379,bkc_bu)&lt;&gt;1,"—",INDEX(_book!$DP$2:$DP$379,MATCH(bkf_lob&amp;"|"&amp;bkf_bu&amp;"|"&amp;$A20,_book!$E$2:$E$379,0)))</f>
        <v>—</v>
      </c>
      <c r="P20" s="31" t="str">
        <f>IF(COUNTIFS(_book!$D$2:$D$379,"?*",_book!$C$2:$C$379,$A20,_book!$A$2:$A$379,bkc_lob,_book!$B$2:$B$379,bkc_bu)&lt;&gt;1,"—",INDEX(_book!$DQ$2:$DQ$379,MATCH(bkf_lob&amp;"|"&amp;bkf_bu&amp;"|"&amp;$A20,_book!$E$2:$E$379,0)))</f>
        <v>—</v>
      </c>
      <c r="Q20" s="32" t="str">
        <f>IF(COUNTIFS(_book!$D$2:$D$379,"?*",_book!$C$2:$C$379,$A20,_book!$A$2:$A$379,bkc_lob,_book!$B$2:$B$379,bkc_bu)&lt;&gt;1,"—",INDEX(_book!$DR$2:$DR$379,MATCH(bkf_lob&amp;"|"&amp;bkf_bu&amp;"|"&amp;$A20,_book!$E$2:$E$379,0)))</f>
        <v>—</v>
      </c>
      <c r="R20" s="33">
        <f>SUMIFS(_book!$AC$2:$AC$379,_book!$C$2:$C$379,$A20,_book!$A$2:$A$379,bkc_lob,_book!$B$2:$B$379,bkc_bu)</f>
        <v>18</v>
      </c>
      <c r="S20" s="33">
        <f>SUMIFS(_book!$AD$2:$AD$379,_book!$C$2:$C$379,$A20,_book!$A$2:$A$379,bkc_lob,_book!$B$2:$B$379,bkc_bu)</f>
        <v>6</v>
      </c>
      <c r="T20" s="34">
        <f>IF(SUMIFS(_book!$F$2:$F$379,_book!$C$2:$C$379,$A20,_book!$A$2:$A$379,bkc_lob,_book!$B$2:$B$379,bkc_bu)=0,"—",SUMIFS(_book!$AH$2:$AH$379,_book!$C$2:$C$379,$A20,_book!$A$2:$A$379,bkc_lob,_book!$B$2:$B$379,bkc_bu)/SUMIFS(_book!$F$2:$F$379,_book!$C$2:$C$379,$A20,_book!$A$2:$A$379,bkc_lob,_book!$B$2:$B$379,bkc_bu))</f>
        <v>1.0505555555555555</v>
      </c>
      <c r="U20" s="34">
        <f>IF(SUMIFS(_book!$F$2:$F$379,_book!$C$2:$C$379,$A20,_book!$A$2:$A$379,bkc_lob,_book!$B$2:$B$379,bkc_bu)=0,"—",SUMIFS(_book!$AI$2:$AI$379,_book!$C$2:$C$379,$A20,_book!$A$2:$A$379,bkc_lob,_book!$B$2:$B$379,bkc_bu)/SUMIFS(_book!$F$2:$F$379,_book!$C$2:$C$379,$A20,_book!$A$2:$A$379,bkc_lob,_book!$B$2:$B$379,bkc_bu))</f>
        <v>1.0475403594771242</v>
      </c>
      <c r="V20" s="29">
        <f>IF(SUMIFS(_book!$F$2:$F$379,_book!$C$2:$C$379,$A20,_book!$A$2:$A$379,bkc_lob,_book!$B$2:$B$379,bkc_bu)=0,"—",SUMIFS(_book!$AJ$2:$AJ$379,_book!$C$2:$C$379,$A20,_book!$A$2:$A$379,bkc_lob,_book!$B$2:$B$379,bkc_bu)/SUMIFS(_book!$F$2:$F$379,_book!$C$2:$C$379,$A20,_book!$A$2:$A$379,bkc_lob,_book!$B$2:$B$379,bkc_bu))</f>
        <v>0.91754335071008697</v>
      </c>
      <c r="W20" s="35">
        <f>IF(SUMIFS(_book!$F$2:$F$379,_book!$C$2:$C$379,$A20,_book!$A$2:$A$379,bkc_lob,_book!$B$2:$B$379,bkc_bu)=0,"—",SUMIFS(_book!$AN$2:$AN$379,_book!$C$2:$C$379,$A20,_book!$A$2:$A$379,bkc_lob,_book!$B$2:$B$379,bkc_bu)/SUMIFS(_book!$F$2:$F$379,_book!$C$2:$C$379,$A20,_book!$A$2:$A$379,bkc_lob,_book!$B$2:$B$379,bkc_bu))</f>
        <v>0.62603921568627452</v>
      </c>
      <c r="X20" s="34">
        <f>IF(SUMIFS(_book!$F$2:$F$379,_book!$C$2:$C$379,$A20,_book!$A$2:$A$379,bkc_lob,_book!$B$2:$B$379,bkc_bu)=0,"—",SUMIFS(_book!$AK$2:$AK$379,_book!$C$2:$C$379,$A20,_book!$A$2:$A$379,bkc_lob,_book!$B$2:$B$379,bkc_bu)/SUMIFS(_book!$F$2:$F$379,_book!$C$2:$C$379,$A20,_book!$A$2:$A$379,bkc_lob,_book!$B$2:$B$379,bkc_bu))</f>
        <v>1.0028717085337278</v>
      </c>
      <c r="Y20" s="34">
        <f>IF(SUMIFS(_book!$F$2:$F$379,_book!$C$2:$C$379,$A20,_book!$A$2:$A$379,bkc_lob,_book!$B$2:$B$379,bkc_bu)=0,"—",SUMIFS(_book!$AL$2:$AL$379,_book!$C$2:$C$379,$A20,_book!$A$2:$A$379,bkc_lob,_book!$B$2:$B$379,bkc_bu)/SUMIFS(_book!$F$2:$F$379,_book!$C$2:$C$379,$A20,_book!$A$2:$A$379,bkc_lob,_book!$B$2:$B$379,bkc_bu))</f>
        <v>1.0120875391944273</v>
      </c>
      <c r="Z20" s="34">
        <f>IF(SUMIFS(_book!$F$2:$F$379,_book!$C$2:$C$379,$A20,_book!$A$2:$A$379,bkc_lob,_book!$B$2:$B$379,bkc_bu)=0,"—",SUMIFS(_book!$AM$2:$AM$379,_book!$C$2:$C$379,$A20,_book!$A$2:$A$379,bkc_lob,_book!$B$2:$B$379,bkc_bu)/SUMIFS(_book!$F$2:$F$379,_book!$C$2:$C$379,$A20,_book!$A$2:$A$379,bkc_lob,_book!$B$2:$B$379,bkc_bu))</f>
        <v>1</v>
      </c>
      <c r="AA20" s="36">
        <f>IF(COUNTIFS(_book!$D$2:$D$379,"?*",_book!$C$2:$C$379,$A20,_book!$A$2:$A$379,bkc_lob,_book!$B$2:$B$379,bkc_bu)=0,"",IF(COUNTIFS(_book!$D$2:$D$379,"?*",_book!$C$2:$C$379,$A20,_book!$A$2:$A$379,bkc_lob,_book!$B$2:$B$379,bkc_bu)=1,$W20*$X20*$Y20*$Z20,IF(SUMIFS(_book!$F$2:$F$379,_book!$C$2:$C$379,$A20,_book!$A$2:$A$379,bkc_lob,_book!$B$2:$B$379,bkc_bu)=0,"—",SUMIFS(_book!$AO$2:$AO$379,_book!$C$2:$C$379,$A20,_book!$A$2:$A$379,bkc_lob,_book!$B$2:$B$379,bkc_bu)/SUMIFS(_book!$F$2:$F$379,_book!$C$2:$C$379,$A20,_book!$A$2:$A$379,bkc_lob,_book!$B$2:$B$379,bkc_bu))))</f>
        <v>0.63544174752774585</v>
      </c>
      <c r="AB20" s="37">
        <f>IF(COUNTIFS(_book!$D$2:$D$379,"?*",_book!$C$2:$C$379,$A20,_book!$A$2:$A$379,bkc_lob,_book!$B$2:$B$379,bkc_bu)&lt;=1,"",($AA20-$W20*$X20*$Y20*$Z20)*100)</f>
        <v>1.5725122430199079E-3</v>
      </c>
      <c r="AC20" s="31">
        <f>IF(SUMIFS(_book!$F$2:$F$379,_book!$C$2:$C$379,$A20,_book!$A$2:$A$379,bkc_lob,_book!$B$2:$B$379,bkc_bu)=0,"—",SUMIFS(_book!$AQ$2:$AQ$379,_book!$C$2:$C$379,$A20,_book!$A$2:$A$379,bkc_lob,_book!$B$2:$B$379,bkc_bu)/SUMIFS(_book!$F$2:$F$379,_book!$C$2:$C$379,$A20,_book!$A$2:$A$379,bkc_lob,_book!$B$2:$B$379,bkc_bu))</f>
        <v>0</v>
      </c>
      <c r="AD20" s="34">
        <f>IF(SUMIFS(_book!$F$2:$F$379,_book!$C$2:$C$379,$A20,_book!$A$2:$A$379,bkc_lob,_book!$B$2:$B$379,bkc_bu)=0,"—",SUMIFS(_book!$AR$2:$AR$379,_book!$C$2:$C$379,$A20,_book!$A$2:$A$379,bkc_lob,_book!$B$2:$B$379,bkc_bu)/SUMIFS(_book!$F$2:$F$379,_book!$C$2:$C$379,$A20,_book!$A$2:$A$379,bkc_lob,_book!$B$2:$B$379,bkc_bu))</f>
        <v>0.98754703214248751</v>
      </c>
      <c r="AE20" s="34">
        <f>IF(SUMIFS(_book!$F$2:$F$379,_book!$C$2:$C$379,$A20,_book!$A$2:$A$379,bkc_lob,_book!$B$2:$B$379,bkc_bu)=0,"—",SUMIFS(_book!$AS$2:$AS$379,_book!$C$2:$C$379,$A20,_book!$A$2:$A$379,bkc_lob,_book!$B$2:$B$379,bkc_bu)/SUMIFS(_book!$F$2:$F$379,_book!$C$2:$C$379,$A20,_book!$A$2:$A$379,bkc_lob,_book!$B$2:$B$379,bkc_bu))</f>
        <v>1.0157636412667657</v>
      </c>
      <c r="AF20" s="36">
        <f>IF(COUNTIFS(_book!$D$2:$D$379,"?*",_book!$C$2:$C$379,$A20,_book!$A$2:$A$379,bkc_lob,_book!$B$2:$B$379,bkc_bu)=0,"",IF(COUNTIFS(_book!$D$2:$D$379,"?*",_book!$C$2:$C$379,$A20,_book!$A$2:$A$379,bkc_lob,_book!$B$2:$B$379,bkc_bu)=1,$W20*(1+$AC20)*$AD20*$AE20*$Z20,IF(SUMIFS(_book!$F$2:$F$379,_book!$C$2:$C$379,$A20,_book!$A$2:$A$379,bkc_lob,_book!$B$2:$B$379,bkc_bu)=0,"—",SUMIFS(_book!$AP$2:$AP$379,_book!$C$2:$C$379,$A20,_book!$A$2:$A$379,bkc_lob,_book!$B$2:$B$379,bkc_bu)/SUMIFS(_book!$F$2:$F$379,_book!$C$2:$C$379,$A20,_book!$A$2:$A$379,bkc_lob,_book!$B$2:$B$379,bkc_bu))))</f>
        <v>0.62816830751523089</v>
      </c>
      <c r="AG20" s="31" t="str">
        <f>IF(COUNTIFS(_book!$D$2:$D$379,"?*",_book!$C$2:$C$379,$A20,_book!$A$2:$A$379,bkc_lob,_book!$B$2:$B$379,bkc_bu)=0,"",IF(SUMIFS(_book!$V$2:$V$379,_book!$C$2:$C$379,$A20,_book!$A$2:$A$379,bkc_lob,_book!$B$2:$B$379,bkc_bu)=0,"—",SUMIFS(_book!$W$2:$W$379,_book!$C$2:$C$379,$A20,_book!$A$2:$A$379,bkc_lob,_book!$B$2:$B$379,bkc_bu)/SUMIFS(_book!$V$2:$V$379,_book!$C$2:$C$379,$A20,_book!$A$2:$A$379,bkc_lob,_book!$B$2:$B$379,bkc_bu)))</f>
        <v>—</v>
      </c>
      <c r="AH20" s="35" t="str">
        <f>IF(SUMIFS(_book!$V$2:$V$379,_book!$C$2:$C$379,$A20,_book!$A$2:$A$379,bkc_lob,_book!$B$2:$B$379,bkc_bu)=0,"—",IF(SUMIFS(_book!$F$2:$F$379,_book!$C$2:$C$379,$A20,_book!$A$2:$A$379,bkc_lob,_book!$B$2:$B$379,bkc_bu)=0,"—",SUMIFS(_book!$AT$2:$AT$379,_book!$C$2:$C$379,$A20,_book!$A$2:$A$379,bkc_lob,_book!$B$2:$B$379,bkc_bu)/SUMIFS(_book!$F$2:$F$379,_book!$C$2:$C$379,$A20,_book!$A$2:$A$379,bkc_lob,_book!$B$2:$B$379,bkc_bu)))</f>
        <v>—</v>
      </c>
      <c r="AI20" s="38" t="str">
        <f>IF(SUMIFS(_book!$V$2:$V$379,_book!$C$2:$C$379,$A20,_book!$A$2:$A$379,bkc_lob,_book!$B$2:$B$379,bkc_bu)=0,"—",($AH20-$AA20)*100)</f>
        <v>—</v>
      </c>
    </row>
    <row r="21" spans="1:35" x14ac:dyDescent="0.3">
      <c r="A21" s="39" t="s">
        <v>85</v>
      </c>
      <c r="B21" s="40">
        <f>SUMIFS(_book!$F$2:$F$379,_book!$C$2:$C$379,$A21,_book!$A$2:$A$379,bkc_lob,_book!$B$2:$B$379,bkc_bu)</f>
        <v>697000</v>
      </c>
      <c r="C21" s="41">
        <f>IF(SUMIFS(_book!$F$2:$F$379,_book!$C$2:$C$379,$A21,_book!$A$2:$A$379,bkc_lob,_book!$B$2:$B$379,bkc_bu)=0,"—",SUMIFS(_book!$AV$2:$AV$379,_book!$C$2:$C$379,$A21,_book!$A$2:$A$379,bkc_lob,_book!$B$2:$B$379,bkc_bu)/SUMIFS(_book!$F$2:$F$379,_book!$C$2:$C$379,$A21,_book!$A$2:$A$379,bkc_lob,_book!$B$2:$B$379,bkc_bu))</f>
        <v>0.9285882352941176</v>
      </c>
      <c r="D21" s="41">
        <f>IF(SUMIFS(_book!$F$2:$F$379,_book!$C$2:$C$379,$A21,_book!$A$2:$A$379,bkc_lob,_book!$B$2:$B$379,bkc_bu)=0,"—",SUMIFS(_book!$AW$2:$AW$379,_book!$C$2:$C$379,$A21,_book!$A$2:$A$379,bkc_lob,_book!$B$2:$B$379,bkc_bu)/SUMIFS(_book!$F$2:$F$379,_book!$C$2:$C$379,$A21,_book!$A$2:$A$379,bkc_lob,_book!$B$2:$B$379,bkc_bu))</f>
        <v>0.91858823529411759</v>
      </c>
      <c r="E21" s="41">
        <f>IF(SUMIFS(_book!$F$2:$F$379,_book!$C$2:$C$379,$A21,_book!$A$2:$A$379,bkc_lob,_book!$B$2:$B$379,bkc_bu)=0,"—",SUMIFS(_book!$AX$2:$AX$379,_book!$C$2:$C$379,$A21,_book!$A$2:$A$379,bkc_lob,_book!$B$2:$B$379,bkc_bu)/SUMIFS(_book!$F$2:$F$379,_book!$C$2:$C$379,$A21,_book!$A$2:$A$379,bkc_lob,_book!$B$2:$B$379,bkc_bu))</f>
        <v>0.9285882352941176</v>
      </c>
      <c r="F21" s="42" t="str">
        <f>IF(COUNTIFS(_book!$D$2:$D$379,"?*",_book!$C$2:$C$379,$A21,_book!$A$2:$A$379,bkc_lob,_book!$B$2:$B$379,bkc_bu)&lt;&gt;1,"—",INDEX(_book!$DG$2:$DG$379,MATCH(bkf_lob&amp;"|"&amp;bkf_bu&amp;"|"&amp;$A21,_book!$E$2:$E$379,0)))</f>
        <v>—</v>
      </c>
      <c r="G21" s="43" t="str">
        <f>IF(COUNTIFS(_book!$D$2:$D$379,"?*",_book!$C$2:$C$379,$A21,_book!$A$2:$A$379,bkc_lob,_book!$B$2:$B$379,bkc_bu)&lt;&gt;1,"—",INDEX(_book!$DH$2:$DH$379,MATCH(bkf_lob&amp;"|"&amp;bkf_bu&amp;"|"&amp;$A21,_book!$E$2:$E$379,0)))</f>
        <v>—</v>
      </c>
      <c r="H21" s="44" t="str">
        <f>IF(COUNTIFS(_book!$D$2:$D$379,"?*",_book!$C$2:$C$379,$A21,_book!$A$2:$A$379,bkc_lob,_book!$B$2:$B$379,bkc_bu)&lt;&gt;1,"—",INDEX(_book!$DI$2:$DI$379,MATCH(bkf_lob&amp;"|"&amp;bkf_bu&amp;"|"&amp;$A21,_book!$E$2:$E$379,0)))</f>
        <v>—</v>
      </c>
      <c r="I21" s="42" t="str">
        <f>IF(COUNTIFS(_book!$D$2:$D$379,"?*",_book!$C$2:$C$379,$A21,_book!$A$2:$A$379,bkc_lob,_book!$B$2:$B$379,bkc_bu)&lt;&gt;1,"—",INDEX(_book!$DJ$2:$DJ$379,MATCH(bkf_lob&amp;"|"&amp;bkf_bu&amp;"|"&amp;$A21,_book!$E$2:$E$379,0)))</f>
        <v>—</v>
      </c>
      <c r="J21" s="43" t="str">
        <f>IF(COUNTIFS(_book!$D$2:$D$379,"?*",_book!$C$2:$C$379,$A21,_book!$A$2:$A$379,bkc_lob,_book!$B$2:$B$379,bkc_bu)&lt;&gt;1,"—",INDEX(_book!$DK$2:$DK$379,MATCH(bkf_lob&amp;"|"&amp;bkf_bu&amp;"|"&amp;$A21,_book!$E$2:$E$379,0)))</f>
        <v>—</v>
      </c>
      <c r="K21" s="44" t="str">
        <f>IF(COUNTIFS(_book!$D$2:$D$379,"?*",_book!$C$2:$C$379,$A21,_book!$A$2:$A$379,bkc_lob,_book!$B$2:$B$379,bkc_bu)&lt;&gt;1,"—",INDEX(_book!$DL$2:$DL$379,MATCH(bkf_lob&amp;"|"&amp;bkf_bu&amp;"|"&amp;$A21,_book!$E$2:$E$379,0)))</f>
        <v>—</v>
      </c>
      <c r="L21" s="42" t="str">
        <f>IF(COUNTIFS(_book!$D$2:$D$379,"?*",_book!$C$2:$C$379,$A21,_book!$A$2:$A$379,bkc_lob,_book!$B$2:$B$379,bkc_bu)&lt;&gt;1,"—",INDEX(_book!$DM$2:$DM$379,MATCH(bkf_lob&amp;"|"&amp;bkf_bu&amp;"|"&amp;$A21,_book!$E$2:$E$379,0)))</f>
        <v>—</v>
      </c>
      <c r="M21" s="43" t="str">
        <f>IF(COUNTIFS(_book!$D$2:$D$379,"?*",_book!$C$2:$C$379,$A21,_book!$A$2:$A$379,bkc_lob,_book!$B$2:$B$379,bkc_bu)&lt;&gt;1,"—",INDEX(_book!$DN$2:$DN$379,MATCH(bkf_lob&amp;"|"&amp;bkf_bu&amp;"|"&amp;$A21,_book!$E$2:$E$379,0)))</f>
        <v>—</v>
      </c>
      <c r="N21" s="44" t="str">
        <f>IF(COUNTIFS(_book!$D$2:$D$379,"?*",_book!$C$2:$C$379,$A21,_book!$A$2:$A$379,bkc_lob,_book!$B$2:$B$379,bkc_bu)&lt;&gt;1,"—",INDEX(_book!$DO$2:$DO$379,MATCH(bkf_lob&amp;"|"&amp;bkf_bu&amp;"|"&amp;$A21,_book!$E$2:$E$379,0)))</f>
        <v>—</v>
      </c>
      <c r="O21" s="42" t="str">
        <f>IF(COUNTIFS(_book!$D$2:$D$379,"?*",_book!$C$2:$C$379,$A21,_book!$A$2:$A$379,bkc_lob,_book!$B$2:$B$379,bkc_bu)&lt;&gt;1,"—",INDEX(_book!$DP$2:$DP$379,MATCH(bkf_lob&amp;"|"&amp;bkf_bu&amp;"|"&amp;$A21,_book!$E$2:$E$379,0)))</f>
        <v>—</v>
      </c>
      <c r="P21" s="43" t="str">
        <f>IF(COUNTIFS(_book!$D$2:$D$379,"?*",_book!$C$2:$C$379,$A21,_book!$A$2:$A$379,bkc_lob,_book!$B$2:$B$379,bkc_bu)&lt;&gt;1,"—",INDEX(_book!$DQ$2:$DQ$379,MATCH(bkf_lob&amp;"|"&amp;bkf_bu&amp;"|"&amp;$A21,_book!$E$2:$E$379,0)))</f>
        <v>—</v>
      </c>
      <c r="Q21" s="44" t="str">
        <f>IF(COUNTIFS(_book!$D$2:$D$379,"?*",_book!$C$2:$C$379,$A21,_book!$A$2:$A$379,bkc_lob,_book!$B$2:$B$379,bkc_bu)&lt;&gt;1,"—",INDEX(_book!$DR$2:$DR$379,MATCH(bkf_lob&amp;"|"&amp;bkf_bu&amp;"|"&amp;$A21,_book!$E$2:$E$379,0)))</f>
        <v>—</v>
      </c>
      <c r="R21" s="45">
        <f>SUMIFS(_book!$AC$2:$AC$379,_book!$C$2:$C$379,$A21,_book!$A$2:$A$379,bkc_lob,_book!$B$2:$B$379,bkc_bu)</f>
        <v>18</v>
      </c>
      <c r="S21" s="45">
        <f>SUMIFS(_book!$AD$2:$AD$379,_book!$C$2:$C$379,$A21,_book!$A$2:$A$379,bkc_lob,_book!$B$2:$B$379,bkc_bu)</f>
        <v>6</v>
      </c>
      <c r="T21" s="46">
        <f>IF(SUMIFS(_book!$F$2:$F$379,_book!$C$2:$C$379,$A21,_book!$A$2:$A$379,bkc_lob,_book!$B$2:$B$379,bkc_bu)=0,"—",SUMIFS(_book!$AH$2:$AH$379,_book!$C$2:$C$379,$A21,_book!$A$2:$A$379,bkc_lob,_book!$B$2:$B$379,bkc_bu)/SUMIFS(_book!$F$2:$F$379,_book!$C$2:$C$379,$A21,_book!$A$2:$A$379,bkc_lob,_book!$B$2:$B$379,bkc_bu))</f>
        <v>1.0453658536585366</v>
      </c>
      <c r="U21" s="46">
        <f>IF(SUMIFS(_book!$F$2:$F$379,_book!$C$2:$C$379,$A21,_book!$A$2:$A$379,bkc_lob,_book!$B$2:$B$379,bkc_bu)=0,"—",SUMIFS(_book!$AI$2:$AI$379,_book!$C$2:$C$379,$A21,_book!$A$2:$A$379,bkc_lob,_book!$B$2:$B$379,bkc_bu)/SUMIFS(_book!$F$2:$F$379,_book!$C$2:$C$379,$A21,_book!$A$2:$A$379,bkc_lob,_book!$B$2:$B$379,bkc_bu))</f>
        <v>1.0477885341941653</v>
      </c>
      <c r="V21" s="41">
        <f>IF(SUMIFS(_book!$F$2:$F$379,_book!$C$2:$C$379,$A21,_book!$A$2:$A$379,bkc_lob,_book!$B$2:$B$379,bkc_bu)=0,"—",SUMIFS(_book!$AJ$2:$AJ$379,_book!$C$2:$C$379,$A21,_book!$A$2:$A$379,bkc_lob,_book!$B$2:$B$379,bkc_bu)/SUMIFS(_book!$F$2:$F$379,_book!$C$2:$C$379,$A21,_book!$A$2:$A$379,bkc_lob,_book!$B$2:$B$379,bkc_bu))</f>
        <v>0.92067800446217818</v>
      </c>
      <c r="W21" s="47">
        <f>IF(SUMIFS(_book!$F$2:$F$379,_book!$C$2:$C$379,$A21,_book!$A$2:$A$379,bkc_lob,_book!$B$2:$B$379,bkc_bu)=0,"—",SUMIFS(_book!$AN$2:$AN$379,_book!$C$2:$C$379,$A21,_book!$A$2:$A$379,bkc_lob,_book!$B$2:$B$379,bkc_bu)/SUMIFS(_book!$F$2:$F$379,_book!$C$2:$C$379,$A21,_book!$A$2:$A$379,bkc_lob,_book!$B$2:$B$379,bkc_bu))</f>
        <v>0.62419368723099</v>
      </c>
      <c r="X21" s="46">
        <f>IF(SUMIFS(_book!$F$2:$F$379,_book!$C$2:$C$379,$A21,_book!$A$2:$A$379,bkc_lob,_book!$B$2:$B$379,bkc_bu)=0,"—",SUMIFS(_book!$AK$2:$AK$379,_book!$C$2:$C$379,$A21,_book!$A$2:$A$379,bkc_lob,_book!$B$2:$B$379,bkc_bu)/SUMIFS(_book!$F$2:$F$379,_book!$C$2:$C$379,$A21,_book!$A$2:$A$379,bkc_lob,_book!$B$2:$B$379,bkc_bu))</f>
        <v>0.99783186636750276</v>
      </c>
      <c r="Y21" s="46">
        <f>IF(SUMIFS(_book!$F$2:$F$379,_book!$C$2:$C$379,$A21,_book!$A$2:$A$379,bkc_lob,_book!$B$2:$B$379,bkc_bu)=0,"—",SUMIFS(_book!$AL$2:$AL$379,_book!$C$2:$C$379,$A21,_book!$A$2:$A$379,bkc_lob,_book!$B$2:$B$379,bkc_bu)/SUMIFS(_book!$F$2:$F$379,_book!$C$2:$C$379,$A21,_book!$A$2:$A$379,bkc_lob,_book!$B$2:$B$379,bkc_bu))</f>
        <v>1.0086266832047017</v>
      </c>
      <c r="Z21" s="46">
        <f>IF(SUMIFS(_book!$F$2:$F$379,_book!$C$2:$C$379,$A21,_book!$A$2:$A$379,bkc_lob,_book!$B$2:$B$379,bkc_bu)=0,"—",SUMIFS(_book!$AM$2:$AM$379,_book!$C$2:$C$379,$A21,_book!$A$2:$A$379,bkc_lob,_book!$B$2:$B$379,bkc_bu)/SUMIFS(_book!$F$2:$F$379,_book!$C$2:$C$379,$A21,_book!$A$2:$A$379,bkc_lob,_book!$B$2:$B$379,bkc_bu))</f>
        <v>1</v>
      </c>
      <c r="AA21" s="48">
        <f>IF(COUNTIFS(_book!$D$2:$D$379,"?*",_book!$C$2:$C$379,$A21,_book!$A$2:$A$379,bkc_lob,_book!$B$2:$B$379,bkc_bu)=0,"",IF(COUNTIFS(_book!$D$2:$D$379,"?*",_book!$C$2:$C$379,$A21,_book!$A$2:$A$379,bkc_lob,_book!$B$2:$B$379,bkc_bu)=1,$W21*$X21*$Y21*$Z21,IF(SUMIFS(_book!$F$2:$F$379,_book!$C$2:$C$379,$A21,_book!$A$2:$A$379,bkc_lob,_book!$B$2:$B$379,bkc_bu)=0,"—",SUMIFS(_book!$AO$2:$AO$379,_book!$C$2:$C$379,$A21,_book!$A$2:$A$379,bkc_lob,_book!$B$2:$B$379,bkc_bu)/SUMIFS(_book!$F$2:$F$379,_book!$C$2:$C$379,$A21,_book!$A$2:$A$379,bkc_lob,_book!$B$2:$B$379,bkc_bu))))</f>
        <v>0.62829275783415195</v>
      </c>
      <c r="AB21" s="49">
        <f>IF(COUNTIFS(_book!$D$2:$D$379,"?*",_book!$C$2:$C$379,$A21,_book!$A$2:$A$379,bkc_lob,_book!$B$2:$B$379,bkc_bu)&lt;=1,"",($AA21-$W21*$X21*$Y21*$Z21)*100)</f>
        <v>7.9359526654720902E-3</v>
      </c>
      <c r="AC21" s="43">
        <f>IF(SUMIFS(_book!$F$2:$F$379,_book!$C$2:$C$379,$A21,_book!$A$2:$A$379,bkc_lob,_book!$B$2:$B$379,bkc_bu)=0,"—",SUMIFS(_book!$AQ$2:$AQ$379,_book!$C$2:$C$379,$A21,_book!$A$2:$A$379,bkc_lob,_book!$B$2:$B$379,bkc_bu)/SUMIFS(_book!$F$2:$F$379,_book!$C$2:$C$379,$A21,_book!$A$2:$A$379,bkc_lob,_book!$B$2:$B$379,bkc_bu))</f>
        <v>0</v>
      </c>
      <c r="AD21" s="46">
        <f>IF(SUMIFS(_book!$F$2:$F$379,_book!$C$2:$C$379,$A21,_book!$A$2:$A$379,bkc_lob,_book!$B$2:$B$379,bkc_bu)=0,"—",SUMIFS(_book!$AR$2:$AR$379,_book!$C$2:$C$379,$A21,_book!$A$2:$A$379,bkc_lob,_book!$B$2:$B$379,bkc_bu)/SUMIFS(_book!$F$2:$F$379,_book!$C$2:$C$379,$A21,_book!$A$2:$A$379,bkc_lob,_book!$B$2:$B$379,bkc_bu))</f>
        <v>0.97813137351851487</v>
      </c>
      <c r="AE21" s="46">
        <f>IF(SUMIFS(_book!$F$2:$F$379,_book!$C$2:$C$379,$A21,_book!$A$2:$A$379,bkc_lob,_book!$B$2:$B$379,bkc_bu)=0,"—",SUMIFS(_book!$AS$2:$AS$379,_book!$C$2:$C$379,$A21,_book!$A$2:$A$379,bkc_lob,_book!$B$2:$B$379,bkc_bu)/SUMIFS(_book!$F$2:$F$379,_book!$C$2:$C$379,$A21,_book!$A$2:$A$379,bkc_lob,_book!$B$2:$B$379,bkc_bu))</f>
        <v>1.0014034923646611</v>
      </c>
      <c r="AF21" s="48">
        <f>IF(COUNTIFS(_book!$D$2:$D$379,"?*",_book!$C$2:$C$379,$A21,_book!$A$2:$A$379,bkc_lob,_book!$B$2:$B$379,bkc_bu)=0,"",IF(COUNTIFS(_book!$D$2:$D$379,"?*",_book!$C$2:$C$379,$A21,_book!$A$2:$A$379,bkc_lob,_book!$B$2:$B$379,bkc_bu)=1,$W21*(1+$AC21)*$AD21*$AE21*$Z21,IF(SUMIFS(_book!$F$2:$F$379,_book!$C$2:$C$379,$A21,_book!$A$2:$A$379,bkc_lob,_book!$B$2:$B$379,bkc_bu)=0,"—",SUMIFS(_book!$AP$2:$AP$379,_book!$C$2:$C$379,$A21,_book!$A$2:$A$379,bkc_lob,_book!$B$2:$B$379,bkc_bu)/SUMIFS(_book!$F$2:$F$379,_book!$C$2:$C$379,$A21,_book!$A$2:$A$379,bkc_lob,_book!$B$2:$B$379,bkc_bu))))</f>
        <v>0.61141513632175959</v>
      </c>
      <c r="AG21" s="43" t="str">
        <f>IF(COUNTIFS(_book!$D$2:$D$379,"?*",_book!$C$2:$C$379,$A21,_book!$A$2:$A$379,bkc_lob,_book!$B$2:$B$379,bkc_bu)=0,"",IF(SUMIFS(_book!$V$2:$V$379,_book!$C$2:$C$379,$A21,_book!$A$2:$A$379,bkc_lob,_book!$B$2:$B$379,bkc_bu)=0,"—",SUMIFS(_book!$W$2:$W$379,_book!$C$2:$C$379,$A21,_book!$A$2:$A$379,bkc_lob,_book!$B$2:$B$379,bkc_bu)/SUMIFS(_book!$V$2:$V$379,_book!$C$2:$C$379,$A21,_book!$A$2:$A$379,bkc_lob,_book!$B$2:$B$379,bkc_bu)))</f>
        <v>—</v>
      </c>
      <c r="AH21" s="47" t="str">
        <f>IF(SUMIFS(_book!$V$2:$V$379,_book!$C$2:$C$379,$A21,_book!$A$2:$A$379,bkc_lob,_book!$B$2:$B$379,bkc_bu)=0,"—",IF(SUMIFS(_book!$F$2:$F$379,_book!$C$2:$C$379,$A21,_book!$A$2:$A$379,bkc_lob,_book!$B$2:$B$379,bkc_bu)=0,"—",SUMIFS(_book!$AT$2:$AT$379,_book!$C$2:$C$379,$A21,_book!$A$2:$A$379,bkc_lob,_book!$B$2:$B$379,bkc_bu)/SUMIFS(_book!$F$2:$F$379,_book!$C$2:$C$379,$A21,_book!$A$2:$A$379,bkc_lob,_book!$B$2:$B$379,bkc_bu)))</f>
        <v>—</v>
      </c>
      <c r="AI21" s="50" t="str">
        <f>IF(SUMIFS(_book!$V$2:$V$379,_book!$C$2:$C$379,$A21,_book!$A$2:$A$379,bkc_lob,_book!$B$2:$B$379,bkc_bu)=0,"—",($AH21-$AA21)*100)</f>
        <v>—</v>
      </c>
    </row>
    <row r="22" spans="1:35" x14ac:dyDescent="0.3">
      <c r="A22" s="27" t="s">
        <v>87</v>
      </c>
      <c r="B22" s="28">
        <f>SUMIFS(_book!$F$2:$F$379,_book!$C$2:$C$379,$A22,_book!$A$2:$A$379,bkc_lob,_book!$B$2:$B$379,bkc_bu)</f>
        <v>1071000</v>
      </c>
      <c r="C22" s="29">
        <f>IF(SUMIFS(_book!$F$2:$F$379,_book!$C$2:$C$379,$A22,_book!$A$2:$A$379,bkc_lob,_book!$B$2:$B$379,bkc_bu)=0,"—",SUMIFS(_book!$AV$2:$AV$379,_book!$C$2:$C$379,$A22,_book!$A$2:$A$379,bkc_lob,_book!$B$2:$B$379,bkc_bu)/SUMIFS(_book!$F$2:$F$379,_book!$C$2:$C$379,$A22,_book!$A$2:$A$379,bkc_lob,_book!$B$2:$B$379,bkc_bu))</f>
        <v>0.9285882352941176</v>
      </c>
      <c r="D22" s="29">
        <f>IF(SUMIFS(_book!$F$2:$F$379,_book!$C$2:$C$379,$A22,_book!$A$2:$A$379,bkc_lob,_book!$B$2:$B$379,bkc_bu)=0,"—",SUMIFS(_book!$AW$2:$AW$379,_book!$C$2:$C$379,$A22,_book!$A$2:$A$379,bkc_lob,_book!$B$2:$B$379,bkc_bu)/SUMIFS(_book!$F$2:$F$379,_book!$C$2:$C$379,$A22,_book!$A$2:$A$379,bkc_lob,_book!$B$2:$B$379,bkc_bu))</f>
        <v>0.91858823529411759</v>
      </c>
      <c r="E22" s="29">
        <f>IF(SUMIFS(_book!$F$2:$F$379,_book!$C$2:$C$379,$A22,_book!$A$2:$A$379,bkc_lob,_book!$B$2:$B$379,bkc_bu)=0,"—",SUMIFS(_book!$AX$2:$AX$379,_book!$C$2:$C$379,$A22,_book!$A$2:$A$379,bkc_lob,_book!$B$2:$B$379,bkc_bu)/SUMIFS(_book!$F$2:$F$379,_book!$C$2:$C$379,$A22,_book!$A$2:$A$379,bkc_lob,_book!$B$2:$B$379,bkc_bu))</f>
        <v>0.9085882352941177</v>
      </c>
      <c r="F22" s="30" t="str">
        <f>IF(COUNTIFS(_book!$D$2:$D$379,"?*",_book!$C$2:$C$379,$A22,_book!$A$2:$A$379,bkc_lob,_book!$B$2:$B$379,bkc_bu)&lt;&gt;1,"—",INDEX(_book!$DG$2:$DG$379,MATCH(bkf_lob&amp;"|"&amp;bkf_bu&amp;"|"&amp;$A22,_book!$E$2:$E$379,0)))</f>
        <v>—</v>
      </c>
      <c r="G22" s="31" t="str">
        <f>IF(COUNTIFS(_book!$D$2:$D$379,"?*",_book!$C$2:$C$379,$A22,_book!$A$2:$A$379,bkc_lob,_book!$B$2:$B$379,bkc_bu)&lt;&gt;1,"—",INDEX(_book!$DH$2:$DH$379,MATCH(bkf_lob&amp;"|"&amp;bkf_bu&amp;"|"&amp;$A22,_book!$E$2:$E$379,0)))</f>
        <v>—</v>
      </c>
      <c r="H22" s="32" t="str">
        <f>IF(COUNTIFS(_book!$D$2:$D$379,"?*",_book!$C$2:$C$379,$A22,_book!$A$2:$A$379,bkc_lob,_book!$B$2:$B$379,bkc_bu)&lt;&gt;1,"—",INDEX(_book!$DI$2:$DI$379,MATCH(bkf_lob&amp;"|"&amp;bkf_bu&amp;"|"&amp;$A22,_book!$E$2:$E$379,0)))</f>
        <v>—</v>
      </c>
      <c r="I22" s="30" t="str">
        <f>IF(COUNTIFS(_book!$D$2:$D$379,"?*",_book!$C$2:$C$379,$A22,_book!$A$2:$A$379,bkc_lob,_book!$B$2:$B$379,bkc_bu)&lt;&gt;1,"—",INDEX(_book!$DJ$2:$DJ$379,MATCH(bkf_lob&amp;"|"&amp;bkf_bu&amp;"|"&amp;$A22,_book!$E$2:$E$379,0)))</f>
        <v>—</v>
      </c>
      <c r="J22" s="31" t="str">
        <f>IF(COUNTIFS(_book!$D$2:$D$379,"?*",_book!$C$2:$C$379,$A22,_book!$A$2:$A$379,bkc_lob,_book!$B$2:$B$379,bkc_bu)&lt;&gt;1,"—",INDEX(_book!$DK$2:$DK$379,MATCH(bkf_lob&amp;"|"&amp;bkf_bu&amp;"|"&amp;$A22,_book!$E$2:$E$379,0)))</f>
        <v>—</v>
      </c>
      <c r="K22" s="32" t="str">
        <f>IF(COUNTIFS(_book!$D$2:$D$379,"?*",_book!$C$2:$C$379,$A22,_book!$A$2:$A$379,bkc_lob,_book!$B$2:$B$379,bkc_bu)&lt;&gt;1,"—",INDEX(_book!$DL$2:$DL$379,MATCH(bkf_lob&amp;"|"&amp;bkf_bu&amp;"|"&amp;$A22,_book!$E$2:$E$379,0)))</f>
        <v>—</v>
      </c>
      <c r="L22" s="30" t="str">
        <f>IF(COUNTIFS(_book!$D$2:$D$379,"?*",_book!$C$2:$C$379,$A22,_book!$A$2:$A$379,bkc_lob,_book!$B$2:$B$379,bkc_bu)&lt;&gt;1,"—",INDEX(_book!$DM$2:$DM$379,MATCH(bkf_lob&amp;"|"&amp;bkf_bu&amp;"|"&amp;$A22,_book!$E$2:$E$379,0)))</f>
        <v>—</v>
      </c>
      <c r="M22" s="31" t="str">
        <f>IF(COUNTIFS(_book!$D$2:$D$379,"?*",_book!$C$2:$C$379,$A22,_book!$A$2:$A$379,bkc_lob,_book!$B$2:$B$379,bkc_bu)&lt;&gt;1,"—",INDEX(_book!$DN$2:$DN$379,MATCH(bkf_lob&amp;"|"&amp;bkf_bu&amp;"|"&amp;$A22,_book!$E$2:$E$379,0)))</f>
        <v>—</v>
      </c>
      <c r="N22" s="32" t="str">
        <f>IF(COUNTIFS(_book!$D$2:$D$379,"?*",_book!$C$2:$C$379,$A22,_book!$A$2:$A$379,bkc_lob,_book!$B$2:$B$379,bkc_bu)&lt;&gt;1,"—",INDEX(_book!$DO$2:$DO$379,MATCH(bkf_lob&amp;"|"&amp;bkf_bu&amp;"|"&amp;$A22,_book!$E$2:$E$379,0)))</f>
        <v>—</v>
      </c>
      <c r="O22" s="30" t="str">
        <f>IF(COUNTIFS(_book!$D$2:$D$379,"?*",_book!$C$2:$C$379,$A22,_book!$A$2:$A$379,bkc_lob,_book!$B$2:$B$379,bkc_bu)&lt;&gt;1,"—",INDEX(_book!$DP$2:$DP$379,MATCH(bkf_lob&amp;"|"&amp;bkf_bu&amp;"|"&amp;$A22,_book!$E$2:$E$379,0)))</f>
        <v>—</v>
      </c>
      <c r="P22" s="31" t="str">
        <f>IF(COUNTIFS(_book!$D$2:$D$379,"?*",_book!$C$2:$C$379,$A22,_book!$A$2:$A$379,bkc_lob,_book!$B$2:$B$379,bkc_bu)&lt;&gt;1,"—",INDEX(_book!$DQ$2:$DQ$379,MATCH(bkf_lob&amp;"|"&amp;bkf_bu&amp;"|"&amp;$A22,_book!$E$2:$E$379,0)))</f>
        <v>—</v>
      </c>
      <c r="Q22" s="32" t="str">
        <f>IF(COUNTIFS(_book!$D$2:$D$379,"?*",_book!$C$2:$C$379,$A22,_book!$A$2:$A$379,bkc_lob,_book!$B$2:$B$379,bkc_bu)&lt;&gt;1,"—",INDEX(_book!$DR$2:$DR$379,MATCH(bkf_lob&amp;"|"&amp;bkf_bu&amp;"|"&amp;$A22,_book!$E$2:$E$379,0)))</f>
        <v>—</v>
      </c>
      <c r="R22" s="33">
        <f>SUMIFS(_book!$AC$2:$AC$379,_book!$C$2:$C$379,$A22,_book!$A$2:$A$379,bkc_lob,_book!$B$2:$B$379,bkc_bu)</f>
        <v>0</v>
      </c>
      <c r="S22" s="33">
        <f>SUMIFS(_book!$AD$2:$AD$379,_book!$C$2:$C$379,$A22,_book!$A$2:$A$379,bkc_lob,_book!$B$2:$B$379,bkc_bu)</f>
        <v>0</v>
      </c>
      <c r="T22" s="34">
        <f>IF(SUMIFS(_book!$F$2:$F$379,_book!$C$2:$C$379,$A22,_book!$A$2:$A$379,bkc_lob,_book!$B$2:$B$379,bkc_bu)=0,"—",SUMIFS(_book!$AH$2:$AH$379,_book!$C$2:$C$379,$A22,_book!$A$2:$A$379,bkc_lob,_book!$B$2:$B$379,bkc_bu)/SUMIFS(_book!$F$2:$F$379,_book!$C$2:$C$379,$A22,_book!$A$2:$A$379,bkc_lob,_book!$B$2:$B$379,bkc_bu))</f>
        <v>1</v>
      </c>
      <c r="U22" s="34">
        <f>IF(SUMIFS(_book!$F$2:$F$379,_book!$C$2:$C$379,$A22,_book!$A$2:$A$379,bkc_lob,_book!$B$2:$B$379,bkc_bu)=0,"—",SUMIFS(_book!$AI$2:$AI$379,_book!$C$2:$C$379,$A22,_book!$A$2:$A$379,bkc_lob,_book!$B$2:$B$379,bkc_bu)/SUMIFS(_book!$F$2:$F$379,_book!$C$2:$C$379,$A22,_book!$A$2:$A$379,bkc_lob,_book!$B$2:$B$379,bkc_bu))</f>
        <v>1</v>
      </c>
      <c r="V22" s="29">
        <f>IF(SUMIFS(_book!$F$2:$F$379,_book!$C$2:$C$379,$A22,_book!$A$2:$A$379,bkc_lob,_book!$B$2:$B$379,bkc_bu)=0,"—",SUMIFS(_book!$AJ$2:$AJ$379,_book!$C$2:$C$379,$A22,_book!$A$2:$A$379,bkc_lob,_book!$B$2:$B$379,bkc_bu)/SUMIFS(_book!$F$2:$F$379,_book!$C$2:$C$379,$A22,_book!$A$2:$A$379,bkc_lob,_book!$B$2:$B$379,bkc_bu))</f>
        <v>0.91649846612605657</v>
      </c>
      <c r="W22" s="35">
        <f>IF(SUMIFS(_book!$F$2:$F$379,_book!$C$2:$C$379,$A22,_book!$A$2:$A$379,bkc_lob,_book!$B$2:$B$379,bkc_bu)=0,"—",SUMIFS(_book!$AN$2:$AN$379,_book!$C$2:$C$379,$A22,_book!$A$2:$A$379,bkc_lob,_book!$B$2:$B$379,bkc_bu)/SUMIFS(_book!$F$2:$F$379,_book!$C$2:$C$379,$A22,_book!$A$2:$A$379,bkc_lob,_book!$B$2:$B$379,bkc_bu))</f>
        <v>0.63818207282913164</v>
      </c>
      <c r="X22" s="34">
        <f>IF(SUMIFS(_book!$F$2:$F$379,_book!$C$2:$C$379,$A22,_book!$A$2:$A$379,bkc_lob,_book!$B$2:$B$379,bkc_bu)=0,"—",SUMIFS(_book!$AK$2:$AK$379,_book!$C$2:$C$379,$A22,_book!$A$2:$A$379,bkc_lob,_book!$B$2:$B$379,bkc_bu)/SUMIFS(_book!$F$2:$F$379,_book!$C$2:$C$379,$A22,_book!$A$2:$A$379,bkc_lob,_book!$B$2:$B$379,bkc_bu))</f>
        <v>1</v>
      </c>
      <c r="Y22" s="34">
        <f>IF(SUMIFS(_book!$F$2:$F$379,_book!$C$2:$C$379,$A22,_book!$A$2:$A$379,bkc_lob,_book!$B$2:$B$379,bkc_bu)=0,"—",SUMIFS(_book!$AL$2:$AL$379,_book!$C$2:$C$379,$A22,_book!$A$2:$A$379,bkc_lob,_book!$B$2:$B$379,bkc_bu)/SUMIFS(_book!$F$2:$F$379,_book!$C$2:$C$379,$A22,_book!$A$2:$A$379,bkc_lob,_book!$B$2:$B$379,bkc_bu))</f>
        <v>1.0132466839556691</v>
      </c>
      <c r="Z22" s="34">
        <f>IF(SUMIFS(_book!$F$2:$F$379,_book!$C$2:$C$379,$A22,_book!$A$2:$A$379,bkc_lob,_book!$B$2:$B$379,bkc_bu)=0,"—",SUMIFS(_book!$AM$2:$AM$379,_book!$C$2:$C$379,$A22,_book!$A$2:$A$379,bkc_lob,_book!$B$2:$B$379,bkc_bu)/SUMIFS(_book!$F$2:$F$379,_book!$C$2:$C$379,$A22,_book!$A$2:$A$379,bkc_lob,_book!$B$2:$B$379,bkc_bu))</f>
        <v>1</v>
      </c>
      <c r="AA22" s="36">
        <f>IF(COUNTIFS(_book!$D$2:$D$379,"?*",_book!$C$2:$C$379,$A22,_book!$A$2:$A$379,bkc_lob,_book!$B$2:$B$379,bkc_bu)=0,"",IF(COUNTIFS(_book!$D$2:$D$379,"?*",_book!$C$2:$C$379,$A22,_book!$A$2:$A$379,bkc_lob,_book!$B$2:$B$379,bkc_bu)=1,$W22*$X22*$Y22*$Z22,IF(SUMIFS(_book!$F$2:$F$379,_book!$C$2:$C$379,$A22,_book!$A$2:$A$379,bkc_lob,_book!$B$2:$B$379,bkc_bu)=0,"—",SUMIFS(_book!$AO$2:$AO$379,_book!$C$2:$C$379,$A22,_book!$A$2:$A$379,bkc_lob,_book!$B$2:$B$379,bkc_bu)/SUMIFS(_book!$F$2:$F$379,_book!$C$2:$C$379,$A22,_book!$A$2:$A$379,bkc_lob,_book!$B$2:$B$379,bkc_bu))))</f>
        <v>0.64662914721223319</v>
      </c>
      <c r="AB22" s="37">
        <f>IF(COUNTIFS(_book!$D$2:$D$379,"?*",_book!$C$2:$C$379,$A22,_book!$A$2:$A$379,bkc_lob,_book!$B$2:$B$379,bkc_bu)&lt;=1,"",($AA22-$W22*$X22*$Y22*$Z22)*100)</f>
        <v>-6.7218418396963742E-4</v>
      </c>
      <c r="AC22" s="31">
        <f>IF(SUMIFS(_book!$F$2:$F$379,_book!$C$2:$C$379,$A22,_book!$A$2:$A$379,bkc_lob,_book!$B$2:$B$379,bkc_bu)=0,"—",SUMIFS(_book!$AQ$2:$AQ$379,_book!$C$2:$C$379,$A22,_book!$A$2:$A$379,bkc_lob,_book!$B$2:$B$379,bkc_bu)/SUMIFS(_book!$F$2:$F$379,_book!$C$2:$C$379,$A22,_book!$A$2:$A$379,bkc_lob,_book!$B$2:$B$379,bkc_bu))</f>
        <v>0</v>
      </c>
      <c r="AD22" s="34">
        <f>IF(SUMIFS(_book!$F$2:$F$379,_book!$C$2:$C$379,$A22,_book!$A$2:$A$379,bkc_lob,_book!$B$2:$B$379,bkc_bu)=0,"—",SUMIFS(_book!$AR$2:$AR$379,_book!$C$2:$C$379,$A22,_book!$A$2:$A$379,bkc_lob,_book!$B$2:$B$379,bkc_bu)/SUMIFS(_book!$F$2:$F$379,_book!$C$2:$C$379,$A22,_book!$A$2:$A$379,bkc_lob,_book!$B$2:$B$379,bkc_bu))</f>
        <v>1</v>
      </c>
      <c r="AE22" s="34">
        <f>IF(SUMIFS(_book!$F$2:$F$379,_book!$C$2:$C$379,$A22,_book!$A$2:$A$379,bkc_lob,_book!$B$2:$B$379,bkc_bu)=0,"—",SUMIFS(_book!$AS$2:$AS$379,_book!$C$2:$C$379,$A22,_book!$A$2:$A$379,bkc_lob,_book!$B$2:$B$379,bkc_bu)/SUMIFS(_book!$F$2:$F$379,_book!$C$2:$C$379,$A22,_book!$A$2:$A$379,bkc_lob,_book!$B$2:$B$379,bkc_bu))</f>
        <v>1.0206427660228445</v>
      </c>
      <c r="AF22" s="36">
        <f>IF(COUNTIFS(_book!$D$2:$D$379,"?*",_book!$C$2:$C$379,$A22,_book!$A$2:$A$379,bkc_lob,_book!$B$2:$B$379,bkc_bu)=0,"",IF(COUNTIFS(_book!$D$2:$D$379,"?*",_book!$C$2:$C$379,$A22,_book!$A$2:$A$379,bkc_lob,_book!$B$2:$B$379,bkc_bu)=1,$W22*(1+$AC22)*$AD22*$AE22*$Z22,IF(SUMIFS(_book!$F$2:$F$379,_book!$C$2:$C$379,$A22,_book!$A$2:$A$379,bkc_lob,_book!$B$2:$B$379,bkc_bu)=0,"—",SUMIFS(_book!$AP$2:$AP$379,_book!$C$2:$C$379,$A22,_book!$A$2:$A$379,bkc_lob,_book!$B$2:$B$379,bkc_bu)/SUMIFS(_book!$F$2:$F$379,_book!$C$2:$C$379,$A22,_book!$A$2:$A$379,bkc_lob,_book!$B$2:$B$379,bkc_bu))))</f>
        <v>0.65135112324380595</v>
      </c>
      <c r="AG22" s="31" t="str">
        <f>IF(COUNTIFS(_book!$D$2:$D$379,"?*",_book!$C$2:$C$379,$A22,_book!$A$2:$A$379,bkc_lob,_book!$B$2:$B$379,bkc_bu)=0,"",IF(SUMIFS(_book!$V$2:$V$379,_book!$C$2:$C$379,$A22,_book!$A$2:$A$379,bkc_lob,_book!$B$2:$B$379,bkc_bu)=0,"—",SUMIFS(_book!$W$2:$W$379,_book!$C$2:$C$379,$A22,_book!$A$2:$A$379,bkc_lob,_book!$B$2:$B$379,bkc_bu)/SUMIFS(_book!$V$2:$V$379,_book!$C$2:$C$379,$A22,_book!$A$2:$A$379,bkc_lob,_book!$B$2:$B$379,bkc_bu)))</f>
        <v>—</v>
      </c>
      <c r="AH22" s="35" t="str">
        <f>IF(SUMIFS(_book!$V$2:$V$379,_book!$C$2:$C$379,$A22,_book!$A$2:$A$379,bkc_lob,_book!$B$2:$B$379,bkc_bu)=0,"—",IF(SUMIFS(_book!$F$2:$F$379,_book!$C$2:$C$379,$A22,_book!$A$2:$A$379,bkc_lob,_book!$B$2:$B$379,bkc_bu)=0,"—",SUMIFS(_book!$AT$2:$AT$379,_book!$C$2:$C$379,$A22,_book!$A$2:$A$379,bkc_lob,_book!$B$2:$B$379,bkc_bu)/SUMIFS(_book!$F$2:$F$379,_book!$C$2:$C$379,$A22,_book!$A$2:$A$379,bkc_lob,_book!$B$2:$B$379,bkc_bu)))</f>
        <v>—</v>
      </c>
      <c r="AI22" s="38" t="str">
        <f>IF(SUMIFS(_book!$V$2:$V$379,_book!$C$2:$C$379,$A22,_book!$A$2:$A$379,bkc_lob,_book!$B$2:$B$379,bkc_bu)=0,"—",($AH22-$AA22)*100)</f>
        <v>—</v>
      </c>
    </row>
    <row r="23" spans="1:35" x14ac:dyDescent="0.3">
      <c r="A23" s="39" t="s">
        <v>89</v>
      </c>
      <c r="B23" s="40">
        <f>SUMIFS(_book!$F$2:$F$379,_book!$C$2:$C$379,$A23,_book!$A$2:$A$379,bkc_lob,_book!$B$2:$B$379,bkc_bu)</f>
        <v>867000</v>
      </c>
      <c r="C23" s="41">
        <f>IF(SUMIFS(_book!$F$2:$F$379,_book!$C$2:$C$379,$A23,_book!$A$2:$A$379,bkc_lob,_book!$B$2:$B$379,bkc_bu)=0,"—",SUMIFS(_book!$AV$2:$AV$379,_book!$C$2:$C$379,$A23,_book!$A$2:$A$379,bkc_lob,_book!$B$2:$B$379,bkc_bu)/SUMIFS(_book!$F$2:$F$379,_book!$C$2:$C$379,$A23,_book!$A$2:$A$379,bkc_lob,_book!$B$2:$B$379,bkc_bu))</f>
        <v>0.9285882352941176</v>
      </c>
      <c r="D23" s="41">
        <f>IF(SUMIFS(_book!$F$2:$F$379,_book!$C$2:$C$379,$A23,_book!$A$2:$A$379,bkc_lob,_book!$B$2:$B$379,bkc_bu)=0,"—",SUMIFS(_book!$AW$2:$AW$379,_book!$C$2:$C$379,$A23,_book!$A$2:$A$379,bkc_lob,_book!$B$2:$B$379,bkc_bu)/SUMIFS(_book!$F$2:$F$379,_book!$C$2:$C$379,$A23,_book!$A$2:$A$379,bkc_lob,_book!$B$2:$B$379,bkc_bu))</f>
        <v>0.91858823529411759</v>
      </c>
      <c r="E23" s="41">
        <f>IF(SUMIFS(_book!$F$2:$F$379,_book!$C$2:$C$379,$A23,_book!$A$2:$A$379,bkc_lob,_book!$B$2:$B$379,bkc_bu)=0,"—",SUMIFS(_book!$AX$2:$AX$379,_book!$C$2:$C$379,$A23,_book!$A$2:$A$379,bkc_lob,_book!$B$2:$B$379,bkc_bu)/SUMIFS(_book!$F$2:$F$379,_book!$C$2:$C$379,$A23,_book!$A$2:$A$379,bkc_lob,_book!$B$2:$B$379,bkc_bu))</f>
        <v>0.9235882352941176</v>
      </c>
      <c r="F23" s="42" t="str">
        <f>IF(COUNTIFS(_book!$D$2:$D$379,"?*",_book!$C$2:$C$379,$A23,_book!$A$2:$A$379,bkc_lob,_book!$B$2:$B$379,bkc_bu)&lt;&gt;1,"—",INDEX(_book!$DG$2:$DG$379,MATCH(bkf_lob&amp;"|"&amp;bkf_bu&amp;"|"&amp;$A23,_book!$E$2:$E$379,0)))</f>
        <v>—</v>
      </c>
      <c r="G23" s="43" t="str">
        <f>IF(COUNTIFS(_book!$D$2:$D$379,"?*",_book!$C$2:$C$379,$A23,_book!$A$2:$A$379,bkc_lob,_book!$B$2:$B$379,bkc_bu)&lt;&gt;1,"—",INDEX(_book!$DH$2:$DH$379,MATCH(bkf_lob&amp;"|"&amp;bkf_bu&amp;"|"&amp;$A23,_book!$E$2:$E$379,0)))</f>
        <v>—</v>
      </c>
      <c r="H23" s="44" t="str">
        <f>IF(COUNTIFS(_book!$D$2:$D$379,"?*",_book!$C$2:$C$379,$A23,_book!$A$2:$A$379,bkc_lob,_book!$B$2:$B$379,bkc_bu)&lt;&gt;1,"—",INDEX(_book!$DI$2:$DI$379,MATCH(bkf_lob&amp;"|"&amp;bkf_bu&amp;"|"&amp;$A23,_book!$E$2:$E$379,0)))</f>
        <v>—</v>
      </c>
      <c r="I23" s="42" t="str">
        <f>IF(COUNTIFS(_book!$D$2:$D$379,"?*",_book!$C$2:$C$379,$A23,_book!$A$2:$A$379,bkc_lob,_book!$B$2:$B$379,bkc_bu)&lt;&gt;1,"—",INDEX(_book!$DJ$2:$DJ$379,MATCH(bkf_lob&amp;"|"&amp;bkf_bu&amp;"|"&amp;$A23,_book!$E$2:$E$379,0)))</f>
        <v>—</v>
      </c>
      <c r="J23" s="43" t="str">
        <f>IF(COUNTIFS(_book!$D$2:$D$379,"?*",_book!$C$2:$C$379,$A23,_book!$A$2:$A$379,bkc_lob,_book!$B$2:$B$379,bkc_bu)&lt;&gt;1,"—",INDEX(_book!$DK$2:$DK$379,MATCH(bkf_lob&amp;"|"&amp;bkf_bu&amp;"|"&amp;$A23,_book!$E$2:$E$379,0)))</f>
        <v>—</v>
      </c>
      <c r="K23" s="44" t="str">
        <f>IF(COUNTIFS(_book!$D$2:$D$379,"?*",_book!$C$2:$C$379,$A23,_book!$A$2:$A$379,bkc_lob,_book!$B$2:$B$379,bkc_bu)&lt;&gt;1,"—",INDEX(_book!$DL$2:$DL$379,MATCH(bkf_lob&amp;"|"&amp;bkf_bu&amp;"|"&amp;$A23,_book!$E$2:$E$379,0)))</f>
        <v>—</v>
      </c>
      <c r="L23" s="42" t="str">
        <f>IF(COUNTIFS(_book!$D$2:$D$379,"?*",_book!$C$2:$C$379,$A23,_book!$A$2:$A$379,bkc_lob,_book!$B$2:$B$379,bkc_bu)&lt;&gt;1,"—",INDEX(_book!$DM$2:$DM$379,MATCH(bkf_lob&amp;"|"&amp;bkf_bu&amp;"|"&amp;$A23,_book!$E$2:$E$379,0)))</f>
        <v>—</v>
      </c>
      <c r="M23" s="43" t="str">
        <f>IF(COUNTIFS(_book!$D$2:$D$379,"?*",_book!$C$2:$C$379,$A23,_book!$A$2:$A$379,bkc_lob,_book!$B$2:$B$379,bkc_bu)&lt;&gt;1,"—",INDEX(_book!$DN$2:$DN$379,MATCH(bkf_lob&amp;"|"&amp;bkf_bu&amp;"|"&amp;$A23,_book!$E$2:$E$379,0)))</f>
        <v>—</v>
      </c>
      <c r="N23" s="44" t="str">
        <f>IF(COUNTIFS(_book!$D$2:$D$379,"?*",_book!$C$2:$C$379,$A23,_book!$A$2:$A$379,bkc_lob,_book!$B$2:$B$379,bkc_bu)&lt;&gt;1,"—",INDEX(_book!$DO$2:$DO$379,MATCH(bkf_lob&amp;"|"&amp;bkf_bu&amp;"|"&amp;$A23,_book!$E$2:$E$379,0)))</f>
        <v>—</v>
      </c>
      <c r="O23" s="42" t="str">
        <f>IF(COUNTIFS(_book!$D$2:$D$379,"?*",_book!$C$2:$C$379,$A23,_book!$A$2:$A$379,bkc_lob,_book!$B$2:$B$379,bkc_bu)&lt;&gt;1,"—",INDEX(_book!$DP$2:$DP$379,MATCH(bkf_lob&amp;"|"&amp;bkf_bu&amp;"|"&amp;$A23,_book!$E$2:$E$379,0)))</f>
        <v>—</v>
      </c>
      <c r="P23" s="43" t="str">
        <f>IF(COUNTIFS(_book!$D$2:$D$379,"?*",_book!$C$2:$C$379,$A23,_book!$A$2:$A$379,bkc_lob,_book!$B$2:$B$379,bkc_bu)&lt;&gt;1,"—",INDEX(_book!$DQ$2:$DQ$379,MATCH(bkf_lob&amp;"|"&amp;bkf_bu&amp;"|"&amp;$A23,_book!$E$2:$E$379,0)))</f>
        <v>—</v>
      </c>
      <c r="Q23" s="44" t="str">
        <f>IF(COUNTIFS(_book!$D$2:$D$379,"?*",_book!$C$2:$C$379,$A23,_book!$A$2:$A$379,bkc_lob,_book!$B$2:$B$379,bkc_bu)&lt;&gt;1,"—",INDEX(_book!$DR$2:$DR$379,MATCH(bkf_lob&amp;"|"&amp;bkf_bu&amp;"|"&amp;$A23,_book!$E$2:$E$379,0)))</f>
        <v>—</v>
      </c>
      <c r="R23" s="45">
        <f>SUMIFS(_book!$AC$2:$AC$379,_book!$C$2:$C$379,$A23,_book!$A$2:$A$379,bkc_lob,_book!$B$2:$B$379,bkc_bu)</f>
        <v>18</v>
      </c>
      <c r="S23" s="45">
        <f>SUMIFS(_book!$AD$2:$AD$379,_book!$C$2:$C$379,$A23,_book!$A$2:$A$379,bkc_lob,_book!$B$2:$B$379,bkc_bu)</f>
        <v>6</v>
      </c>
      <c r="T23" s="46">
        <f>IF(SUMIFS(_book!$F$2:$F$379,_book!$C$2:$C$379,$A23,_book!$A$2:$A$379,bkc_lob,_book!$B$2:$B$379,bkc_bu)=0,"—",SUMIFS(_book!$AH$2:$AH$379,_book!$C$2:$C$379,$A23,_book!$A$2:$A$379,bkc_lob,_book!$B$2:$B$379,bkc_bu)/SUMIFS(_book!$F$2:$F$379,_book!$C$2:$C$379,$A23,_book!$A$2:$A$379,bkc_lob,_book!$B$2:$B$379,bkc_bu))</f>
        <v>1.030392156862745</v>
      </c>
      <c r="U23" s="46">
        <f>IF(SUMIFS(_book!$F$2:$F$379,_book!$C$2:$C$379,$A23,_book!$A$2:$A$379,bkc_lob,_book!$B$2:$B$379,bkc_bu)=0,"—",SUMIFS(_book!$AI$2:$AI$379,_book!$C$2:$C$379,$A23,_book!$A$2:$A$379,bkc_lob,_book!$B$2:$B$379,bkc_bu)/SUMIFS(_book!$F$2:$F$379,_book!$C$2:$C$379,$A23,_book!$A$2:$A$379,bkc_lob,_book!$B$2:$B$379,bkc_bu))</f>
        <v>1.0277145328719723</v>
      </c>
      <c r="V23" s="41">
        <f>IF(SUMIFS(_book!$F$2:$F$379,_book!$C$2:$C$379,$A23,_book!$A$2:$A$379,bkc_lob,_book!$B$2:$B$379,bkc_bu)=0,"—",SUMIFS(_book!$AJ$2:$AJ$379,_book!$C$2:$C$379,$A23,_book!$A$2:$A$379,bkc_lob,_book!$B$2:$B$379,bkc_bu)/SUMIFS(_book!$F$2:$F$379,_book!$C$2:$C$379,$A23,_book!$A$2:$A$379,bkc_lob,_book!$B$2:$B$379,bkc_bu))</f>
        <v>0.91963311987814822</v>
      </c>
      <c r="W23" s="47">
        <f>IF(SUMIFS(_book!$F$2:$F$379,_book!$C$2:$C$379,$A23,_book!$A$2:$A$379,bkc_lob,_book!$B$2:$B$379,bkc_bu)=0,"—",SUMIFS(_book!$AN$2:$AN$379,_book!$C$2:$C$379,$A23,_book!$A$2:$A$379,bkc_lob,_book!$B$2:$B$379,bkc_bu)/SUMIFS(_book!$F$2:$F$379,_book!$C$2:$C$379,$A23,_book!$A$2:$A$379,bkc_lob,_book!$B$2:$B$379,bkc_bu))</f>
        <v>0.63680392156862742</v>
      </c>
      <c r="X23" s="46">
        <f>IF(SUMIFS(_book!$F$2:$F$379,_book!$C$2:$C$379,$A23,_book!$A$2:$A$379,bkc_lob,_book!$B$2:$B$379,bkc_bu)=0,"—",SUMIFS(_book!$AK$2:$AK$379,_book!$C$2:$C$379,$A23,_book!$A$2:$A$379,bkc_lob,_book!$B$2:$B$379,bkc_bu)/SUMIFS(_book!$F$2:$F$379,_book!$C$2:$C$379,$A23,_book!$A$2:$A$379,bkc_lob,_book!$B$2:$B$379,bkc_bu))</f>
        <v>1.002596893964748</v>
      </c>
      <c r="Y23" s="46">
        <f>IF(SUMIFS(_book!$F$2:$F$379,_book!$C$2:$C$379,$A23,_book!$A$2:$A$379,bkc_lob,_book!$B$2:$B$379,bkc_bu)=0,"—",SUMIFS(_book!$AL$2:$AL$379,_book!$C$2:$C$379,$A23,_book!$A$2:$A$379,bkc_lob,_book!$B$2:$B$379,bkc_bu)/SUMIFS(_book!$F$2:$F$379,_book!$C$2:$C$379,$A23,_book!$A$2:$A$379,bkc_lob,_book!$B$2:$B$379,bkc_bu))</f>
        <v>1.0097775494285695</v>
      </c>
      <c r="Z23" s="46">
        <f>IF(SUMIFS(_book!$F$2:$F$379,_book!$C$2:$C$379,$A23,_book!$A$2:$A$379,bkc_lob,_book!$B$2:$B$379,bkc_bu)=0,"—",SUMIFS(_book!$AM$2:$AM$379,_book!$C$2:$C$379,$A23,_book!$A$2:$A$379,bkc_lob,_book!$B$2:$B$379,bkc_bu)/SUMIFS(_book!$F$2:$F$379,_book!$C$2:$C$379,$A23,_book!$A$2:$A$379,bkc_lob,_book!$B$2:$B$379,bkc_bu))</f>
        <v>1</v>
      </c>
      <c r="AA23" s="48">
        <f>IF(COUNTIFS(_book!$D$2:$D$379,"?*",_book!$C$2:$C$379,$A23,_book!$A$2:$A$379,bkc_lob,_book!$B$2:$B$379,bkc_bu)=0,"",IF(COUNTIFS(_book!$D$2:$D$379,"?*",_book!$C$2:$C$379,$A23,_book!$A$2:$A$379,bkc_lob,_book!$B$2:$B$379,bkc_bu)=1,$W23*$X23*$Y23*$Z23,IF(SUMIFS(_book!$F$2:$F$379,_book!$C$2:$C$379,$A23,_book!$A$2:$A$379,bkc_lob,_book!$B$2:$B$379,bkc_bu)=0,"—",SUMIFS(_book!$AO$2:$AO$379,_book!$C$2:$C$379,$A23,_book!$A$2:$A$379,bkc_lob,_book!$B$2:$B$379,bkc_bu)/SUMIFS(_book!$F$2:$F$379,_book!$C$2:$C$379,$A23,_book!$A$2:$A$379,bkc_lob,_book!$B$2:$B$379,bkc_bu))))</f>
        <v>0.64468071896320045</v>
      </c>
      <c r="AB23" s="49">
        <f>IF(COUNTIFS(_book!$D$2:$D$379,"?*",_book!$C$2:$C$379,$A23,_book!$A$2:$A$379,bkc_lob,_book!$B$2:$B$379,bkc_bu)&lt;=1,"",($AA23-$W23*$X23*$Y23*$Z23)*100)</f>
        <v>-1.9465938889684509E-3</v>
      </c>
      <c r="AC23" s="43">
        <f>IF(SUMIFS(_book!$F$2:$F$379,_book!$C$2:$C$379,$A23,_book!$A$2:$A$379,bkc_lob,_book!$B$2:$B$379,bkc_bu)=0,"—",SUMIFS(_book!$AQ$2:$AQ$379,_book!$C$2:$C$379,$A23,_book!$A$2:$A$379,bkc_lob,_book!$B$2:$B$379,bkc_bu)/SUMIFS(_book!$F$2:$F$379,_book!$C$2:$C$379,$A23,_book!$A$2:$A$379,bkc_lob,_book!$B$2:$B$379,bkc_bu))</f>
        <v>0</v>
      </c>
      <c r="AD23" s="46">
        <f>IF(SUMIFS(_book!$F$2:$F$379,_book!$C$2:$C$379,$A23,_book!$A$2:$A$379,bkc_lob,_book!$B$2:$B$379,bkc_bu)=0,"—",SUMIFS(_book!$AR$2:$AR$379,_book!$C$2:$C$379,$A23,_book!$A$2:$A$379,bkc_lob,_book!$B$2:$B$379,bkc_bu)/SUMIFS(_book!$F$2:$F$379,_book!$C$2:$C$379,$A23,_book!$A$2:$A$379,bkc_lob,_book!$B$2:$B$379,bkc_bu))</f>
        <v>0.98855978752620099</v>
      </c>
      <c r="AE23" s="46">
        <f>IF(SUMIFS(_book!$F$2:$F$379,_book!$C$2:$C$379,$A23,_book!$A$2:$A$379,bkc_lob,_book!$B$2:$B$379,bkc_bu)=0,"—",SUMIFS(_book!$AS$2:$AS$379,_book!$C$2:$C$379,$A23,_book!$A$2:$A$379,bkc_lob,_book!$B$2:$B$379,bkc_bu)/SUMIFS(_book!$F$2:$F$379,_book!$C$2:$C$379,$A23,_book!$A$2:$A$379,bkc_lob,_book!$B$2:$B$379,bkc_bu))</f>
        <v>1.006144666980987</v>
      </c>
      <c r="AF23" s="48">
        <f>IF(COUNTIFS(_book!$D$2:$D$379,"?*",_book!$C$2:$C$379,$A23,_book!$A$2:$A$379,bkc_lob,_book!$B$2:$B$379,bkc_bu)=0,"",IF(COUNTIFS(_book!$D$2:$D$379,"?*",_book!$C$2:$C$379,$A23,_book!$A$2:$A$379,bkc_lob,_book!$B$2:$B$379,bkc_bu)=1,$W23*(1+$AC23)*$AD23*$AE23*$Z23,IF(SUMIFS(_book!$F$2:$F$379,_book!$C$2:$C$379,$A23,_book!$A$2:$A$379,bkc_lob,_book!$B$2:$B$379,bkc_bu)=0,"—",SUMIFS(_book!$AP$2:$AP$379,_book!$C$2:$C$379,$A23,_book!$A$2:$A$379,bkc_lob,_book!$B$2:$B$379,bkc_bu)/SUMIFS(_book!$F$2:$F$379,_book!$C$2:$C$379,$A23,_book!$A$2:$A$379,bkc_lob,_book!$B$2:$B$379,bkc_bu))))</f>
        <v>0.63354370796933601</v>
      </c>
      <c r="AG23" s="43" t="str">
        <f>IF(COUNTIFS(_book!$D$2:$D$379,"?*",_book!$C$2:$C$379,$A23,_book!$A$2:$A$379,bkc_lob,_book!$B$2:$B$379,bkc_bu)=0,"",IF(SUMIFS(_book!$V$2:$V$379,_book!$C$2:$C$379,$A23,_book!$A$2:$A$379,bkc_lob,_book!$B$2:$B$379,bkc_bu)=0,"—",SUMIFS(_book!$W$2:$W$379,_book!$C$2:$C$379,$A23,_book!$A$2:$A$379,bkc_lob,_book!$B$2:$B$379,bkc_bu)/SUMIFS(_book!$V$2:$V$379,_book!$C$2:$C$379,$A23,_book!$A$2:$A$379,bkc_lob,_book!$B$2:$B$379,bkc_bu)))</f>
        <v>—</v>
      </c>
      <c r="AH23" s="47" t="str">
        <f>IF(SUMIFS(_book!$V$2:$V$379,_book!$C$2:$C$379,$A23,_book!$A$2:$A$379,bkc_lob,_book!$B$2:$B$379,bkc_bu)=0,"—",IF(SUMIFS(_book!$F$2:$F$379,_book!$C$2:$C$379,$A23,_book!$A$2:$A$379,bkc_lob,_book!$B$2:$B$379,bkc_bu)=0,"—",SUMIFS(_book!$AT$2:$AT$379,_book!$C$2:$C$379,$A23,_book!$A$2:$A$379,bkc_lob,_book!$B$2:$B$379,bkc_bu)/SUMIFS(_book!$F$2:$F$379,_book!$C$2:$C$379,$A23,_book!$A$2:$A$379,bkc_lob,_book!$B$2:$B$379,bkc_bu)))</f>
        <v>—</v>
      </c>
      <c r="AI23" s="50" t="str">
        <f>IF(SUMIFS(_book!$V$2:$V$379,_book!$C$2:$C$379,$A23,_book!$A$2:$A$379,bkc_lob,_book!$B$2:$B$379,bkc_bu)=0,"—",($AH23-$AA23)*100)</f>
        <v>—</v>
      </c>
    </row>
    <row r="24" spans="1:35" x14ac:dyDescent="0.3">
      <c r="A24" s="27" t="s">
        <v>91</v>
      </c>
      <c r="B24" s="28">
        <f>SUMIFS(_book!$F$2:$F$379,_book!$C$2:$C$379,$A24,_book!$A$2:$A$379,bkc_lob,_book!$B$2:$B$379,bkc_bu)</f>
        <v>663000</v>
      </c>
      <c r="C24" s="29">
        <f>IF(SUMIFS(_book!$F$2:$F$379,_book!$C$2:$C$379,$A24,_book!$A$2:$A$379,bkc_lob,_book!$B$2:$B$379,bkc_bu)=0,"—",SUMIFS(_book!$AV$2:$AV$379,_book!$C$2:$C$379,$A24,_book!$A$2:$A$379,bkc_lob,_book!$B$2:$B$379,bkc_bu)/SUMIFS(_book!$F$2:$F$379,_book!$C$2:$C$379,$A24,_book!$A$2:$A$379,bkc_lob,_book!$B$2:$B$379,bkc_bu))</f>
        <v>0.9285882352941176</v>
      </c>
      <c r="D24" s="29">
        <f>IF(SUMIFS(_book!$F$2:$F$379,_book!$C$2:$C$379,$A24,_book!$A$2:$A$379,bkc_lob,_book!$B$2:$B$379,bkc_bu)=0,"—",SUMIFS(_book!$AW$2:$AW$379,_book!$C$2:$C$379,$A24,_book!$A$2:$A$379,bkc_lob,_book!$B$2:$B$379,bkc_bu)/SUMIFS(_book!$F$2:$F$379,_book!$C$2:$C$379,$A24,_book!$A$2:$A$379,bkc_lob,_book!$B$2:$B$379,bkc_bu))</f>
        <v>0.91858823529411759</v>
      </c>
      <c r="E24" s="29">
        <f>IF(SUMIFS(_book!$F$2:$F$379,_book!$C$2:$C$379,$A24,_book!$A$2:$A$379,bkc_lob,_book!$B$2:$B$379,bkc_bu)=0,"—",SUMIFS(_book!$AX$2:$AX$379,_book!$C$2:$C$379,$A24,_book!$A$2:$A$379,bkc_lob,_book!$B$2:$B$379,bkc_bu)/SUMIFS(_book!$F$2:$F$379,_book!$C$2:$C$379,$A24,_book!$A$2:$A$379,bkc_lob,_book!$B$2:$B$379,bkc_bu))</f>
        <v>0.93858823529411761</v>
      </c>
      <c r="F24" s="30" t="str">
        <f>IF(COUNTIFS(_book!$D$2:$D$379,"?*",_book!$C$2:$C$379,$A24,_book!$A$2:$A$379,bkc_lob,_book!$B$2:$B$379,bkc_bu)&lt;&gt;1,"—",INDEX(_book!$DG$2:$DG$379,MATCH(bkf_lob&amp;"|"&amp;bkf_bu&amp;"|"&amp;$A24,_book!$E$2:$E$379,0)))</f>
        <v>—</v>
      </c>
      <c r="G24" s="31" t="str">
        <f>IF(COUNTIFS(_book!$D$2:$D$379,"?*",_book!$C$2:$C$379,$A24,_book!$A$2:$A$379,bkc_lob,_book!$B$2:$B$379,bkc_bu)&lt;&gt;1,"—",INDEX(_book!$DH$2:$DH$379,MATCH(bkf_lob&amp;"|"&amp;bkf_bu&amp;"|"&amp;$A24,_book!$E$2:$E$379,0)))</f>
        <v>—</v>
      </c>
      <c r="H24" s="32" t="str">
        <f>IF(COUNTIFS(_book!$D$2:$D$379,"?*",_book!$C$2:$C$379,$A24,_book!$A$2:$A$379,bkc_lob,_book!$B$2:$B$379,bkc_bu)&lt;&gt;1,"—",INDEX(_book!$DI$2:$DI$379,MATCH(bkf_lob&amp;"|"&amp;bkf_bu&amp;"|"&amp;$A24,_book!$E$2:$E$379,0)))</f>
        <v>—</v>
      </c>
      <c r="I24" s="30" t="str">
        <f>IF(COUNTIFS(_book!$D$2:$D$379,"?*",_book!$C$2:$C$379,$A24,_book!$A$2:$A$379,bkc_lob,_book!$B$2:$B$379,bkc_bu)&lt;&gt;1,"—",INDEX(_book!$DJ$2:$DJ$379,MATCH(bkf_lob&amp;"|"&amp;bkf_bu&amp;"|"&amp;$A24,_book!$E$2:$E$379,0)))</f>
        <v>—</v>
      </c>
      <c r="J24" s="31" t="str">
        <f>IF(COUNTIFS(_book!$D$2:$D$379,"?*",_book!$C$2:$C$379,$A24,_book!$A$2:$A$379,bkc_lob,_book!$B$2:$B$379,bkc_bu)&lt;&gt;1,"—",INDEX(_book!$DK$2:$DK$379,MATCH(bkf_lob&amp;"|"&amp;bkf_bu&amp;"|"&amp;$A24,_book!$E$2:$E$379,0)))</f>
        <v>—</v>
      </c>
      <c r="K24" s="32" t="str">
        <f>IF(COUNTIFS(_book!$D$2:$D$379,"?*",_book!$C$2:$C$379,$A24,_book!$A$2:$A$379,bkc_lob,_book!$B$2:$B$379,bkc_bu)&lt;&gt;1,"—",INDEX(_book!$DL$2:$DL$379,MATCH(bkf_lob&amp;"|"&amp;bkf_bu&amp;"|"&amp;$A24,_book!$E$2:$E$379,0)))</f>
        <v>—</v>
      </c>
      <c r="L24" s="30" t="str">
        <f>IF(COUNTIFS(_book!$D$2:$D$379,"?*",_book!$C$2:$C$379,$A24,_book!$A$2:$A$379,bkc_lob,_book!$B$2:$B$379,bkc_bu)&lt;&gt;1,"—",INDEX(_book!$DM$2:$DM$379,MATCH(bkf_lob&amp;"|"&amp;bkf_bu&amp;"|"&amp;$A24,_book!$E$2:$E$379,0)))</f>
        <v>—</v>
      </c>
      <c r="M24" s="31" t="str">
        <f>IF(COUNTIFS(_book!$D$2:$D$379,"?*",_book!$C$2:$C$379,$A24,_book!$A$2:$A$379,bkc_lob,_book!$B$2:$B$379,bkc_bu)&lt;&gt;1,"—",INDEX(_book!$DN$2:$DN$379,MATCH(bkf_lob&amp;"|"&amp;bkf_bu&amp;"|"&amp;$A24,_book!$E$2:$E$379,0)))</f>
        <v>—</v>
      </c>
      <c r="N24" s="32" t="str">
        <f>IF(COUNTIFS(_book!$D$2:$D$379,"?*",_book!$C$2:$C$379,$A24,_book!$A$2:$A$379,bkc_lob,_book!$B$2:$B$379,bkc_bu)&lt;&gt;1,"—",INDEX(_book!$DO$2:$DO$379,MATCH(bkf_lob&amp;"|"&amp;bkf_bu&amp;"|"&amp;$A24,_book!$E$2:$E$379,0)))</f>
        <v>—</v>
      </c>
      <c r="O24" s="30" t="str">
        <f>IF(COUNTIFS(_book!$D$2:$D$379,"?*",_book!$C$2:$C$379,$A24,_book!$A$2:$A$379,bkc_lob,_book!$B$2:$B$379,bkc_bu)&lt;&gt;1,"—",INDEX(_book!$DP$2:$DP$379,MATCH(bkf_lob&amp;"|"&amp;bkf_bu&amp;"|"&amp;$A24,_book!$E$2:$E$379,0)))</f>
        <v>—</v>
      </c>
      <c r="P24" s="31" t="str">
        <f>IF(COUNTIFS(_book!$D$2:$D$379,"?*",_book!$C$2:$C$379,$A24,_book!$A$2:$A$379,bkc_lob,_book!$B$2:$B$379,bkc_bu)&lt;&gt;1,"—",INDEX(_book!$DQ$2:$DQ$379,MATCH(bkf_lob&amp;"|"&amp;bkf_bu&amp;"|"&amp;$A24,_book!$E$2:$E$379,0)))</f>
        <v>—</v>
      </c>
      <c r="Q24" s="32" t="str">
        <f>IF(COUNTIFS(_book!$D$2:$D$379,"?*",_book!$C$2:$C$379,$A24,_book!$A$2:$A$379,bkc_lob,_book!$B$2:$B$379,bkc_bu)&lt;&gt;1,"—",INDEX(_book!$DR$2:$DR$379,MATCH(bkf_lob&amp;"|"&amp;bkf_bu&amp;"|"&amp;$A24,_book!$E$2:$E$379,0)))</f>
        <v>—</v>
      </c>
      <c r="R24" s="33">
        <f>SUMIFS(_book!$AC$2:$AC$379,_book!$C$2:$C$379,$A24,_book!$A$2:$A$379,bkc_lob,_book!$B$2:$B$379,bkc_bu)</f>
        <v>18</v>
      </c>
      <c r="S24" s="33">
        <f>SUMIFS(_book!$AD$2:$AD$379,_book!$C$2:$C$379,$A24,_book!$A$2:$A$379,bkc_lob,_book!$B$2:$B$379,bkc_bu)</f>
        <v>6</v>
      </c>
      <c r="T24" s="34">
        <f>IF(SUMIFS(_book!$F$2:$F$379,_book!$C$2:$C$379,$A24,_book!$A$2:$A$379,bkc_lob,_book!$B$2:$B$379,bkc_bu)=0,"—",SUMIFS(_book!$AH$2:$AH$379,_book!$C$2:$C$379,$A24,_book!$A$2:$A$379,bkc_lob,_book!$B$2:$B$379,bkc_bu)/SUMIFS(_book!$F$2:$F$379,_book!$C$2:$C$379,$A24,_book!$A$2:$A$379,bkc_lob,_book!$B$2:$B$379,bkc_bu))</f>
        <v>1.0405128205128205</v>
      </c>
      <c r="U24" s="34">
        <f>IF(SUMIFS(_book!$F$2:$F$379,_book!$C$2:$C$379,$A24,_book!$A$2:$A$379,bkc_lob,_book!$B$2:$B$379,bkc_bu)=0,"—",SUMIFS(_book!$AI$2:$AI$379,_book!$C$2:$C$379,$A24,_book!$A$2:$A$379,bkc_lob,_book!$B$2:$B$379,bkc_bu)/SUMIFS(_book!$F$2:$F$379,_book!$C$2:$C$379,$A24,_book!$A$2:$A$379,bkc_lob,_book!$B$2:$B$379,bkc_bu))</f>
        <v>1.0352076001340706</v>
      </c>
      <c r="V24" s="29">
        <f>IF(SUMIFS(_book!$F$2:$F$379,_book!$C$2:$C$379,$A24,_book!$A$2:$A$379,bkc_lob,_book!$B$2:$B$379,bkc_bu)=0,"—",SUMIFS(_book!$AJ$2:$AJ$379,_book!$C$2:$C$379,$A24,_book!$A$2:$A$379,bkc_lob,_book!$B$2:$B$379,bkc_bu)/SUMIFS(_book!$F$2:$F$379,_book!$C$2:$C$379,$A24,_book!$A$2:$A$379,bkc_lob,_book!$B$2:$B$379,bkc_bu))</f>
        <v>0.92276777363023987</v>
      </c>
      <c r="W24" s="35">
        <f>IF(SUMIFS(_book!$F$2:$F$379,_book!$C$2:$C$379,$A24,_book!$A$2:$A$379,bkc_lob,_book!$B$2:$B$379,bkc_bu)=0,"—",SUMIFS(_book!$AN$2:$AN$379,_book!$C$2:$C$379,$A24,_book!$A$2:$A$379,bkc_lob,_book!$B$2:$B$379,bkc_bu)/SUMIFS(_book!$F$2:$F$379,_book!$C$2:$C$379,$A24,_book!$A$2:$A$379,bkc_lob,_book!$B$2:$B$379,bkc_bu))</f>
        <v>0.636526395173454</v>
      </c>
      <c r="X24" s="34">
        <f>IF(SUMIFS(_book!$F$2:$F$379,_book!$C$2:$C$379,$A24,_book!$A$2:$A$379,bkc_lob,_book!$B$2:$B$379,bkc_bu)=0,"—",SUMIFS(_book!$AK$2:$AK$379,_book!$C$2:$C$379,$A24,_book!$A$2:$A$379,bkc_lob,_book!$B$2:$B$379,bkc_bu)/SUMIFS(_book!$F$2:$F$379,_book!$C$2:$C$379,$A24,_book!$A$2:$A$379,bkc_lob,_book!$B$2:$B$379,bkc_bu))</f>
        <v>1.0051511076325563</v>
      </c>
      <c r="Y24" s="34">
        <f>IF(SUMIFS(_book!$F$2:$F$379,_book!$C$2:$C$379,$A24,_book!$A$2:$A$379,bkc_lob,_book!$B$2:$B$379,bkc_bu)=0,"—",SUMIFS(_book!$AL$2:$AL$379,_book!$C$2:$C$379,$A24,_book!$A$2:$A$379,bkc_lob,_book!$B$2:$B$379,bkc_bu)/SUMIFS(_book!$F$2:$F$379,_book!$C$2:$C$379,$A24,_book!$A$2:$A$379,bkc_lob,_book!$B$2:$B$379,bkc_bu))</f>
        <v>1.0063331554742276</v>
      </c>
      <c r="Z24" s="34">
        <f>IF(SUMIFS(_book!$F$2:$F$379,_book!$C$2:$C$379,$A24,_book!$A$2:$A$379,bkc_lob,_book!$B$2:$B$379,bkc_bu)=0,"—",SUMIFS(_book!$AM$2:$AM$379,_book!$C$2:$C$379,$A24,_book!$A$2:$A$379,bkc_lob,_book!$B$2:$B$379,bkc_bu)/SUMIFS(_book!$F$2:$F$379,_book!$C$2:$C$379,$A24,_book!$A$2:$A$379,bkc_lob,_book!$B$2:$B$379,bkc_bu))</f>
        <v>1</v>
      </c>
      <c r="AA24" s="36">
        <f>IF(COUNTIFS(_book!$D$2:$D$379,"?*",_book!$C$2:$C$379,$A24,_book!$A$2:$A$379,bkc_lob,_book!$B$2:$B$379,bkc_bu)=0,"",IF(COUNTIFS(_book!$D$2:$D$379,"?*",_book!$C$2:$C$379,$A24,_book!$A$2:$A$379,bkc_lob,_book!$B$2:$B$379,bkc_bu)=1,$W24*$X24*$Y24*$Z24,IF(SUMIFS(_book!$F$2:$F$379,_book!$C$2:$C$379,$A24,_book!$A$2:$A$379,bkc_lob,_book!$B$2:$B$379,bkc_bu)=0,"—",SUMIFS(_book!$AO$2:$AO$379,_book!$C$2:$C$379,$A24,_book!$A$2:$A$379,bkc_lob,_book!$B$2:$B$379,bkc_bu)/SUMIFS(_book!$F$2:$F$379,_book!$C$2:$C$379,$A24,_book!$A$2:$A$379,bkc_lob,_book!$B$2:$B$379,bkc_bu))))</f>
        <v>0.64396431912385765</v>
      </c>
      <c r="AB24" s="37">
        <f>IF(COUNTIFS(_book!$D$2:$D$379,"?*",_book!$C$2:$C$379,$A24,_book!$A$2:$A$379,bkc_lob,_book!$B$2:$B$379,bkc_bu)&lt;=1,"",($AA24-$W24*$X24*$Y24*$Z24)*100)</f>
        <v>1.0712210249375076E-2</v>
      </c>
      <c r="AC24" s="31">
        <f>IF(SUMIFS(_book!$F$2:$F$379,_book!$C$2:$C$379,$A24,_book!$A$2:$A$379,bkc_lob,_book!$B$2:$B$379,bkc_bu)=0,"—",SUMIFS(_book!$AQ$2:$AQ$379,_book!$C$2:$C$379,$A24,_book!$A$2:$A$379,bkc_lob,_book!$B$2:$B$379,bkc_bu)/SUMIFS(_book!$F$2:$F$379,_book!$C$2:$C$379,$A24,_book!$A$2:$A$379,bkc_lob,_book!$B$2:$B$379,bkc_bu))</f>
        <v>0</v>
      </c>
      <c r="AD24" s="34">
        <f>IF(SUMIFS(_book!$F$2:$F$379,_book!$C$2:$C$379,$A24,_book!$A$2:$A$379,bkc_lob,_book!$B$2:$B$379,bkc_bu)=0,"—",SUMIFS(_book!$AR$2:$AR$379,_book!$C$2:$C$379,$A24,_book!$A$2:$A$379,bkc_lob,_book!$B$2:$B$379,bkc_bu)/SUMIFS(_book!$F$2:$F$379,_book!$C$2:$C$379,$A24,_book!$A$2:$A$379,bkc_lob,_book!$B$2:$B$379,bkc_bu))</f>
        <v>0.98919535488585641</v>
      </c>
      <c r="AE24" s="34">
        <f>IF(SUMIFS(_book!$F$2:$F$379,_book!$C$2:$C$379,$A24,_book!$A$2:$A$379,bkc_lob,_book!$B$2:$B$379,bkc_bu)=0,"—",SUMIFS(_book!$AS$2:$AS$379,_book!$C$2:$C$379,$A24,_book!$A$2:$A$379,bkc_lob,_book!$B$2:$B$379,bkc_bu)/SUMIFS(_book!$F$2:$F$379,_book!$C$2:$C$379,$A24,_book!$A$2:$A$379,bkc_lob,_book!$B$2:$B$379,bkc_bu))</f>
        <v>0.99205454955524841</v>
      </c>
      <c r="AF24" s="36">
        <f>IF(COUNTIFS(_book!$D$2:$D$379,"?*",_book!$C$2:$C$379,$A24,_book!$A$2:$A$379,bkc_lob,_book!$B$2:$B$379,bkc_bu)=0,"",IF(COUNTIFS(_book!$D$2:$D$379,"?*",_book!$C$2:$C$379,$A24,_book!$A$2:$A$379,bkc_lob,_book!$B$2:$B$379,bkc_bu)=1,$W24*(1+$AC24)*$AD24*$AE24*$Z24,IF(SUMIFS(_book!$F$2:$F$379,_book!$C$2:$C$379,$A24,_book!$A$2:$A$379,bkc_lob,_book!$B$2:$B$379,bkc_bu)=0,"—",SUMIFS(_book!$AP$2:$AP$379,_book!$C$2:$C$379,$A24,_book!$A$2:$A$379,bkc_lob,_book!$B$2:$B$379,bkc_bu)/SUMIFS(_book!$F$2:$F$379,_book!$C$2:$C$379,$A24,_book!$A$2:$A$379,bkc_lob,_book!$B$2:$B$379,bkc_bu))))</f>
        <v>0.62466582410327243</v>
      </c>
      <c r="AG24" s="31" t="str">
        <f>IF(COUNTIFS(_book!$D$2:$D$379,"?*",_book!$C$2:$C$379,$A24,_book!$A$2:$A$379,bkc_lob,_book!$B$2:$B$379,bkc_bu)=0,"",IF(SUMIFS(_book!$V$2:$V$379,_book!$C$2:$C$379,$A24,_book!$A$2:$A$379,bkc_lob,_book!$B$2:$B$379,bkc_bu)=0,"—",SUMIFS(_book!$W$2:$W$379,_book!$C$2:$C$379,$A24,_book!$A$2:$A$379,bkc_lob,_book!$B$2:$B$379,bkc_bu)/SUMIFS(_book!$V$2:$V$379,_book!$C$2:$C$379,$A24,_book!$A$2:$A$379,bkc_lob,_book!$B$2:$B$379,bkc_bu)))</f>
        <v>—</v>
      </c>
      <c r="AH24" s="35" t="str">
        <f>IF(SUMIFS(_book!$V$2:$V$379,_book!$C$2:$C$379,$A24,_book!$A$2:$A$379,bkc_lob,_book!$B$2:$B$379,bkc_bu)=0,"—",IF(SUMIFS(_book!$F$2:$F$379,_book!$C$2:$C$379,$A24,_book!$A$2:$A$379,bkc_lob,_book!$B$2:$B$379,bkc_bu)=0,"—",SUMIFS(_book!$AT$2:$AT$379,_book!$C$2:$C$379,$A24,_book!$A$2:$A$379,bkc_lob,_book!$B$2:$B$379,bkc_bu)/SUMIFS(_book!$F$2:$F$379,_book!$C$2:$C$379,$A24,_book!$A$2:$A$379,bkc_lob,_book!$B$2:$B$379,bkc_bu)))</f>
        <v>—</v>
      </c>
      <c r="AI24" s="38" t="str">
        <f>IF(SUMIFS(_book!$V$2:$V$379,_book!$C$2:$C$379,$A24,_book!$A$2:$A$379,bkc_lob,_book!$B$2:$B$379,bkc_bu)=0,"—",($AH24-$AA24)*100)</f>
        <v>—</v>
      </c>
    </row>
    <row r="25" spans="1:35" x14ac:dyDescent="0.3">
      <c r="A25" s="39" t="s">
        <v>92</v>
      </c>
      <c r="B25" s="40">
        <f>SUMIFS(_book!$F$2:$F$379,_book!$C$2:$C$379,$A25,_book!$A$2:$A$379,bkc_lob,_book!$B$2:$B$379,bkc_bu)</f>
        <v>459000</v>
      </c>
      <c r="C25" s="41">
        <f>IF(SUMIFS(_book!$F$2:$F$379,_book!$C$2:$C$379,$A25,_book!$A$2:$A$379,bkc_lob,_book!$B$2:$B$379,bkc_bu)=0,"—",SUMIFS(_book!$AV$2:$AV$379,_book!$C$2:$C$379,$A25,_book!$A$2:$A$379,bkc_lob,_book!$B$2:$B$379,bkc_bu)/SUMIFS(_book!$F$2:$F$379,_book!$C$2:$C$379,$A25,_book!$A$2:$A$379,bkc_lob,_book!$B$2:$B$379,bkc_bu))</f>
        <v>0.9285882352941176</v>
      </c>
      <c r="D25" s="41">
        <f>IF(SUMIFS(_book!$F$2:$F$379,_book!$C$2:$C$379,$A25,_book!$A$2:$A$379,bkc_lob,_book!$B$2:$B$379,bkc_bu)=0,"—",SUMIFS(_book!$AW$2:$AW$379,_book!$C$2:$C$379,$A25,_book!$A$2:$A$379,bkc_lob,_book!$B$2:$B$379,bkc_bu)/SUMIFS(_book!$F$2:$F$379,_book!$C$2:$C$379,$A25,_book!$A$2:$A$379,bkc_lob,_book!$B$2:$B$379,bkc_bu))</f>
        <v>0.91858823529411759</v>
      </c>
      <c r="E25" s="41">
        <f>IF(SUMIFS(_book!$F$2:$F$379,_book!$C$2:$C$379,$A25,_book!$A$2:$A$379,bkc_lob,_book!$B$2:$B$379,bkc_bu)=0,"—",SUMIFS(_book!$AX$2:$AX$379,_book!$C$2:$C$379,$A25,_book!$A$2:$A$379,bkc_lob,_book!$B$2:$B$379,bkc_bu)/SUMIFS(_book!$F$2:$F$379,_book!$C$2:$C$379,$A25,_book!$A$2:$A$379,bkc_lob,_book!$B$2:$B$379,bkc_bu))</f>
        <v>0.91858823529411759</v>
      </c>
      <c r="F25" s="42" t="str">
        <f>IF(COUNTIFS(_book!$D$2:$D$379,"?*",_book!$C$2:$C$379,$A25,_book!$A$2:$A$379,bkc_lob,_book!$B$2:$B$379,bkc_bu)&lt;&gt;1,"—",INDEX(_book!$DG$2:$DG$379,MATCH(bkf_lob&amp;"|"&amp;bkf_bu&amp;"|"&amp;$A25,_book!$E$2:$E$379,0)))</f>
        <v>—</v>
      </c>
      <c r="G25" s="43" t="str">
        <f>IF(COUNTIFS(_book!$D$2:$D$379,"?*",_book!$C$2:$C$379,$A25,_book!$A$2:$A$379,bkc_lob,_book!$B$2:$B$379,bkc_bu)&lt;&gt;1,"—",INDEX(_book!$DH$2:$DH$379,MATCH(bkf_lob&amp;"|"&amp;bkf_bu&amp;"|"&amp;$A25,_book!$E$2:$E$379,0)))</f>
        <v>—</v>
      </c>
      <c r="H25" s="44" t="str">
        <f>IF(COUNTIFS(_book!$D$2:$D$379,"?*",_book!$C$2:$C$379,$A25,_book!$A$2:$A$379,bkc_lob,_book!$B$2:$B$379,bkc_bu)&lt;&gt;1,"—",INDEX(_book!$DI$2:$DI$379,MATCH(bkf_lob&amp;"|"&amp;bkf_bu&amp;"|"&amp;$A25,_book!$E$2:$E$379,0)))</f>
        <v>—</v>
      </c>
      <c r="I25" s="42" t="str">
        <f>IF(COUNTIFS(_book!$D$2:$D$379,"?*",_book!$C$2:$C$379,$A25,_book!$A$2:$A$379,bkc_lob,_book!$B$2:$B$379,bkc_bu)&lt;&gt;1,"—",INDEX(_book!$DJ$2:$DJ$379,MATCH(bkf_lob&amp;"|"&amp;bkf_bu&amp;"|"&amp;$A25,_book!$E$2:$E$379,0)))</f>
        <v>—</v>
      </c>
      <c r="J25" s="43" t="str">
        <f>IF(COUNTIFS(_book!$D$2:$D$379,"?*",_book!$C$2:$C$379,$A25,_book!$A$2:$A$379,bkc_lob,_book!$B$2:$B$379,bkc_bu)&lt;&gt;1,"—",INDEX(_book!$DK$2:$DK$379,MATCH(bkf_lob&amp;"|"&amp;bkf_bu&amp;"|"&amp;$A25,_book!$E$2:$E$379,0)))</f>
        <v>—</v>
      </c>
      <c r="K25" s="44" t="str">
        <f>IF(COUNTIFS(_book!$D$2:$D$379,"?*",_book!$C$2:$C$379,$A25,_book!$A$2:$A$379,bkc_lob,_book!$B$2:$B$379,bkc_bu)&lt;&gt;1,"—",INDEX(_book!$DL$2:$DL$379,MATCH(bkf_lob&amp;"|"&amp;bkf_bu&amp;"|"&amp;$A25,_book!$E$2:$E$379,0)))</f>
        <v>—</v>
      </c>
      <c r="L25" s="42" t="str">
        <f>IF(COUNTIFS(_book!$D$2:$D$379,"?*",_book!$C$2:$C$379,$A25,_book!$A$2:$A$379,bkc_lob,_book!$B$2:$B$379,bkc_bu)&lt;&gt;1,"—",INDEX(_book!$DM$2:$DM$379,MATCH(bkf_lob&amp;"|"&amp;bkf_bu&amp;"|"&amp;$A25,_book!$E$2:$E$379,0)))</f>
        <v>—</v>
      </c>
      <c r="M25" s="43" t="str">
        <f>IF(COUNTIFS(_book!$D$2:$D$379,"?*",_book!$C$2:$C$379,$A25,_book!$A$2:$A$379,bkc_lob,_book!$B$2:$B$379,bkc_bu)&lt;&gt;1,"—",INDEX(_book!$DN$2:$DN$379,MATCH(bkf_lob&amp;"|"&amp;bkf_bu&amp;"|"&amp;$A25,_book!$E$2:$E$379,0)))</f>
        <v>—</v>
      </c>
      <c r="N25" s="44" t="str">
        <f>IF(COUNTIFS(_book!$D$2:$D$379,"?*",_book!$C$2:$C$379,$A25,_book!$A$2:$A$379,bkc_lob,_book!$B$2:$B$379,bkc_bu)&lt;&gt;1,"—",INDEX(_book!$DO$2:$DO$379,MATCH(bkf_lob&amp;"|"&amp;bkf_bu&amp;"|"&amp;$A25,_book!$E$2:$E$379,0)))</f>
        <v>—</v>
      </c>
      <c r="O25" s="42" t="str">
        <f>IF(COUNTIFS(_book!$D$2:$D$379,"?*",_book!$C$2:$C$379,$A25,_book!$A$2:$A$379,bkc_lob,_book!$B$2:$B$379,bkc_bu)&lt;&gt;1,"—",INDEX(_book!$DP$2:$DP$379,MATCH(bkf_lob&amp;"|"&amp;bkf_bu&amp;"|"&amp;$A25,_book!$E$2:$E$379,0)))</f>
        <v>—</v>
      </c>
      <c r="P25" s="43" t="str">
        <f>IF(COUNTIFS(_book!$D$2:$D$379,"?*",_book!$C$2:$C$379,$A25,_book!$A$2:$A$379,bkc_lob,_book!$B$2:$B$379,bkc_bu)&lt;&gt;1,"—",INDEX(_book!$DQ$2:$DQ$379,MATCH(bkf_lob&amp;"|"&amp;bkf_bu&amp;"|"&amp;$A25,_book!$E$2:$E$379,0)))</f>
        <v>—</v>
      </c>
      <c r="Q25" s="44" t="str">
        <f>IF(COUNTIFS(_book!$D$2:$D$379,"?*",_book!$C$2:$C$379,$A25,_book!$A$2:$A$379,bkc_lob,_book!$B$2:$B$379,bkc_bu)&lt;&gt;1,"—",INDEX(_book!$DR$2:$DR$379,MATCH(bkf_lob&amp;"|"&amp;bkf_bu&amp;"|"&amp;$A25,_book!$E$2:$E$379,0)))</f>
        <v>—</v>
      </c>
      <c r="R25" s="45">
        <f>SUMIFS(_book!$AC$2:$AC$379,_book!$C$2:$C$379,$A25,_book!$A$2:$A$379,bkc_lob,_book!$B$2:$B$379,bkc_bu)</f>
        <v>0</v>
      </c>
      <c r="S25" s="45">
        <f>SUMIFS(_book!$AD$2:$AD$379,_book!$C$2:$C$379,$A25,_book!$A$2:$A$379,bkc_lob,_book!$B$2:$B$379,bkc_bu)</f>
        <v>6</v>
      </c>
      <c r="T25" s="46">
        <f>IF(SUMIFS(_book!$F$2:$F$379,_book!$C$2:$C$379,$A25,_book!$A$2:$A$379,bkc_lob,_book!$B$2:$B$379,bkc_bu)=0,"—",SUMIFS(_book!$AH$2:$AH$379,_book!$C$2:$C$379,$A25,_book!$A$2:$A$379,bkc_lob,_book!$B$2:$B$379,bkc_bu)/SUMIFS(_book!$F$2:$F$379,_book!$C$2:$C$379,$A25,_book!$A$2:$A$379,bkc_lob,_book!$B$2:$B$379,bkc_bu))</f>
        <v>1</v>
      </c>
      <c r="U25" s="46">
        <f>IF(SUMIFS(_book!$F$2:$F$379,_book!$C$2:$C$379,$A25,_book!$A$2:$A$379,bkc_lob,_book!$B$2:$B$379,bkc_bu)=0,"—",SUMIFS(_book!$AI$2:$AI$379,_book!$C$2:$C$379,$A25,_book!$A$2:$A$379,bkc_lob,_book!$B$2:$B$379,bkc_bu)/SUMIFS(_book!$F$2:$F$379,_book!$C$2:$C$379,$A25,_book!$A$2:$A$379,bkc_lob,_book!$B$2:$B$379,bkc_bu))</f>
        <v>1.0010772210118615</v>
      </c>
      <c r="V25" s="41">
        <f>IF(SUMIFS(_book!$F$2:$F$379,_book!$C$2:$C$379,$A25,_book!$A$2:$A$379,bkc_lob,_book!$B$2:$B$379,bkc_bu)=0,"—",SUMIFS(_book!$AJ$2:$AJ$379,_book!$C$2:$C$379,$A25,_book!$A$2:$A$379,bkc_lob,_book!$B$2:$B$379,bkc_bu)/SUMIFS(_book!$F$2:$F$379,_book!$C$2:$C$379,$A25,_book!$A$2:$A$379,bkc_lob,_book!$B$2:$B$379,bkc_bu))</f>
        <v>0.91858823529411759</v>
      </c>
      <c r="W25" s="47">
        <f>IF(SUMIFS(_book!$F$2:$F$379,_book!$C$2:$C$379,$A25,_book!$A$2:$A$379,bkc_lob,_book!$B$2:$B$379,bkc_bu)=0,"—",SUMIFS(_book!$AN$2:$AN$379,_book!$C$2:$C$379,$A25,_book!$A$2:$A$379,bkc_lob,_book!$B$2:$B$379,bkc_bu)/SUMIFS(_book!$F$2:$F$379,_book!$C$2:$C$379,$A25,_book!$A$2:$A$379,bkc_lob,_book!$B$2:$B$379,bkc_bu))</f>
        <v>0.63392810457516335</v>
      </c>
      <c r="X25" s="46">
        <f>IF(SUMIFS(_book!$F$2:$F$379,_book!$C$2:$C$379,$A25,_book!$A$2:$A$379,bkc_lob,_book!$B$2:$B$379,bkc_bu)=0,"—",SUMIFS(_book!$AK$2:$AK$379,_book!$C$2:$C$379,$A25,_book!$A$2:$A$379,bkc_lob,_book!$B$2:$B$379,bkc_bu)/SUMIFS(_book!$F$2:$F$379,_book!$C$2:$C$379,$A25,_book!$A$2:$A$379,bkc_lob,_book!$B$2:$B$379,bkc_bu))</f>
        <v>0.9989268391337498</v>
      </c>
      <c r="Y25" s="46">
        <f>IF(SUMIFS(_book!$F$2:$F$379,_book!$C$2:$C$379,$A25,_book!$A$2:$A$379,bkc_lob,_book!$B$2:$B$379,bkc_bu)=0,"—",SUMIFS(_book!$AL$2:$AL$379,_book!$C$2:$C$379,$A25,_book!$A$2:$A$379,bkc_lob,_book!$B$2:$B$379,bkc_bu)/SUMIFS(_book!$F$2:$F$379,_book!$C$2:$C$379,$A25,_book!$A$2:$A$379,bkc_lob,_book!$B$2:$B$379,bkc_bu))</f>
        <v>1.0109311645652719</v>
      </c>
      <c r="Z25" s="46">
        <f>IF(SUMIFS(_book!$F$2:$F$379,_book!$C$2:$C$379,$A25,_book!$A$2:$A$379,bkc_lob,_book!$B$2:$B$379,bkc_bu)=0,"—",SUMIFS(_book!$AM$2:$AM$379,_book!$C$2:$C$379,$A25,_book!$A$2:$A$379,bkc_lob,_book!$B$2:$B$379,bkc_bu)/SUMIFS(_book!$F$2:$F$379,_book!$C$2:$C$379,$A25,_book!$A$2:$A$379,bkc_lob,_book!$B$2:$B$379,bkc_bu))</f>
        <v>1</v>
      </c>
      <c r="AA25" s="48">
        <f>IF(COUNTIFS(_book!$D$2:$D$379,"?*",_book!$C$2:$C$379,$A25,_book!$A$2:$A$379,bkc_lob,_book!$B$2:$B$379,bkc_bu)=0,"",IF(COUNTIFS(_book!$D$2:$D$379,"?*",_book!$C$2:$C$379,$A25,_book!$A$2:$A$379,bkc_lob,_book!$B$2:$B$379,bkc_bu)=1,$W25*$X25*$Y25*$Z25,IF(SUMIFS(_book!$F$2:$F$379,_book!$C$2:$C$379,$A25,_book!$A$2:$A$379,bkc_lob,_book!$B$2:$B$379,bkc_bu)=0,"—",SUMIFS(_book!$AO$2:$AO$379,_book!$C$2:$C$379,$A25,_book!$A$2:$A$379,bkc_lob,_book!$B$2:$B$379,bkc_bu)/SUMIFS(_book!$F$2:$F$379,_book!$C$2:$C$379,$A25,_book!$A$2:$A$379,bkc_lob,_book!$B$2:$B$379,bkc_bu))))</f>
        <v>0.64015641920483179</v>
      </c>
      <c r="AB25" s="49">
        <f>IF(COUNTIFS(_book!$D$2:$D$379,"?*",_book!$C$2:$C$379,$A25,_book!$A$2:$A$379,bkc_lob,_book!$B$2:$B$379,bkc_bu)&lt;=1,"",($AA25-$W25*$X25*$Y25*$Z25)*100)</f>
        <v>-1.3514424191618524E-3</v>
      </c>
      <c r="AC25" s="43">
        <f>IF(SUMIFS(_book!$F$2:$F$379,_book!$C$2:$C$379,$A25,_book!$A$2:$A$379,bkc_lob,_book!$B$2:$B$379,bkc_bu)=0,"—",SUMIFS(_book!$AQ$2:$AQ$379,_book!$C$2:$C$379,$A25,_book!$A$2:$A$379,bkc_lob,_book!$B$2:$B$379,bkc_bu)/SUMIFS(_book!$F$2:$F$379,_book!$C$2:$C$379,$A25,_book!$A$2:$A$379,bkc_lob,_book!$B$2:$B$379,bkc_bu))</f>
        <v>0</v>
      </c>
      <c r="AD25" s="46">
        <f>IF(SUMIFS(_book!$F$2:$F$379,_book!$C$2:$C$379,$A25,_book!$A$2:$A$379,bkc_lob,_book!$B$2:$B$379,bkc_bu)=0,"—",SUMIFS(_book!$AR$2:$AR$379,_book!$C$2:$C$379,$A25,_book!$A$2:$A$379,bkc_lob,_book!$B$2:$B$379,bkc_bu)/SUMIFS(_book!$F$2:$F$379,_book!$C$2:$C$379,$A25,_book!$A$2:$A$379,bkc_lob,_book!$B$2:$B$379,bkc_bu))</f>
        <v>0.99039587100965043</v>
      </c>
      <c r="AE25" s="46">
        <f>IF(SUMIFS(_book!$F$2:$F$379,_book!$C$2:$C$379,$A25,_book!$A$2:$A$379,bkc_lob,_book!$B$2:$B$379,bkc_bu)=0,"—",SUMIFS(_book!$AS$2:$AS$379,_book!$C$2:$C$379,$A25,_book!$A$2:$A$379,bkc_lob,_book!$B$2:$B$379,bkc_bu)/SUMIFS(_book!$F$2:$F$379,_book!$C$2:$C$379,$A25,_book!$A$2:$A$379,bkc_lob,_book!$B$2:$B$379,bkc_bu))</f>
        <v>1.0109311645652719</v>
      </c>
      <c r="AF25" s="48">
        <f>IF(COUNTIFS(_book!$D$2:$D$379,"?*",_book!$C$2:$C$379,$A25,_book!$A$2:$A$379,bkc_lob,_book!$B$2:$B$379,bkc_bu)=0,"",IF(COUNTIFS(_book!$D$2:$D$379,"?*",_book!$C$2:$C$379,$A25,_book!$A$2:$A$379,bkc_lob,_book!$B$2:$B$379,bkc_bu)=1,$W25*(1+$AC25)*$AD25*$AE25*$Z25,IF(SUMIFS(_book!$F$2:$F$379,_book!$C$2:$C$379,$A25,_book!$A$2:$A$379,bkc_lob,_book!$B$2:$B$379,bkc_bu)=0,"—",SUMIFS(_book!$AP$2:$AP$379,_book!$C$2:$C$379,$A25,_book!$A$2:$A$379,bkc_lob,_book!$B$2:$B$379,bkc_bu)/SUMIFS(_book!$F$2:$F$379,_book!$C$2:$C$379,$A25,_book!$A$2:$A$379,bkc_lob,_book!$B$2:$B$379,bkc_bu))))</f>
        <v>0.63457239237371088</v>
      </c>
      <c r="AG25" s="43" t="str">
        <f>IF(COUNTIFS(_book!$D$2:$D$379,"?*",_book!$C$2:$C$379,$A25,_book!$A$2:$A$379,bkc_lob,_book!$B$2:$B$379,bkc_bu)=0,"",IF(SUMIFS(_book!$V$2:$V$379,_book!$C$2:$C$379,$A25,_book!$A$2:$A$379,bkc_lob,_book!$B$2:$B$379,bkc_bu)=0,"—",SUMIFS(_book!$W$2:$W$379,_book!$C$2:$C$379,$A25,_book!$A$2:$A$379,bkc_lob,_book!$B$2:$B$379,bkc_bu)/SUMIFS(_book!$V$2:$V$379,_book!$C$2:$C$379,$A25,_book!$A$2:$A$379,bkc_lob,_book!$B$2:$B$379,bkc_bu)))</f>
        <v>—</v>
      </c>
      <c r="AH25" s="47" t="str">
        <f>IF(SUMIFS(_book!$V$2:$V$379,_book!$C$2:$C$379,$A25,_book!$A$2:$A$379,bkc_lob,_book!$B$2:$B$379,bkc_bu)=0,"—",IF(SUMIFS(_book!$F$2:$F$379,_book!$C$2:$C$379,$A25,_book!$A$2:$A$379,bkc_lob,_book!$B$2:$B$379,bkc_bu)=0,"—",SUMIFS(_book!$AT$2:$AT$379,_book!$C$2:$C$379,$A25,_book!$A$2:$A$379,bkc_lob,_book!$B$2:$B$379,bkc_bu)/SUMIFS(_book!$F$2:$F$379,_book!$C$2:$C$379,$A25,_book!$A$2:$A$379,bkc_lob,_book!$B$2:$B$379,bkc_bu)))</f>
        <v>—</v>
      </c>
      <c r="AI25" s="50" t="str">
        <f>IF(SUMIFS(_book!$V$2:$V$379,_book!$C$2:$C$379,$A25,_book!$A$2:$A$379,bkc_lob,_book!$B$2:$B$379,bkc_bu)=0,"—",($AH25-$AA25)*100)</f>
        <v>—</v>
      </c>
    </row>
    <row r="26" spans="1:35" x14ac:dyDescent="0.3">
      <c r="A26" s="27" t="s">
        <v>94</v>
      </c>
      <c r="B26" s="28">
        <f>SUMIFS(_book!$F$2:$F$379,_book!$C$2:$C$379,$A26,_book!$A$2:$A$379,bkc_lob,_book!$B$2:$B$379,bkc_bu)</f>
        <v>1122000</v>
      </c>
      <c r="C26" s="29">
        <f>IF(SUMIFS(_book!$F$2:$F$379,_book!$C$2:$C$379,$A26,_book!$A$2:$A$379,bkc_lob,_book!$B$2:$B$379,bkc_bu)=0,"—",SUMIFS(_book!$AV$2:$AV$379,_book!$C$2:$C$379,$A26,_book!$A$2:$A$379,bkc_lob,_book!$B$2:$B$379,bkc_bu)/SUMIFS(_book!$F$2:$F$379,_book!$C$2:$C$379,$A26,_book!$A$2:$A$379,bkc_lob,_book!$B$2:$B$379,bkc_bu))</f>
        <v>0.9285882352941176</v>
      </c>
      <c r="D26" s="29">
        <f>IF(SUMIFS(_book!$F$2:$F$379,_book!$C$2:$C$379,$A26,_book!$A$2:$A$379,bkc_lob,_book!$B$2:$B$379,bkc_bu)=0,"—",SUMIFS(_book!$AW$2:$AW$379,_book!$C$2:$C$379,$A26,_book!$A$2:$A$379,bkc_lob,_book!$B$2:$B$379,bkc_bu)/SUMIFS(_book!$F$2:$F$379,_book!$C$2:$C$379,$A26,_book!$A$2:$A$379,bkc_lob,_book!$B$2:$B$379,bkc_bu))</f>
        <v>0.91858823529411759</v>
      </c>
      <c r="E26" s="29">
        <f>IF(SUMIFS(_book!$F$2:$F$379,_book!$C$2:$C$379,$A26,_book!$A$2:$A$379,bkc_lob,_book!$B$2:$B$379,bkc_bu)=0,"—",SUMIFS(_book!$AX$2:$AX$379,_book!$C$2:$C$379,$A26,_book!$A$2:$A$379,bkc_lob,_book!$B$2:$B$379,bkc_bu)/SUMIFS(_book!$F$2:$F$379,_book!$C$2:$C$379,$A26,_book!$A$2:$A$379,bkc_lob,_book!$B$2:$B$379,bkc_bu))</f>
        <v>0.93358823529411761</v>
      </c>
      <c r="F26" s="30" t="str">
        <f>IF(COUNTIFS(_book!$D$2:$D$379,"?*",_book!$C$2:$C$379,$A26,_book!$A$2:$A$379,bkc_lob,_book!$B$2:$B$379,bkc_bu)&lt;&gt;1,"—",INDEX(_book!$DG$2:$DG$379,MATCH(bkf_lob&amp;"|"&amp;bkf_bu&amp;"|"&amp;$A26,_book!$E$2:$E$379,0)))</f>
        <v>—</v>
      </c>
      <c r="G26" s="31" t="str">
        <f>IF(COUNTIFS(_book!$D$2:$D$379,"?*",_book!$C$2:$C$379,$A26,_book!$A$2:$A$379,bkc_lob,_book!$B$2:$B$379,bkc_bu)&lt;&gt;1,"—",INDEX(_book!$DH$2:$DH$379,MATCH(bkf_lob&amp;"|"&amp;bkf_bu&amp;"|"&amp;$A26,_book!$E$2:$E$379,0)))</f>
        <v>—</v>
      </c>
      <c r="H26" s="32" t="str">
        <f>IF(COUNTIFS(_book!$D$2:$D$379,"?*",_book!$C$2:$C$379,$A26,_book!$A$2:$A$379,bkc_lob,_book!$B$2:$B$379,bkc_bu)&lt;&gt;1,"—",INDEX(_book!$DI$2:$DI$379,MATCH(bkf_lob&amp;"|"&amp;bkf_bu&amp;"|"&amp;$A26,_book!$E$2:$E$379,0)))</f>
        <v>—</v>
      </c>
      <c r="I26" s="30" t="str">
        <f>IF(COUNTIFS(_book!$D$2:$D$379,"?*",_book!$C$2:$C$379,$A26,_book!$A$2:$A$379,bkc_lob,_book!$B$2:$B$379,bkc_bu)&lt;&gt;1,"—",INDEX(_book!$DJ$2:$DJ$379,MATCH(bkf_lob&amp;"|"&amp;bkf_bu&amp;"|"&amp;$A26,_book!$E$2:$E$379,0)))</f>
        <v>—</v>
      </c>
      <c r="J26" s="31" t="str">
        <f>IF(COUNTIFS(_book!$D$2:$D$379,"?*",_book!$C$2:$C$379,$A26,_book!$A$2:$A$379,bkc_lob,_book!$B$2:$B$379,bkc_bu)&lt;&gt;1,"—",INDEX(_book!$DK$2:$DK$379,MATCH(bkf_lob&amp;"|"&amp;bkf_bu&amp;"|"&amp;$A26,_book!$E$2:$E$379,0)))</f>
        <v>—</v>
      </c>
      <c r="K26" s="32" t="str">
        <f>IF(COUNTIFS(_book!$D$2:$D$379,"?*",_book!$C$2:$C$379,$A26,_book!$A$2:$A$379,bkc_lob,_book!$B$2:$B$379,bkc_bu)&lt;&gt;1,"—",INDEX(_book!$DL$2:$DL$379,MATCH(bkf_lob&amp;"|"&amp;bkf_bu&amp;"|"&amp;$A26,_book!$E$2:$E$379,0)))</f>
        <v>—</v>
      </c>
      <c r="L26" s="30" t="str">
        <f>IF(COUNTIFS(_book!$D$2:$D$379,"?*",_book!$C$2:$C$379,$A26,_book!$A$2:$A$379,bkc_lob,_book!$B$2:$B$379,bkc_bu)&lt;&gt;1,"—",INDEX(_book!$DM$2:$DM$379,MATCH(bkf_lob&amp;"|"&amp;bkf_bu&amp;"|"&amp;$A26,_book!$E$2:$E$379,0)))</f>
        <v>—</v>
      </c>
      <c r="M26" s="31" t="str">
        <f>IF(COUNTIFS(_book!$D$2:$D$379,"?*",_book!$C$2:$C$379,$A26,_book!$A$2:$A$379,bkc_lob,_book!$B$2:$B$379,bkc_bu)&lt;&gt;1,"—",INDEX(_book!$DN$2:$DN$379,MATCH(bkf_lob&amp;"|"&amp;bkf_bu&amp;"|"&amp;$A26,_book!$E$2:$E$379,0)))</f>
        <v>—</v>
      </c>
      <c r="N26" s="32" t="str">
        <f>IF(COUNTIFS(_book!$D$2:$D$379,"?*",_book!$C$2:$C$379,$A26,_book!$A$2:$A$379,bkc_lob,_book!$B$2:$B$379,bkc_bu)&lt;&gt;1,"—",INDEX(_book!$DO$2:$DO$379,MATCH(bkf_lob&amp;"|"&amp;bkf_bu&amp;"|"&amp;$A26,_book!$E$2:$E$379,0)))</f>
        <v>—</v>
      </c>
      <c r="O26" s="30" t="str">
        <f>IF(COUNTIFS(_book!$D$2:$D$379,"?*",_book!$C$2:$C$379,$A26,_book!$A$2:$A$379,bkc_lob,_book!$B$2:$B$379,bkc_bu)&lt;&gt;1,"—",INDEX(_book!$DP$2:$DP$379,MATCH(bkf_lob&amp;"|"&amp;bkf_bu&amp;"|"&amp;$A26,_book!$E$2:$E$379,0)))</f>
        <v>—</v>
      </c>
      <c r="P26" s="31" t="str">
        <f>IF(COUNTIFS(_book!$D$2:$D$379,"?*",_book!$C$2:$C$379,$A26,_book!$A$2:$A$379,bkc_lob,_book!$B$2:$B$379,bkc_bu)&lt;&gt;1,"—",INDEX(_book!$DQ$2:$DQ$379,MATCH(bkf_lob&amp;"|"&amp;bkf_bu&amp;"|"&amp;$A26,_book!$E$2:$E$379,0)))</f>
        <v>—</v>
      </c>
      <c r="Q26" s="32" t="str">
        <f>IF(COUNTIFS(_book!$D$2:$D$379,"?*",_book!$C$2:$C$379,$A26,_book!$A$2:$A$379,bkc_lob,_book!$B$2:$B$379,bkc_bu)&lt;&gt;1,"—",INDEX(_book!$DR$2:$DR$379,MATCH(bkf_lob&amp;"|"&amp;bkf_bu&amp;"|"&amp;$A26,_book!$E$2:$E$379,0)))</f>
        <v>—</v>
      </c>
      <c r="R26" s="33">
        <f>SUMIFS(_book!$AC$2:$AC$379,_book!$C$2:$C$379,$A26,_book!$A$2:$A$379,bkc_lob,_book!$B$2:$B$379,bkc_bu)</f>
        <v>18</v>
      </c>
      <c r="S26" s="33">
        <f>SUMIFS(_book!$AD$2:$AD$379,_book!$C$2:$C$379,$A26,_book!$A$2:$A$379,bkc_lob,_book!$B$2:$B$379,bkc_bu)</f>
        <v>0</v>
      </c>
      <c r="T26" s="34">
        <f>IF(SUMIFS(_book!$F$2:$F$379,_book!$C$2:$C$379,$A26,_book!$A$2:$A$379,bkc_lob,_book!$B$2:$B$379,bkc_bu)=0,"—",SUMIFS(_book!$AH$2:$AH$379,_book!$C$2:$C$379,$A26,_book!$A$2:$A$379,bkc_lob,_book!$B$2:$B$379,bkc_bu)/SUMIFS(_book!$F$2:$F$379,_book!$C$2:$C$379,$A26,_book!$A$2:$A$379,bkc_lob,_book!$B$2:$B$379,bkc_bu))</f>
        <v>1.042878787878788</v>
      </c>
      <c r="U26" s="34">
        <f>IF(SUMIFS(_book!$F$2:$F$379,_book!$C$2:$C$379,$A26,_book!$A$2:$A$379,bkc_lob,_book!$B$2:$B$379,bkc_bu)=0,"—",SUMIFS(_book!$AI$2:$AI$379,_book!$C$2:$C$379,$A26,_book!$A$2:$A$379,bkc_lob,_book!$B$2:$B$379,bkc_bu)/SUMIFS(_book!$F$2:$F$379,_book!$C$2:$C$379,$A26,_book!$A$2:$A$379,bkc_lob,_book!$B$2:$B$379,bkc_bu))</f>
        <v>1.0403881461675579</v>
      </c>
      <c r="V26" s="29">
        <f>IF(SUMIFS(_book!$F$2:$F$379,_book!$C$2:$C$379,$A26,_book!$A$2:$A$379,bkc_lob,_book!$B$2:$B$379,bkc_bu)=0,"—",SUMIFS(_book!$AJ$2:$AJ$379,_book!$C$2:$C$379,$A26,_book!$A$2:$A$379,bkc_lob,_book!$B$2:$B$379,bkc_bu)/SUMIFS(_book!$F$2:$F$379,_book!$C$2:$C$379,$A26,_book!$A$2:$A$379,bkc_lob,_book!$B$2:$B$379,bkc_bu))</f>
        <v>0.92172288904620936</v>
      </c>
      <c r="W26" s="35">
        <f>IF(SUMIFS(_book!$F$2:$F$379,_book!$C$2:$C$379,$A26,_book!$A$2:$A$379,bkc_lob,_book!$B$2:$B$379,bkc_bu)=0,"—",SUMIFS(_book!$AN$2:$AN$379,_book!$C$2:$C$379,$A26,_book!$A$2:$A$379,bkc_lob,_book!$B$2:$B$379,bkc_bu)/SUMIFS(_book!$F$2:$F$379,_book!$C$2:$C$379,$A26,_book!$A$2:$A$379,bkc_lob,_book!$B$2:$B$379,bkc_bu))</f>
        <v>0.63285739750445635</v>
      </c>
      <c r="X26" s="34">
        <f>IF(SUMIFS(_book!$F$2:$F$379,_book!$C$2:$C$379,$A26,_book!$A$2:$A$379,bkc_lob,_book!$B$2:$B$379,bkc_bu)=0,"—",SUMIFS(_book!$AK$2:$AK$379,_book!$C$2:$C$379,$A26,_book!$A$2:$A$379,bkc_lob,_book!$B$2:$B$379,bkc_bu)/SUMIFS(_book!$F$2:$F$379,_book!$C$2:$C$379,$A26,_book!$A$2:$A$379,bkc_lob,_book!$B$2:$B$379,bkc_bu))</f>
        <v>1.0023784914354354</v>
      </c>
      <c r="Y26" s="34">
        <f>IF(SUMIFS(_book!$F$2:$F$379,_book!$C$2:$C$379,$A26,_book!$A$2:$A$379,bkc_lob,_book!$B$2:$B$379,bkc_bu)=0,"—",SUMIFS(_book!$AL$2:$AL$379,_book!$C$2:$C$379,$A26,_book!$A$2:$A$379,bkc_lob,_book!$B$2:$B$379,bkc_bu)/SUMIFS(_book!$F$2:$F$379,_book!$C$2:$C$379,$A26,_book!$A$2:$A$379,bkc_lob,_book!$B$2:$B$379,bkc_bu))</f>
        <v>1.0074785553735899</v>
      </c>
      <c r="Z26" s="34">
        <f>IF(SUMIFS(_book!$F$2:$F$379,_book!$C$2:$C$379,$A26,_book!$A$2:$A$379,bkc_lob,_book!$B$2:$B$379,bkc_bu)=0,"—",SUMIFS(_book!$AM$2:$AM$379,_book!$C$2:$C$379,$A26,_book!$A$2:$A$379,bkc_lob,_book!$B$2:$B$379,bkc_bu)/SUMIFS(_book!$F$2:$F$379,_book!$C$2:$C$379,$A26,_book!$A$2:$A$379,bkc_lob,_book!$B$2:$B$379,bkc_bu))</f>
        <v>1</v>
      </c>
      <c r="AA26" s="36">
        <f>IF(COUNTIFS(_book!$D$2:$D$379,"?*",_book!$C$2:$C$379,$A26,_book!$A$2:$A$379,bkc_lob,_book!$B$2:$B$379,bkc_bu)=0,"",IF(COUNTIFS(_book!$D$2:$D$379,"?*",_book!$C$2:$C$379,$A26,_book!$A$2:$A$379,bkc_lob,_book!$B$2:$B$379,bkc_bu)=1,$W26*$X26*$Y26*$Z26,IF(SUMIFS(_book!$F$2:$F$379,_book!$C$2:$C$379,$A26,_book!$A$2:$A$379,bkc_lob,_book!$B$2:$B$379,bkc_bu)=0,"—",SUMIFS(_book!$AO$2:$AO$379,_book!$C$2:$C$379,$A26,_book!$A$2:$A$379,bkc_lob,_book!$B$2:$B$379,bkc_bu)/SUMIFS(_book!$F$2:$F$379,_book!$C$2:$C$379,$A26,_book!$A$2:$A$379,bkc_lob,_book!$B$2:$B$379,bkc_bu))))</f>
        <v>0.63912669281896373</v>
      </c>
      <c r="AB26" s="37">
        <f>IF(COUNTIFS(_book!$D$2:$D$379,"?*",_book!$C$2:$C$379,$A26,_book!$A$2:$A$379,bkc_lob,_book!$B$2:$B$379,bkc_bu)&lt;=1,"",($AA26-$W26*$X26*$Y26*$Z26)*100)</f>
        <v>1.9933259055360253E-3</v>
      </c>
      <c r="AC26" s="31">
        <f>IF(SUMIFS(_book!$F$2:$F$379,_book!$C$2:$C$379,$A26,_book!$A$2:$A$379,bkc_lob,_book!$B$2:$B$379,bkc_bu)=0,"—",SUMIFS(_book!$AQ$2:$AQ$379,_book!$C$2:$C$379,$A26,_book!$A$2:$A$379,bkc_lob,_book!$B$2:$B$379,bkc_bu)/SUMIFS(_book!$F$2:$F$379,_book!$C$2:$C$379,$A26,_book!$A$2:$A$379,bkc_lob,_book!$B$2:$B$379,bkc_bu))</f>
        <v>0</v>
      </c>
      <c r="AD26" s="34">
        <f>IF(SUMIFS(_book!$F$2:$F$379,_book!$C$2:$C$379,$A26,_book!$A$2:$A$379,bkc_lob,_book!$B$2:$B$379,bkc_bu)=0,"—",SUMIFS(_book!$AR$2:$AR$379,_book!$C$2:$C$379,$A26,_book!$A$2:$A$379,bkc_lob,_book!$B$2:$B$379,bkc_bu)/SUMIFS(_book!$F$2:$F$379,_book!$C$2:$C$379,$A26,_book!$A$2:$A$379,bkc_lob,_book!$B$2:$B$379,bkc_bu))</f>
        <v>1</v>
      </c>
      <c r="AE26" s="34">
        <f>IF(SUMIFS(_book!$F$2:$F$379,_book!$C$2:$C$379,$A26,_book!$A$2:$A$379,bkc_lob,_book!$B$2:$B$379,bkc_bu)=0,"—",SUMIFS(_book!$AS$2:$AS$379,_book!$C$2:$C$379,$A26,_book!$A$2:$A$379,bkc_lob,_book!$B$2:$B$379,bkc_bu)/SUMIFS(_book!$F$2:$F$379,_book!$C$2:$C$379,$A26,_book!$A$2:$A$379,bkc_lob,_book!$B$2:$B$379,bkc_bu))</f>
        <v>0.99670699704966692</v>
      </c>
      <c r="AF26" s="36">
        <f>IF(COUNTIFS(_book!$D$2:$D$379,"?*",_book!$C$2:$C$379,$A26,_book!$A$2:$A$379,bkc_lob,_book!$B$2:$B$379,bkc_bu)=0,"",IF(COUNTIFS(_book!$D$2:$D$379,"?*",_book!$C$2:$C$379,$A26,_book!$A$2:$A$379,bkc_lob,_book!$B$2:$B$379,bkc_bu)=1,$W26*(1+$AC26)*$AD26*$AE26*$Z26,IF(SUMIFS(_book!$F$2:$F$379,_book!$C$2:$C$379,$A26,_book!$A$2:$A$379,bkc_lob,_book!$B$2:$B$379,bkc_bu)=0,"—",SUMIFS(_book!$AP$2:$AP$379,_book!$C$2:$C$379,$A26,_book!$A$2:$A$379,bkc_lob,_book!$B$2:$B$379,bkc_bu)/SUMIFS(_book!$F$2:$F$379,_book!$C$2:$C$379,$A26,_book!$A$2:$A$379,bkc_lob,_book!$B$2:$B$379,bkc_bu))))</f>
        <v>0.63077766023739545</v>
      </c>
      <c r="AG26" s="31" t="str">
        <f>IF(COUNTIFS(_book!$D$2:$D$379,"?*",_book!$C$2:$C$379,$A26,_book!$A$2:$A$379,bkc_lob,_book!$B$2:$B$379,bkc_bu)=0,"",IF(SUMIFS(_book!$V$2:$V$379,_book!$C$2:$C$379,$A26,_book!$A$2:$A$379,bkc_lob,_book!$B$2:$B$379,bkc_bu)=0,"—",SUMIFS(_book!$W$2:$W$379,_book!$C$2:$C$379,$A26,_book!$A$2:$A$379,bkc_lob,_book!$B$2:$B$379,bkc_bu)/SUMIFS(_book!$V$2:$V$379,_book!$C$2:$C$379,$A26,_book!$A$2:$A$379,bkc_lob,_book!$B$2:$B$379,bkc_bu)))</f>
        <v>—</v>
      </c>
      <c r="AH26" s="35" t="str">
        <f>IF(SUMIFS(_book!$V$2:$V$379,_book!$C$2:$C$379,$A26,_book!$A$2:$A$379,bkc_lob,_book!$B$2:$B$379,bkc_bu)=0,"—",IF(SUMIFS(_book!$F$2:$F$379,_book!$C$2:$C$379,$A26,_book!$A$2:$A$379,bkc_lob,_book!$B$2:$B$379,bkc_bu)=0,"—",SUMIFS(_book!$AT$2:$AT$379,_book!$C$2:$C$379,$A26,_book!$A$2:$A$379,bkc_lob,_book!$B$2:$B$379,bkc_bu)/SUMIFS(_book!$F$2:$F$379,_book!$C$2:$C$379,$A26,_book!$A$2:$A$379,bkc_lob,_book!$B$2:$B$379,bkc_bu)))</f>
        <v>—</v>
      </c>
      <c r="AI26" s="38" t="str">
        <f>IF(SUMIFS(_book!$V$2:$V$379,_book!$C$2:$C$379,$A26,_book!$A$2:$A$379,bkc_lob,_book!$B$2:$B$379,bkc_bu)=0,"—",($AH26-$AA26)*100)</f>
        <v>—</v>
      </c>
    </row>
    <row r="27" spans="1:35" x14ac:dyDescent="0.3">
      <c r="A27" s="39" t="s">
        <v>95</v>
      </c>
      <c r="B27" s="40">
        <f>SUMIFS(_book!$F$2:$F$379,_book!$C$2:$C$379,$A27,_book!$A$2:$A$379,bkc_lob,_book!$B$2:$B$379,bkc_bu)</f>
        <v>918000</v>
      </c>
      <c r="C27" s="41">
        <f>IF(SUMIFS(_book!$F$2:$F$379,_book!$C$2:$C$379,$A27,_book!$A$2:$A$379,bkc_lob,_book!$B$2:$B$379,bkc_bu)=0,"—",SUMIFS(_book!$AV$2:$AV$379,_book!$C$2:$C$379,$A27,_book!$A$2:$A$379,bkc_lob,_book!$B$2:$B$379,bkc_bu)/SUMIFS(_book!$F$2:$F$379,_book!$C$2:$C$379,$A27,_book!$A$2:$A$379,bkc_lob,_book!$B$2:$B$379,bkc_bu))</f>
        <v>0.9285882352941176</v>
      </c>
      <c r="D27" s="41">
        <f>IF(SUMIFS(_book!$F$2:$F$379,_book!$C$2:$C$379,$A27,_book!$A$2:$A$379,bkc_lob,_book!$B$2:$B$379,bkc_bu)=0,"—",SUMIFS(_book!$AW$2:$AW$379,_book!$C$2:$C$379,$A27,_book!$A$2:$A$379,bkc_lob,_book!$B$2:$B$379,bkc_bu)/SUMIFS(_book!$F$2:$F$379,_book!$C$2:$C$379,$A27,_book!$A$2:$A$379,bkc_lob,_book!$B$2:$B$379,bkc_bu))</f>
        <v>0.91858823529411759</v>
      </c>
      <c r="E27" s="41">
        <f>IF(SUMIFS(_book!$F$2:$F$379,_book!$C$2:$C$379,$A27,_book!$A$2:$A$379,bkc_lob,_book!$B$2:$B$379,bkc_bu)=0,"—",SUMIFS(_book!$AX$2:$AX$379,_book!$C$2:$C$379,$A27,_book!$A$2:$A$379,bkc_lob,_book!$B$2:$B$379,bkc_bu)/SUMIFS(_book!$F$2:$F$379,_book!$C$2:$C$379,$A27,_book!$A$2:$A$379,bkc_lob,_book!$B$2:$B$379,bkc_bu))</f>
        <v>0.9135882352941177</v>
      </c>
      <c r="F27" s="42" t="str">
        <f>IF(COUNTIFS(_book!$D$2:$D$379,"?*",_book!$C$2:$C$379,$A27,_book!$A$2:$A$379,bkc_lob,_book!$B$2:$B$379,bkc_bu)&lt;&gt;1,"—",INDEX(_book!$DG$2:$DG$379,MATCH(bkf_lob&amp;"|"&amp;bkf_bu&amp;"|"&amp;$A27,_book!$E$2:$E$379,0)))</f>
        <v>—</v>
      </c>
      <c r="G27" s="43" t="str">
        <f>IF(COUNTIFS(_book!$D$2:$D$379,"?*",_book!$C$2:$C$379,$A27,_book!$A$2:$A$379,bkc_lob,_book!$B$2:$B$379,bkc_bu)&lt;&gt;1,"—",INDEX(_book!$DH$2:$DH$379,MATCH(bkf_lob&amp;"|"&amp;bkf_bu&amp;"|"&amp;$A27,_book!$E$2:$E$379,0)))</f>
        <v>—</v>
      </c>
      <c r="H27" s="44" t="str">
        <f>IF(COUNTIFS(_book!$D$2:$D$379,"?*",_book!$C$2:$C$379,$A27,_book!$A$2:$A$379,bkc_lob,_book!$B$2:$B$379,bkc_bu)&lt;&gt;1,"—",INDEX(_book!$DI$2:$DI$379,MATCH(bkf_lob&amp;"|"&amp;bkf_bu&amp;"|"&amp;$A27,_book!$E$2:$E$379,0)))</f>
        <v>—</v>
      </c>
      <c r="I27" s="42" t="str">
        <f>IF(COUNTIFS(_book!$D$2:$D$379,"?*",_book!$C$2:$C$379,$A27,_book!$A$2:$A$379,bkc_lob,_book!$B$2:$B$379,bkc_bu)&lt;&gt;1,"—",INDEX(_book!$DJ$2:$DJ$379,MATCH(bkf_lob&amp;"|"&amp;bkf_bu&amp;"|"&amp;$A27,_book!$E$2:$E$379,0)))</f>
        <v>—</v>
      </c>
      <c r="J27" s="43" t="str">
        <f>IF(COUNTIFS(_book!$D$2:$D$379,"?*",_book!$C$2:$C$379,$A27,_book!$A$2:$A$379,bkc_lob,_book!$B$2:$B$379,bkc_bu)&lt;&gt;1,"—",INDEX(_book!$DK$2:$DK$379,MATCH(bkf_lob&amp;"|"&amp;bkf_bu&amp;"|"&amp;$A27,_book!$E$2:$E$379,0)))</f>
        <v>—</v>
      </c>
      <c r="K27" s="44" t="str">
        <f>IF(COUNTIFS(_book!$D$2:$D$379,"?*",_book!$C$2:$C$379,$A27,_book!$A$2:$A$379,bkc_lob,_book!$B$2:$B$379,bkc_bu)&lt;&gt;1,"—",INDEX(_book!$DL$2:$DL$379,MATCH(bkf_lob&amp;"|"&amp;bkf_bu&amp;"|"&amp;$A27,_book!$E$2:$E$379,0)))</f>
        <v>—</v>
      </c>
      <c r="L27" s="42" t="str">
        <f>IF(COUNTIFS(_book!$D$2:$D$379,"?*",_book!$C$2:$C$379,$A27,_book!$A$2:$A$379,bkc_lob,_book!$B$2:$B$379,bkc_bu)&lt;&gt;1,"—",INDEX(_book!$DM$2:$DM$379,MATCH(bkf_lob&amp;"|"&amp;bkf_bu&amp;"|"&amp;$A27,_book!$E$2:$E$379,0)))</f>
        <v>—</v>
      </c>
      <c r="M27" s="43" t="str">
        <f>IF(COUNTIFS(_book!$D$2:$D$379,"?*",_book!$C$2:$C$379,$A27,_book!$A$2:$A$379,bkc_lob,_book!$B$2:$B$379,bkc_bu)&lt;&gt;1,"—",INDEX(_book!$DN$2:$DN$379,MATCH(bkf_lob&amp;"|"&amp;bkf_bu&amp;"|"&amp;$A27,_book!$E$2:$E$379,0)))</f>
        <v>—</v>
      </c>
      <c r="N27" s="44" t="str">
        <f>IF(COUNTIFS(_book!$D$2:$D$379,"?*",_book!$C$2:$C$379,$A27,_book!$A$2:$A$379,bkc_lob,_book!$B$2:$B$379,bkc_bu)&lt;&gt;1,"—",INDEX(_book!$DO$2:$DO$379,MATCH(bkf_lob&amp;"|"&amp;bkf_bu&amp;"|"&amp;$A27,_book!$E$2:$E$379,0)))</f>
        <v>—</v>
      </c>
      <c r="O27" s="42" t="str">
        <f>IF(COUNTIFS(_book!$D$2:$D$379,"?*",_book!$C$2:$C$379,$A27,_book!$A$2:$A$379,bkc_lob,_book!$B$2:$B$379,bkc_bu)&lt;&gt;1,"—",INDEX(_book!$DP$2:$DP$379,MATCH(bkf_lob&amp;"|"&amp;bkf_bu&amp;"|"&amp;$A27,_book!$E$2:$E$379,0)))</f>
        <v>—</v>
      </c>
      <c r="P27" s="43" t="str">
        <f>IF(COUNTIFS(_book!$D$2:$D$379,"?*",_book!$C$2:$C$379,$A27,_book!$A$2:$A$379,bkc_lob,_book!$B$2:$B$379,bkc_bu)&lt;&gt;1,"—",INDEX(_book!$DQ$2:$DQ$379,MATCH(bkf_lob&amp;"|"&amp;bkf_bu&amp;"|"&amp;$A27,_book!$E$2:$E$379,0)))</f>
        <v>—</v>
      </c>
      <c r="Q27" s="44" t="str">
        <f>IF(COUNTIFS(_book!$D$2:$D$379,"?*",_book!$C$2:$C$379,$A27,_book!$A$2:$A$379,bkc_lob,_book!$B$2:$B$379,bkc_bu)&lt;&gt;1,"—",INDEX(_book!$DR$2:$DR$379,MATCH(bkf_lob&amp;"|"&amp;bkf_bu&amp;"|"&amp;$A27,_book!$E$2:$E$379,0)))</f>
        <v>—</v>
      </c>
      <c r="R27" s="45">
        <f>SUMIFS(_book!$AC$2:$AC$379,_book!$C$2:$C$379,$A27,_book!$A$2:$A$379,bkc_lob,_book!$B$2:$B$379,bkc_bu)</f>
        <v>18</v>
      </c>
      <c r="S27" s="45">
        <f>SUMIFS(_book!$AD$2:$AD$379,_book!$C$2:$C$379,$A27,_book!$A$2:$A$379,bkc_lob,_book!$B$2:$B$379,bkc_bu)</f>
        <v>6</v>
      </c>
      <c r="T27" s="46">
        <f>IF(SUMIFS(_book!$F$2:$F$379,_book!$C$2:$C$379,$A27,_book!$A$2:$A$379,bkc_lob,_book!$B$2:$B$379,bkc_bu)=0,"—",SUMIFS(_book!$AH$2:$AH$379,_book!$C$2:$C$379,$A27,_book!$A$2:$A$379,bkc_lob,_book!$B$2:$B$379,bkc_bu)/SUMIFS(_book!$F$2:$F$379,_book!$C$2:$C$379,$A27,_book!$A$2:$A$379,bkc_lob,_book!$B$2:$B$379,bkc_bu))</f>
        <v>1.0361111111111112</v>
      </c>
      <c r="U27" s="46">
        <f>IF(SUMIFS(_book!$F$2:$F$379,_book!$C$2:$C$379,$A27,_book!$A$2:$A$379,bkc_lob,_book!$B$2:$B$379,bkc_bu)=0,"—",SUMIFS(_book!$AI$2:$AI$379,_book!$C$2:$C$379,$A27,_book!$A$2:$A$379,bkc_lob,_book!$B$2:$B$379,bkc_bu)/SUMIFS(_book!$F$2:$F$379,_book!$C$2:$C$379,$A27,_book!$A$2:$A$379,bkc_lob,_book!$B$2:$B$379,bkc_bu))</f>
        <v>1.0389132044299201</v>
      </c>
      <c r="V27" s="41">
        <f>IF(SUMIFS(_book!$F$2:$F$379,_book!$C$2:$C$379,$A27,_book!$A$2:$A$379,bkc_lob,_book!$B$2:$B$379,bkc_bu)=0,"—",SUMIFS(_book!$AJ$2:$AJ$379,_book!$C$2:$C$379,$A27,_book!$A$2:$A$379,bkc_lob,_book!$B$2:$B$379,bkc_bu)/SUMIFS(_book!$F$2:$F$379,_book!$C$2:$C$379,$A27,_book!$A$2:$A$379,bkc_lob,_book!$B$2:$B$379,bkc_bu))</f>
        <v>0.91754335071008719</v>
      </c>
      <c r="W27" s="47">
        <f>IF(SUMIFS(_book!$F$2:$F$379,_book!$C$2:$C$379,$A27,_book!$A$2:$A$379,bkc_lob,_book!$B$2:$B$379,bkc_bu)=0,"—",SUMIFS(_book!$AN$2:$AN$379,_book!$C$2:$C$379,$A27,_book!$A$2:$A$379,bkc_lob,_book!$B$2:$B$379,bkc_bu)/SUMIFS(_book!$F$2:$F$379,_book!$C$2:$C$379,$A27,_book!$A$2:$A$379,bkc_lob,_book!$B$2:$B$379,bkc_bu))</f>
        <v>0.63229847494553382</v>
      </c>
      <c r="X27" s="46">
        <f>IF(SUMIFS(_book!$F$2:$F$379,_book!$C$2:$C$379,$A27,_book!$A$2:$A$379,bkc_lob,_book!$B$2:$B$379,bkc_bu)=0,"—",SUMIFS(_book!$AK$2:$AK$379,_book!$C$2:$C$379,$A27,_book!$A$2:$A$379,bkc_lob,_book!$B$2:$B$379,bkc_bu)/SUMIFS(_book!$F$2:$F$379,_book!$C$2:$C$379,$A27,_book!$A$2:$A$379,bkc_lob,_book!$B$2:$B$379,bkc_bu))</f>
        <v>0.99733052609549178</v>
      </c>
      <c r="Y27" s="46">
        <f>IF(SUMIFS(_book!$F$2:$F$379,_book!$C$2:$C$379,$A27,_book!$A$2:$A$379,bkc_lob,_book!$B$2:$B$379,bkc_bu)=0,"—",SUMIFS(_book!$AL$2:$AL$379,_book!$C$2:$C$379,$A27,_book!$A$2:$A$379,bkc_lob,_book!$B$2:$B$379,bkc_bu)/SUMIFS(_book!$F$2:$F$379,_book!$C$2:$C$379,$A27,_book!$A$2:$A$379,bkc_lob,_book!$B$2:$B$379,bkc_bu))</f>
        <v>1.0120875391944273</v>
      </c>
      <c r="Z27" s="46">
        <f>IF(SUMIFS(_book!$F$2:$F$379,_book!$C$2:$C$379,$A27,_book!$A$2:$A$379,bkc_lob,_book!$B$2:$B$379,bkc_bu)=0,"—",SUMIFS(_book!$AM$2:$AM$379,_book!$C$2:$C$379,$A27,_book!$A$2:$A$379,bkc_lob,_book!$B$2:$B$379,bkc_bu)/SUMIFS(_book!$F$2:$F$379,_book!$C$2:$C$379,$A27,_book!$A$2:$A$379,bkc_lob,_book!$B$2:$B$379,bkc_bu))</f>
        <v>1</v>
      </c>
      <c r="AA27" s="48">
        <f>IF(COUNTIFS(_book!$D$2:$D$379,"?*",_book!$C$2:$C$379,$A27,_book!$A$2:$A$379,bkc_lob,_book!$B$2:$B$379,bkc_bu)=0,"",IF(COUNTIFS(_book!$D$2:$D$379,"?*",_book!$C$2:$C$379,$A27,_book!$A$2:$A$379,bkc_lob,_book!$B$2:$B$379,bkc_bu)=1,$W27*$X27*$Y27*$Z27,IF(SUMIFS(_book!$F$2:$F$379,_book!$C$2:$C$379,$A27,_book!$A$2:$A$379,bkc_lob,_book!$B$2:$B$379,bkc_bu)=0,"—",SUMIFS(_book!$AO$2:$AO$379,_book!$C$2:$C$379,$A27,_book!$A$2:$A$379,bkc_lob,_book!$B$2:$B$379,bkc_bu)/SUMIFS(_book!$F$2:$F$379,_book!$C$2:$C$379,$A27,_book!$A$2:$A$379,bkc_lob,_book!$B$2:$B$379,bkc_bu))))</f>
        <v>0.63810351162598955</v>
      </c>
      <c r="AB27" s="49">
        <f>IF(COUNTIFS(_book!$D$2:$D$379,"?*",_book!$C$2:$C$379,$A27,_book!$A$2:$A$379,bkc_lob,_book!$B$2:$B$379,bkc_bu)&lt;=1,"",($AA27-$W27*$X27*$Y27*$Z27)*100)</f>
        <v>-1.2958903017201706E-2</v>
      </c>
      <c r="AC27" s="43">
        <f>IF(SUMIFS(_book!$F$2:$F$379,_book!$C$2:$C$379,$A27,_book!$A$2:$A$379,bkc_lob,_book!$B$2:$B$379,bkc_bu)=0,"—",SUMIFS(_book!$AQ$2:$AQ$379,_book!$C$2:$C$379,$A27,_book!$A$2:$A$379,bkc_lob,_book!$B$2:$B$379,bkc_bu)/SUMIFS(_book!$F$2:$F$379,_book!$C$2:$C$379,$A27,_book!$A$2:$A$379,bkc_lob,_book!$B$2:$B$379,bkc_bu))</f>
        <v>0</v>
      </c>
      <c r="AD27" s="46">
        <f>IF(SUMIFS(_book!$F$2:$F$379,_book!$C$2:$C$379,$A27,_book!$A$2:$A$379,bkc_lob,_book!$B$2:$B$379,bkc_bu)=0,"—",SUMIFS(_book!$AR$2:$AR$379,_book!$C$2:$C$379,$A27,_book!$A$2:$A$379,bkc_lob,_book!$B$2:$B$379,bkc_bu)/SUMIFS(_book!$F$2:$F$379,_book!$C$2:$C$379,$A27,_book!$A$2:$A$379,bkc_lob,_book!$B$2:$B$379,bkc_bu))</f>
        <v>0.98651029753175423</v>
      </c>
      <c r="AE27" s="46">
        <f>IF(SUMIFS(_book!$F$2:$F$379,_book!$C$2:$C$379,$A27,_book!$A$2:$A$379,bkc_lob,_book!$B$2:$B$379,bkc_bu)=0,"—",SUMIFS(_book!$AS$2:$AS$379,_book!$C$2:$C$379,$A27,_book!$A$2:$A$379,bkc_lob,_book!$B$2:$B$379,bkc_bu)/SUMIFS(_book!$F$2:$F$379,_book!$C$2:$C$379,$A27,_book!$A$2:$A$379,bkc_lob,_book!$B$2:$B$379,bkc_bu))</f>
        <v>1.0157636412667657</v>
      </c>
      <c r="AF27" s="48">
        <f>IF(COUNTIFS(_book!$D$2:$D$379,"?*",_book!$C$2:$C$379,$A27,_book!$A$2:$A$379,bkc_lob,_book!$B$2:$B$379,bkc_bu)=0,"",IF(COUNTIFS(_book!$D$2:$D$379,"?*",_book!$C$2:$C$379,$A27,_book!$A$2:$A$379,bkc_lob,_book!$B$2:$B$379,bkc_bu)=1,$W27*(1+$AC27)*$AD27*$AE27*$Z27,IF(SUMIFS(_book!$F$2:$F$379,_book!$C$2:$C$379,$A27,_book!$A$2:$A$379,bkc_lob,_book!$B$2:$B$379,bkc_bu)=0,"—",SUMIFS(_book!$AP$2:$AP$379,_book!$C$2:$C$379,$A27,_book!$A$2:$A$379,bkc_lob,_book!$B$2:$B$379,bkc_bu)/SUMIFS(_book!$F$2:$F$379,_book!$C$2:$C$379,$A27,_book!$A$2:$A$379,bkc_lob,_book!$B$2:$B$379,bkc_bu))))</f>
        <v>0.63338794431982492</v>
      </c>
      <c r="AG27" s="43" t="str">
        <f>IF(COUNTIFS(_book!$D$2:$D$379,"?*",_book!$C$2:$C$379,$A27,_book!$A$2:$A$379,bkc_lob,_book!$B$2:$B$379,bkc_bu)=0,"",IF(SUMIFS(_book!$V$2:$V$379,_book!$C$2:$C$379,$A27,_book!$A$2:$A$379,bkc_lob,_book!$B$2:$B$379,bkc_bu)=0,"—",SUMIFS(_book!$W$2:$W$379,_book!$C$2:$C$379,$A27,_book!$A$2:$A$379,bkc_lob,_book!$B$2:$B$379,bkc_bu)/SUMIFS(_book!$V$2:$V$379,_book!$C$2:$C$379,$A27,_book!$A$2:$A$379,bkc_lob,_book!$B$2:$B$379,bkc_bu)))</f>
        <v>—</v>
      </c>
      <c r="AH27" s="47" t="str">
        <f>IF(SUMIFS(_book!$V$2:$V$379,_book!$C$2:$C$379,$A27,_book!$A$2:$A$379,bkc_lob,_book!$B$2:$B$379,bkc_bu)=0,"—",IF(SUMIFS(_book!$F$2:$F$379,_book!$C$2:$C$379,$A27,_book!$A$2:$A$379,bkc_lob,_book!$B$2:$B$379,bkc_bu)=0,"—",SUMIFS(_book!$AT$2:$AT$379,_book!$C$2:$C$379,$A27,_book!$A$2:$A$379,bkc_lob,_book!$B$2:$B$379,bkc_bu)/SUMIFS(_book!$F$2:$F$379,_book!$C$2:$C$379,$A27,_book!$A$2:$A$379,bkc_lob,_book!$B$2:$B$379,bkc_bu)))</f>
        <v>—</v>
      </c>
      <c r="AI27" s="50" t="str">
        <f>IF(SUMIFS(_book!$V$2:$V$379,_book!$C$2:$C$379,$A27,_book!$A$2:$A$379,bkc_lob,_book!$B$2:$B$379,bkc_bu)=0,"—",($AH27-$AA27)*100)</f>
        <v>—</v>
      </c>
    </row>
    <row r="28" spans="1:35" x14ac:dyDescent="0.3">
      <c r="A28" s="27" t="s">
        <v>96</v>
      </c>
      <c r="B28" s="28">
        <f>SUMIFS(_book!$F$2:$F$379,_book!$C$2:$C$379,$A28,_book!$A$2:$A$379,bkc_lob,_book!$B$2:$B$379,bkc_bu)</f>
        <v>714000</v>
      </c>
      <c r="C28" s="29">
        <f>IF(SUMIFS(_book!$F$2:$F$379,_book!$C$2:$C$379,$A28,_book!$A$2:$A$379,bkc_lob,_book!$B$2:$B$379,bkc_bu)=0,"—",SUMIFS(_book!$AV$2:$AV$379,_book!$C$2:$C$379,$A28,_book!$A$2:$A$379,bkc_lob,_book!$B$2:$B$379,bkc_bu)/SUMIFS(_book!$F$2:$F$379,_book!$C$2:$C$379,$A28,_book!$A$2:$A$379,bkc_lob,_book!$B$2:$B$379,bkc_bu))</f>
        <v>0.9285882352941176</v>
      </c>
      <c r="D28" s="29">
        <f>IF(SUMIFS(_book!$F$2:$F$379,_book!$C$2:$C$379,$A28,_book!$A$2:$A$379,bkc_lob,_book!$B$2:$B$379,bkc_bu)=0,"—",SUMIFS(_book!$AW$2:$AW$379,_book!$C$2:$C$379,$A28,_book!$A$2:$A$379,bkc_lob,_book!$B$2:$B$379,bkc_bu)/SUMIFS(_book!$F$2:$F$379,_book!$C$2:$C$379,$A28,_book!$A$2:$A$379,bkc_lob,_book!$B$2:$B$379,bkc_bu))</f>
        <v>0.91858823529411759</v>
      </c>
      <c r="E28" s="29">
        <f>IF(SUMIFS(_book!$F$2:$F$379,_book!$C$2:$C$379,$A28,_book!$A$2:$A$379,bkc_lob,_book!$B$2:$B$379,bkc_bu)=0,"—",SUMIFS(_book!$AX$2:$AX$379,_book!$C$2:$C$379,$A28,_book!$A$2:$A$379,bkc_lob,_book!$B$2:$B$379,bkc_bu)/SUMIFS(_book!$F$2:$F$379,_book!$C$2:$C$379,$A28,_book!$A$2:$A$379,bkc_lob,_book!$B$2:$B$379,bkc_bu))</f>
        <v>0.9285882352941176</v>
      </c>
      <c r="F28" s="30" t="str">
        <f>IF(COUNTIFS(_book!$D$2:$D$379,"?*",_book!$C$2:$C$379,$A28,_book!$A$2:$A$379,bkc_lob,_book!$B$2:$B$379,bkc_bu)&lt;&gt;1,"—",INDEX(_book!$DG$2:$DG$379,MATCH(bkf_lob&amp;"|"&amp;bkf_bu&amp;"|"&amp;$A28,_book!$E$2:$E$379,0)))</f>
        <v>—</v>
      </c>
      <c r="G28" s="31" t="str">
        <f>IF(COUNTIFS(_book!$D$2:$D$379,"?*",_book!$C$2:$C$379,$A28,_book!$A$2:$A$379,bkc_lob,_book!$B$2:$B$379,bkc_bu)&lt;&gt;1,"—",INDEX(_book!$DH$2:$DH$379,MATCH(bkf_lob&amp;"|"&amp;bkf_bu&amp;"|"&amp;$A28,_book!$E$2:$E$379,0)))</f>
        <v>—</v>
      </c>
      <c r="H28" s="32" t="str">
        <f>IF(COUNTIFS(_book!$D$2:$D$379,"?*",_book!$C$2:$C$379,$A28,_book!$A$2:$A$379,bkc_lob,_book!$B$2:$B$379,bkc_bu)&lt;&gt;1,"—",INDEX(_book!$DI$2:$DI$379,MATCH(bkf_lob&amp;"|"&amp;bkf_bu&amp;"|"&amp;$A28,_book!$E$2:$E$379,0)))</f>
        <v>—</v>
      </c>
      <c r="I28" s="30" t="str">
        <f>IF(COUNTIFS(_book!$D$2:$D$379,"?*",_book!$C$2:$C$379,$A28,_book!$A$2:$A$379,bkc_lob,_book!$B$2:$B$379,bkc_bu)&lt;&gt;1,"—",INDEX(_book!$DJ$2:$DJ$379,MATCH(bkf_lob&amp;"|"&amp;bkf_bu&amp;"|"&amp;$A28,_book!$E$2:$E$379,0)))</f>
        <v>—</v>
      </c>
      <c r="J28" s="31" t="str">
        <f>IF(COUNTIFS(_book!$D$2:$D$379,"?*",_book!$C$2:$C$379,$A28,_book!$A$2:$A$379,bkc_lob,_book!$B$2:$B$379,bkc_bu)&lt;&gt;1,"—",INDEX(_book!$DK$2:$DK$379,MATCH(bkf_lob&amp;"|"&amp;bkf_bu&amp;"|"&amp;$A28,_book!$E$2:$E$379,0)))</f>
        <v>—</v>
      </c>
      <c r="K28" s="32" t="str">
        <f>IF(COUNTIFS(_book!$D$2:$D$379,"?*",_book!$C$2:$C$379,$A28,_book!$A$2:$A$379,bkc_lob,_book!$B$2:$B$379,bkc_bu)&lt;&gt;1,"—",INDEX(_book!$DL$2:$DL$379,MATCH(bkf_lob&amp;"|"&amp;bkf_bu&amp;"|"&amp;$A28,_book!$E$2:$E$379,0)))</f>
        <v>—</v>
      </c>
      <c r="L28" s="30" t="str">
        <f>IF(COUNTIFS(_book!$D$2:$D$379,"?*",_book!$C$2:$C$379,$A28,_book!$A$2:$A$379,bkc_lob,_book!$B$2:$B$379,bkc_bu)&lt;&gt;1,"—",INDEX(_book!$DM$2:$DM$379,MATCH(bkf_lob&amp;"|"&amp;bkf_bu&amp;"|"&amp;$A28,_book!$E$2:$E$379,0)))</f>
        <v>—</v>
      </c>
      <c r="M28" s="31" t="str">
        <f>IF(COUNTIFS(_book!$D$2:$D$379,"?*",_book!$C$2:$C$379,$A28,_book!$A$2:$A$379,bkc_lob,_book!$B$2:$B$379,bkc_bu)&lt;&gt;1,"—",INDEX(_book!$DN$2:$DN$379,MATCH(bkf_lob&amp;"|"&amp;bkf_bu&amp;"|"&amp;$A28,_book!$E$2:$E$379,0)))</f>
        <v>—</v>
      </c>
      <c r="N28" s="32" t="str">
        <f>IF(COUNTIFS(_book!$D$2:$D$379,"?*",_book!$C$2:$C$379,$A28,_book!$A$2:$A$379,bkc_lob,_book!$B$2:$B$379,bkc_bu)&lt;&gt;1,"—",INDEX(_book!$DO$2:$DO$379,MATCH(bkf_lob&amp;"|"&amp;bkf_bu&amp;"|"&amp;$A28,_book!$E$2:$E$379,0)))</f>
        <v>—</v>
      </c>
      <c r="O28" s="30" t="str">
        <f>IF(COUNTIFS(_book!$D$2:$D$379,"?*",_book!$C$2:$C$379,$A28,_book!$A$2:$A$379,bkc_lob,_book!$B$2:$B$379,bkc_bu)&lt;&gt;1,"—",INDEX(_book!$DP$2:$DP$379,MATCH(bkf_lob&amp;"|"&amp;bkf_bu&amp;"|"&amp;$A28,_book!$E$2:$E$379,0)))</f>
        <v>—</v>
      </c>
      <c r="P28" s="31" t="str">
        <f>IF(COUNTIFS(_book!$D$2:$D$379,"?*",_book!$C$2:$C$379,$A28,_book!$A$2:$A$379,bkc_lob,_book!$B$2:$B$379,bkc_bu)&lt;&gt;1,"—",INDEX(_book!$DQ$2:$DQ$379,MATCH(bkf_lob&amp;"|"&amp;bkf_bu&amp;"|"&amp;$A28,_book!$E$2:$E$379,0)))</f>
        <v>—</v>
      </c>
      <c r="Q28" s="32" t="str">
        <f>IF(COUNTIFS(_book!$D$2:$D$379,"?*",_book!$C$2:$C$379,$A28,_book!$A$2:$A$379,bkc_lob,_book!$B$2:$B$379,bkc_bu)&lt;&gt;1,"—",INDEX(_book!$DR$2:$DR$379,MATCH(bkf_lob&amp;"|"&amp;bkf_bu&amp;"|"&amp;$A28,_book!$E$2:$E$379,0)))</f>
        <v>—</v>
      </c>
      <c r="R28" s="33">
        <f>SUMIFS(_book!$AC$2:$AC$379,_book!$C$2:$C$379,$A28,_book!$A$2:$A$379,bkc_lob,_book!$B$2:$B$379,bkc_bu)</f>
        <v>0</v>
      </c>
      <c r="S28" s="33">
        <f>SUMIFS(_book!$AD$2:$AD$379,_book!$C$2:$C$379,$A28,_book!$A$2:$A$379,bkc_lob,_book!$B$2:$B$379,bkc_bu)</f>
        <v>6</v>
      </c>
      <c r="T28" s="34">
        <f>IF(SUMIFS(_book!$F$2:$F$379,_book!$C$2:$C$379,$A28,_book!$A$2:$A$379,bkc_lob,_book!$B$2:$B$379,bkc_bu)=0,"—",SUMIFS(_book!$AH$2:$AH$379,_book!$C$2:$C$379,$A28,_book!$A$2:$A$379,bkc_lob,_book!$B$2:$B$379,bkc_bu)/SUMIFS(_book!$F$2:$F$379,_book!$C$2:$C$379,$A28,_book!$A$2:$A$379,bkc_lob,_book!$B$2:$B$379,bkc_bu))</f>
        <v>1</v>
      </c>
      <c r="U28" s="34">
        <f>IF(SUMIFS(_book!$F$2:$F$379,_book!$C$2:$C$379,$A28,_book!$A$2:$A$379,bkc_lob,_book!$B$2:$B$379,bkc_bu)=0,"—",SUMIFS(_book!$AI$2:$AI$379,_book!$C$2:$C$379,$A28,_book!$A$2:$A$379,bkc_lob,_book!$B$2:$B$379,bkc_bu)/SUMIFS(_book!$F$2:$F$379,_book!$C$2:$C$379,$A28,_book!$A$2:$A$379,bkc_lob,_book!$B$2:$B$379,bkc_bu))</f>
        <v>1.0057565359477125</v>
      </c>
      <c r="V28" s="29">
        <f>IF(SUMIFS(_book!$F$2:$F$379,_book!$C$2:$C$379,$A28,_book!$A$2:$A$379,bkc_lob,_book!$B$2:$B$379,bkc_bu)=0,"—",SUMIFS(_book!$AJ$2:$AJ$379,_book!$C$2:$C$379,$A28,_book!$A$2:$A$379,bkc_lob,_book!$B$2:$B$379,bkc_bu)/SUMIFS(_book!$F$2:$F$379,_book!$C$2:$C$379,$A28,_book!$A$2:$A$379,bkc_lob,_book!$B$2:$B$379,bkc_bu))</f>
        <v>0.92067800446217862</v>
      </c>
      <c r="W28" s="35">
        <f>IF(SUMIFS(_book!$F$2:$F$379,_book!$C$2:$C$379,$A28,_book!$A$2:$A$379,bkc_lob,_book!$B$2:$B$379,bkc_bu)=0,"—",SUMIFS(_book!$AN$2:$AN$379,_book!$C$2:$C$379,$A28,_book!$A$2:$A$379,bkc_lob,_book!$B$2:$B$379,bkc_bu)/SUMIFS(_book!$F$2:$F$379,_book!$C$2:$C$379,$A28,_book!$A$2:$A$379,bkc_lob,_book!$B$2:$B$379,bkc_bu))</f>
        <v>0.6300868347338936</v>
      </c>
      <c r="X28" s="34">
        <f>IF(SUMIFS(_book!$F$2:$F$379,_book!$C$2:$C$379,$A28,_book!$A$2:$A$379,bkc_lob,_book!$B$2:$B$379,bkc_bu)=0,"—",SUMIFS(_book!$AK$2:$AK$379,_book!$C$2:$C$379,$A28,_book!$A$2:$A$379,bkc_lob,_book!$B$2:$B$379,bkc_bu)/SUMIFS(_book!$F$2:$F$379,_book!$C$2:$C$379,$A28,_book!$A$2:$A$379,bkc_lob,_book!$B$2:$B$379,bkc_bu))</f>
        <v>0.99434255827226892</v>
      </c>
      <c r="Y28" s="34">
        <f>IF(SUMIFS(_book!$F$2:$F$379,_book!$C$2:$C$379,$A28,_book!$A$2:$A$379,bkc_lob,_book!$B$2:$B$379,bkc_bu)=0,"—",SUMIFS(_book!$AL$2:$AL$379,_book!$C$2:$C$379,$A28,_book!$A$2:$A$379,bkc_lob,_book!$B$2:$B$379,bkc_bu)/SUMIFS(_book!$F$2:$F$379,_book!$C$2:$C$379,$A28,_book!$A$2:$A$379,bkc_lob,_book!$B$2:$B$379,bkc_bu))</f>
        <v>1.0086266832047019</v>
      </c>
      <c r="Z28" s="34">
        <f>IF(SUMIFS(_book!$F$2:$F$379,_book!$C$2:$C$379,$A28,_book!$A$2:$A$379,bkc_lob,_book!$B$2:$B$379,bkc_bu)=0,"—",SUMIFS(_book!$AM$2:$AM$379,_book!$C$2:$C$379,$A28,_book!$A$2:$A$379,bkc_lob,_book!$B$2:$B$379,bkc_bu)/SUMIFS(_book!$F$2:$F$379,_book!$C$2:$C$379,$A28,_book!$A$2:$A$379,bkc_lob,_book!$B$2:$B$379,bkc_bu))</f>
        <v>1</v>
      </c>
      <c r="AA28" s="36">
        <f>IF(COUNTIFS(_book!$D$2:$D$379,"?*",_book!$C$2:$C$379,$A28,_book!$A$2:$A$379,bkc_lob,_book!$B$2:$B$379,bkc_bu)=0,"",IF(COUNTIFS(_book!$D$2:$D$379,"?*",_book!$C$2:$C$379,$A28,_book!$A$2:$A$379,bkc_lob,_book!$B$2:$B$379,bkc_bu)=1,$W28*$X28*$Y28*$Z28,IF(SUMIFS(_book!$F$2:$F$379,_book!$C$2:$C$379,$A28,_book!$A$2:$A$379,bkc_lob,_book!$B$2:$B$379,bkc_bu)=0,"—",SUMIFS(_book!$AO$2:$AO$379,_book!$C$2:$C$379,$A28,_book!$A$2:$A$379,bkc_lob,_book!$B$2:$B$379,bkc_bu)/SUMIFS(_book!$F$2:$F$379,_book!$C$2:$C$379,$A28,_book!$A$2:$A$379,bkc_lob,_book!$B$2:$B$379,bkc_bu))))</f>
        <v>0.63202140662769801</v>
      </c>
      <c r="AB28" s="37">
        <f>IF(COUNTIFS(_book!$D$2:$D$379,"?*",_book!$C$2:$C$379,$A28,_book!$A$2:$A$379,bkc_lob,_book!$B$2:$B$379,bkc_bu)&lt;=1,"",($AA28-$W28*$X28*$Y28*$Z28)*100)</f>
        <v>9.4443291231316451E-3</v>
      </c>
      <c r="AC28" s="31">
        <f>IF(SUMIFS(_book!$F$2:$F$379,_book!$C$2:$C$379,$A28,_book!$A$2:$A$379,bkc_lob,_book!$B$2:$B$379,bkc_bu)=0,"—",SUMIFS(_book!$AQ$2:$AQ$379,_book!$C$2:$C$379,$A28,_book!$A$2:$A$379,bkc_lob,_book!$B$2:$B$379,bkc_bu)/SUMIFS(_book!$F$2:$F$379,_book!$C$2:$C$379,$A28,_book!$A$2:$A$379,bkc_lob,_book!$B$2:$B$379,bkc_bu))</f>
        <v>0</v>
      </c>
      <c r="AD28" s="34">
        <f>IF(SUMIFS(_book!$F$2:$F$379,_book!$C$2:$C$379,$A28,_book!$A$2:$A$379,bkc_lob,_book!$B$2:$B$379,bkc_bu)=0,"—",SUMIFS(_book!$AR$2:$AR$379,_book!$C$2:$C$379,$A28,_book!$A$2:$A$379,bkc_lob,_book!$B$2:$B$379,bkc_bu)/SUMIFS(_book!$F$2:$F$379,_book!$C$2:$C$379,$A28,_book!$A$2:$A$379,bkc_lob,_book!$B$2:$B$379,bkc_bu))</f>
        <v>0.98722028187218813</v>
      </c>
      <c r="AE28" s="34">
        <f>IF(SUMIFS(_book!$F$2:$F$379,_book!$C$2:$C$379,$A28,_book!$A$2:$A$379,bkc_lob,_book!$B$2:$B$379,bkc_bu)=0,"—",SUMIFS(_book!$AS$2:$AS$379,_book!$C$2:$C$379,$A28,_book!$A$2:$A$379,bkc_lob,_book!$B$2:$B$379,bkc_bu)/SUMIFS(_book!$F$2:$F$379,_book!$C$2:$C$379,$A28,_book!$A$2:$A$379,bkc_lob,_book!$B$2:$B$379,bkc_bu))</f>
        <v>1.0014034923646611</v>
      </c>
      <c r="AF28" s="36">
        <f>IF(COUNTIFS(_book!$D$2:$D$379,"?*",_book!$C$2:$C$379,$A28,_book!$A$2:$A$379,bkc_lob,_book!$B$2:$B$379,bkc_bu)=0,"",IF(COUNTIFS(_book!$D$2:$D$379,"?*",_book!$C$2:$C$379,$A28,_book!$A$2:$A$379,bkc_lob,_book!$B$2:$B$379,bkc_bu)=1,$W28*(1+$AC28)*$AD28*$AE28*$Z28,IF(SUMIFS(_book!$F$2:$F$379,_book!$C$2:$C$379,$A28,_book!$A$2:$A$379,bkc_lob,_book!$B$2:$B$379,bkc_bu)=0,"—",SUMIFS(_book!$AP$2:$AP$379,_book!$C$2:$C$379,$A28,_book!$A$2:$A$379,bkc_lob,_book!$B$2:$B$379,bkc_bu)/SUMIFS(_book!$F$2:$F$379,_book!$C$2:$C$379,$A28,_book!$A$2:$A$379,bkc_lob,_book!$B$2:$B$379,bkc_bu))))</f>
        <v>0.62309415684181158</v>
      </c>
      <c r="AG28" s="31" t="str">
        <f>IF(COUNTIFS(_book!$D$2:$D$379,"?*",_book!$C$2:$C$379,$A28,_book!$A$2:$A$379,bkc_lob,_book!$B$2:$B$379,bkc_bu)=0,"",IF(SUMIFS(_book!$V$2:$V$379,_book!$C$2:$C$379,$A28,_book!$A$2:$A$379,bkc_lob,_book!$B$2:$B$379,bkc_bu)=0,"—",SUMIFS(_book!$W$2:$W$379,_book!$C$2:$C$379,$A28,_book!$A$2:$A$379,bkc_lob,_book!$B$2:$B$379,bkc_bu)/SUMIFS(_book!$V$2:$V$379,_book!$C$2:$C$379,$A28,_book!$A$2:$A$379,bkc_lob,_book!$B$2:$B$379,bkc_bu)))</f>
        <v>—</v>
      </c>
      <c r="AH28" s="35" t="str">
        <f>IF(SUMIFS(_book!$V$2:$V$379,_book!$C$2:$C$379,$A28,_book!$A$2:$A$379,bkc_lob,_book!$B$2:$B$379,bkc_bu)=0,"—",IF(SUMIFS(_book!$F$2:$F$379,_book!$C$2:$C$379,$A28,_book!$A$2:$A$379,bkc_lob,_book!$B$2:$B$379,bkc_bu)=0,"—",SUMIFS(_book!$AT$2:$AT$379,_book!$C$2:$C$379,$A28,_book!$A$2:$A$379,bkc_lob,_book!$B$2:$B$379,bkc_bu)/SUMIFS(_book!$F$2:$F$379,_book!$C$2:$C$379,$A28,_book!$A$2:$A$379,bkc_lob,_book!$B$2:$B$379,bkc_bu)))</f>
        <v>—</v>
      </c>
      <c r="AI28" s="38" t="str">
        <f>IF(SUMIFS(_book!$V$2:$V$379,_book!$C$2:$C$379,$A28,_book!$A$2:$A$379,bkc_lob,_book!$B$2:$B$379,bkc_bu)=0,"—",($AH28-$AA28)*100)</f>
        <v>—</v>
      </c>
    </row>
    <row r="30" spans="1:35" x14ac:dyDescent="0.3">
      <c r="A30" s="51" t="s">
        <v>90</v>
      </c>
      <c r="B30" s="52">
        <f>SUMIFS(_book!$F$2:$F$379,_book!$A$2:$A$379,bkc_lob,_book!$B$2:$B$379,bkc_bu)</f>
        <v>17085000</v>
      </c>
      <c r="C30" s="53">
        <f>IF(SUMIFS(_book!$F$2:$F$379,_book!$A$2:$A$379,bkc_lob,_book!$B$2:$B$379,bkc_bu)=0,"n/a",SUMIFS(_book!$AV$2:$AV$379,_book!$A$2:$A$379,bkc_lob,_book!$B$2:$B$379,bkc_bu)/SUMIFS(_book!$F$2:$F$379,_book!$A$2:$A$379,bkc_lob,_book!$B$2:$B$379,bkc_bu))</f>
        <v>0.92796265730172667</v>
      </c>
      <c r="D30" s="53">
        <f>IF(SUMIFS(_book!$F$2:$F$379,_book!$A$2:$A$379,bkc_lob,_book!$B$2:$B$379,bkc_bu)=0,"n/a",SUMIFS(_book!$AW$2:$AW$379,_book!$A$2:$A$379,bkc_lob,_book!$B$2:$B$379,bkc_bu)/SUMIFS(_book!$F$2:$F$379,_book!$A$2:$A$379,bkc_lob,_book!$B$2:$B$379,bkc_bu))</f>
        <v>0.91825121451565705</v>
      </c>
      <c r="E30" s="53">
        <f>IF(SUMIFS(_book!$F$2:$F$379,_book!$A$2:$A$379,bkc_lob,_book!$B$2:$B$379,bkc_bu)=0,"n/a",SUMIFS(_book!$AX$2:$AX$379,_book!$A$2:$A$379,bkc_lob,_book!$B$2:$B$379,bkc_bu)/SUMIFS(_book!$F$2:$F$379,_book!$A$2:$A$379,bkc_lob,_book!$B$2:$B$379,bkc_bu))</f>
        <v>0.92366912496341824</v>
      </c>
      <c r="R30" s="54">
        <f>SUMIFS(_book!$AC$2:$AC$379,_book!$A$2:$A$379,bkc_lob,_book!$B$2:$B$379,bkc_bu)</f>
        <v>264</v>
      </c>
      <c r="S30" s="54">
        <f>SUMIFS(_book!$AD$2:$AD$379,_book!$A$2:$A$379,bkc_lob,_book!$B$2:$B$379,bkc_bu)</f>
        <v>126</v>
      </c>
      <c r="T30" s="55">
        <f>IF(SUMIFS(_book!$F$2:$F$379,_book!$A$2:$A$379,bkc_lob,_book!$B$2:$B$379,bkc_bu)=0,"n/a",SUMIFS(_book!$AH$2:$AH$379,_book!$A$2:$A$379,bkc_lob,_book!$B$2:$B$379,bkc_bu)/SUMIFS(_book!$F$2:$F$379,_book!$A$2:$A$379,bkc_lob,_book!$B$2:$B$379,bkc_bu))</f>
        <v>1.0277902487562187</v>
      </c>
      <c r="U30" s="55">
        <f>IF(SUMIFS(_book!$F$2:$F$379,_book!$A$2:$A$379,bkc_lob,_book!$B$2:$B$379,bkc_bu)=0,"n/a",SUMIFS(_book!$AI$2:$AI$379,_book!$A$2:$A$379,bkc_lob,_book!$B$2:$B$379,bkc_bu)/SUMIFS(_book!$F$2:$F$379,_book!$A$2:$A$379,bkc_lob,_book!$B$2:$B$379,bkc_bu))</f>
        <v>1.0291140030883235</v>
      </c>
      <c r="V30" s="53">
        <f>IF(SUMIFS(_book!$F$2:$F$379,_book!$A$2:$A$379,bkc_lob,_book!$B$2:$B$379,bkc_bu)=0,"n/a",SUMIFS(_book!$AJ$2:$AJ$379,_book!$A$2:$A$379,bkc_lob,_book!$B$2:$B$379,bkc_bu)/SUMIFS(_book!$F$2:$F$379,_book!$A$2:$A$379,bkc_lob,_book!$B$2:$B$379,bkc_bu))</f>
        <v>0.91957172432502821</v>
      </c>
      <c r="W30" s="56">
        <f>IF(SUMIFS(_book!$F$2:$F$379,_book!$A$2:$A$379,bkc_lob,_book!$B$2:$B$379,bkc_bu)=0,"n/a",SUMIFS(_book!$AN$2:$AN$379,_book!$A$2:$A$379,bkc_lob,_book!$B$2:$B$379,bkc_bu)/SUMIFS(_book!$F$2:$F$379,_book!$A$2:$A$379,bkc_lob,_book!$B$2:$B$379,bkc_bu))</f>
        <v>0.63321728065554583</v>
      </c>
      <c r="X30" s="55">
        <f>IF(SUMIFS(_book!$F$2:$F$379,_book!$A$2:$A$379,bkc_lob,_book!$B$2:$B$379,bkc_bu)=0,"n/a",SUMIFS(_book!$AK$2:$AK$379,_book!$A$2:$A$379,bkc_lob,_book!$B$2:$B$379,bkc_bu)/SUMIFS(_book!$F$2:$F$379,_book!$A$2:$A$379,bkc_lob,_book!$B$2:$B$379,bkc_bu))</f>
        <v>0.99877491135968011</v>
      </c>
      <c r="Y30" s="55">
        <f>IF(SUMIFS(_book!$F$2:$F$379,_book!$A$2:$A$379,bkc_lob,_book!$B$2:$B$379,bkc_bu)=0,"n/a",SUMIFS(_book!$AL$2:$AL$379,_book!$A$2:$A$379,bkc_lob,_book!$B$2:$B$379,bkc_bu)/SUMIFS(_book!$F$2:$F$379,_book!$A$2:$A$379,bkc_lob,_book!$B$2:$B$379,bkc_bu))</f>
        <v>1.0090431406727232</v>
      </c>
      <c r="Z30" s="55">
        <f>IF(SUMIFS(_book!$F$2:$F$379,_book!$A$2:$A$379,bkc_lob,_book!$B$2:$B$379,bkc_bu)=0,"n/a",SUMIFS(_book!$AM$2:$AM$379,_book!$A$2:$A$379,bkc_lob,_book!$B$2:$B$379,bkc_bu)/SUMIFS(_book!$F$2:$F$379,_book!$A$2:$A$379,bkc_lob,_book!$B$2:$B$379,bkc_bu))</f>
        <v>1.0003582089552239</v>
      </c>
      <c r="AA30" s="57">
        <f>IF(SUMIFS(_book!$F$2:$F$379,_book!$A$2:$A$379,bkc_lob,_book!$B$2:$B$379,bkc_bu)=0,"n/a",SUMIFS(_book!$AO$2:$AO$379,_book!$A$2:$A$379,bkc_lob,_book!$B$2:$B$379,bkc_bu)/SUMIFS(_book!$F$2:$F$379,_book!$A$2:$A$379,bkc_lob,_book!$B$2:$B$379,bkc_bu))</f>
        <v>0.6383994815534072</v>
      </c>
      <c r="AB30" s="58">
        <f>IF($B$30=0,"",($AA30-$W30*$X30*$Y30*$Z30)*100)</f>
        <v>1.0095531567166915E-3</v>
      </c>
      <c r="AC30" s="59">
        <f>IF(SUMIFS(_book!$F$2:$F$379,_book!$A$2:$A$379,bkc_lob,_book!$B$2:$B$379,bkc_bu)=0,"n/a",SUMIFS(_book!$AQ$2:$AQ$379,_book!$A$2:$A$379,bkc_lob,_book!$B$2:$B$379,bkc_bu)/SUMIFS(_book!$F$2:$F$379,_book!$A$2:$A$379,bkc_lob,_book!$B$2:$B$379,bkc_bu))</f>
        <v>2.1890547263681592E-4</v>
      </c>
      <c r="AD30" s="55">
        <f>IF(SUMIFS(_book!$F$2:$F$379,_book!$A$2:$A$379,bkc_lob,_book!$B$2:$B$379,bkc_bu)=0,"n/a",SUMIFS(_book!$AR$2:$AR$379,_book!$A$2:$A$379,bkc_lob,_book!$B$2:$B$379,bkc_bu)/SUMIFS(_book!$F$2:$F$379,_book!$A$2:$A$379,bkc_lob,_book!$B$2:$B$379,bkc_bu))</f>
        <v>0.98686775254312797</v>
      </c>
      <c r="AE30" s="55">
        <f>IF(SUMIFS(_book!$F$2:$F$379,_book!$A$2:$A$379,bkc_lob,_book!$B$2:$B$379,bkc_bu)=0,"n/a",SUMIFS(_book!$AS$2:$AS$379,_book!$A$2:$A$379,bkc_lob,_book!$B$2:$B$379,bkc_bu)/SUMIFS(_book!$F$2:$F$379,_book!$A$2:$A$379,bkc_lob,_book!$B$2:$B$379,bkc_bu))</f>
        <v>1.0047714004329933</v>
      </c>
      <c r="AF30" s="57">
        <f>IF(SUMIFS(_book!$F$2:$F$379,_book!$A$2:$A$379,bkc_lob,_book!$B$2:$B$379,bkc_bu)=0,"n/a",SUMIFS(_book!$AP$2:$AP$379,_book!$A$2:$A$379,bkc_lob,_book!$B$2:$B$379,bkc_bu)/SUMIFS(_book!$F$2:$F$379,_book!$A$2:$A$379,bkc_lob,_book!$B$2:$B$379,bkc_bu))</f>
        <v>0.62825697156966254</v>
      </c>
      <c r="AH30" s="56">
        <f>IF(SUMIFS(_book!$F$2:$F$379,_book!$A$2:$A$379,bkc_lob,_book!$B$2:$B$379,bkc_bu)=0,"n/a",SUMIFS(_book!$AT$2:$AT$379,_book!$A$2:$A$379,bkc_lob,_book!$B$2:$B$379,bkc_bu)/SUMIFS(_book!$F$2:$F$379,_book!$A$2:$A$379,bkc_lob,_book!$B$2:$B$379,bkc_bu))</f>
        <v>0.63832189345225843</v>
      </c>
      <c r="AI30" s="60">
        <f>IF($B$30=0,"",($AH30-$AA30)*100)</f>
        <v>-7.7588101148773347E-3</v>
      </c>
    </row>
    <row r="32" spans="1:35" x14ac:dyDescent="0.3">
      <c r="A32" s="9" t="s">
        <v>135</v>
      </c>
    </row>
    <row r="33" spans="1:1" x14ac:dyDescent="0.3">
      <c r="A33" s="9" t="s">
        <v>136</v>
      </c>
    </row>
    <row r="34" spans="1:1" x14ac:dyDescent="0.3">
      <c r="A34" s="9" t="s">
        <v>137</v>
      </c>
    </row>
    <row r="35" spans="1:1" x14ac:dyDescent="0.3">
      <c r="A35" s="9" t="s">
        <v>138</v>
      </c>
    </row>
  </sheetData>
  <pageMargins left="0.75" right="0.75" top="1" bottom="1" header="0.5" footer="0.5"/>
  <pageSetup fitToHeight="0" orientation="landscape"/>
  <headerFooter>
    <oddHeader>&amp;C&amp;"Calibri,Bold"&amp;10 CY Plan Loss Ratio Workbook</oddHeader>
    <oddFooter>&amp;L&amp;9 &amp;A&amp;R&amp;9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Q386"/>
  <sheetViews>
    <sheetView showGridLines="0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9" customWidth="1"/>
    <col min="3" max="3" width="7" customWidth="1"/>
    <col min="4" max="4" width="12" customWidth="1"/>
    <col min="5" max="6" width="11" customWidth="1"/>
    <col min="7" max="8" width="10" customWidth="1"/>
    <col min="9" max="11" width="12" customWidth="1"/>
    <col min="12" max="12" width="11" customWidth="1"/>
    <col min="13" max="13" width="10" customWidth="1"/>
    <col min="14" max="15" width="12" customWidth="1"/>
    <col min="16" max="16" width="8" customWidth="1"/>
    <col min="17" max="17" width="9" customWidth="1"/>
  </cols>
  <sheetData>
    <row r="1" spans="1:17" ht="21" x14ac:dyDescent="0.3">
      <c r="A1" s="1" t="s">
        <v>139</v>
      </c>
    </row>
    <row r="2" spans="1:17" x14ac:dyDescent="0.3">
      <c r="A2" s="2" t="s">
        <v>140</v>
      </c>
    </row>
    <row r="3" spans="1:17" x14ac:dyDescent="0.3">
      <c r="A3" s="7" t="s">
        <v>36</v>
      </c>
      <c r="C3" s="8" t="str">
        <f>HYPERLINK("#Control!A1","Control")</f>
        <v>Control</v>
      </c>
      <c r="E3" s="8" t="str">
        <f>HYPERLINK("#'State Summary'!A1","State Summary")</f>
        <v>State Summary</v>
      </c>
      <c r="G3" s="8" t="str">
        <f>HYPERLINK("#'Roll-ups'!A1","Roll-ups")</f>
        <v>Roll-ups</v>
      </c>
      <c r="I3" s="8" t="str">
        <f>HYPERLINK("#'Program Flow'!A1","Program Flow")</f>
        <v>Program Flow</v>
      </c>
      <c r="K3" s="8" t="str">
        <f>HYPERLINK("#Checks!A1","Checks")</f>
        <v>Checks</v>
      </c>
    </row>
    <row r="6" spans="1:17" ht="30" customHeight="1" x14ac:dyDescent="0.3">
      <c r="A6" s="19" t="s">
        <v>39</v>
      </c>
      <c r="B6" s="19" t="s">
        <v>141</v>
      </c>
      <c r="C6" s="19" t="s">
        <v>44</v>
      </c>
      <c r="D6" s="19" t="s">
        <v>106</v>
      </c>
      <c r="E6" s="19" t="s">
        <v>142</v>
      </c>
      <c r="F6" s="19" t="s">
        <v>143</v>
      </c>
      <c r="G6" s="19" t="s">
        <v>144</v>
      </c>
      <c r="H6" s="19" t="s">
        <v>145</v>
      </c>
      <c r="I6" s="19" t="s">
        <v>146</v>
      </c>
      <c r="J6" s="19" t="s">
        <v>132</v>
      </c>
      <c r="K6" s="19" t="s">
        <v>147</v>
      </c>
      <c r="L6" s="19" t="s">
        <v>148</v>
      </c>
      <c r="M6" s="19" t="s">
        <v>149</v>
      </c>
      <c r="N6" s="19" t="s">
        <v>150</v>
      </c>
      <c r="O6" s="19" t="s">
        <v>134</v>
      </c>
      <c r="P6" s="19" t="s">
        <v>119</v>
      </c>
      <c r="Q6" s="19" t="s">
        <v>120</v>
      </c>
    </row>
    <row r="7" spans="1:17" x14ac:dyDescent="0.3">
      <c r="A7" s="61" t="str">
        <f>_book!$A$2</f>
        <v>Property</v>
      </c>
      <c r="B7" s="61" t="str">
        <f>_book!$B$2</f>
        <v>ABD</v>
      </c>
      <c r="C7" s="61" t="str">
        <f>_book!$C$2</f>
        <v>AZ</v>
      </c>
      <c r="D7" s="62">
        <f>_book!$F$2</f>
        <v>36000</v>
      </c>
      <c r="E7" s="63">
        <f>_book!$N$2</f>
        <v>0.65</v>
      </c>
      <c r="F7" s="64">
        <f>_book!$K$2</f>
        <v>0.99306145153262859</v>
      </c>
      <c r="G7" s="64">
        <f>_book!$L$2</f>
        <v>0.98153851013092008</v>
      </c>
      <c r="H7" s="64">
        <f>_book!$M$2</f>
        <v>1</v>
      </c>
      <c r="I7" s="63">
        <f>_book!$O$2</f>
        <v>0.63357323744376037</v>
      </c>
      <c r="J7" s="63">
        <f>_book!$P$2</f>
        <v>0.59480029614224839</v>
      </c>
      <c r="K7" s="65">
        <f>_book!$T$2</f>
        <v>6.9870283018869106E-3</v>
      </c>
      <c r="L7" s="65">
        <f>_book!$U$2</f>
        <v>4.1162865591240383E-2</v>
      </c>
      <c r="M7" s="65" t="str">
        <f>IF(_book!$V$2=0,"—",_book!$W$2)</f>
        <v>—</v>
      </c>
      <c r="N7" s="63">
        <f>_book!$Y$2</f>
        <v>0.63357323744376037</v>
      </c>
      <c r="O7" s="66" t="str">
        <f>IF(_book!$V$2=0,"—",_book!$AA$2)</f>
        <v>—</v>
      </c>
      <c r="P7" s="67">
        <f>_book!$AC$2</f>
        <v>2</v>
      </c>
      <c r="Q7" s="67">
        <f>_book!$AD$2</f>
        <v>1</v>
      </c>
    </row>
    <row r="8" spans="1:17" x14ac:dyDescent="0.3">
      <c r="A8" s="61" t="str">
        <f>_book!$A$3</f>
        <v>Property</v>
      </c>
      <c r="B8" s="61" t="str">
        <f>_book!$B$3</f>
        <v>ABD</v>
      </c>
      <c r="C8" s="61" t="str">
        <f>_book!$C$3</f>
        <v>CO</v>
      </c>
      <c r="D8" s="62">
        <f>_book!$F$3</f>
        <v>94500</v>
      </c>
      <c r="E8" s="63">
        <f>_book!$N$3</f>
        <v>0.65800000000000003</v>
      </c>
      <c r="F8" s="64">
        <f>_book!$K$3</f>
        <v>0.98357003029225942</v>
      </c>
      <c r="G8" s="64">
        <f>_book!$L$3</f>
        <v>1.0107040659405591</v>
      </c>
      <c r="H8" s="64">
        <f>_book!$M$3</f>
        <v>1</v>
      </c>
      <c r="I8" s="63">
        <f>_book!$O$3</f>
        <v>0.65411663451991164</v>
      </c>
      <c r="J8" s="63">
        <f>_book!$P$3</f>
        <v>0.63702752681730224</v>
      </c>
      <c r="K8" s="65">
        <f>_book!$T$3</f>
        <v>1.6704422869471269E-2</v>
      </c>
      <c r="L8" s="65">
        <f>_book!$U$3</f>
        <v>2.277622455529826E-2</v>
      </c>
      <c r="M8" s="65" t="str">
        <f>IF(_book!$V$3=0,"—",_book!$W$3)</f>
        <v>—</v>
      </c>
      <c r="N8" s="63">
        <f>_book!$Y$3</f>
        <v>0.65411663451991164</v>
      </c>
      <c r="O8" s="66" t="str">
        <f>IF(_book!$V$3=0,"—",_book!$AA$3)</f>
        <v>—</v>
      </c>
      <c r="P8" s="67">
        <f>_book!$AC$3</f>
        <v>1</v>
      </c>
      <c r="Q8" s="67">
        <f>_book!$AD$3</f>
        <v>1</v>
      </c>
    </row>
    <row r="9" spans="1:17" x14ac:dyDescent="0.3">
      <c r="A9" s="61" t="str">
        <f>_book!$A$4</f>
        <v>Property</v>
      </c>
      <c r="B9" s="61" t="str">
        <f>_book!$B$4</f>
        <v>ABD</v>
      </c>
      <c r="C9" s="61" t="str">
        <f>_book!$C$4</f>
        <v>DE</v>
      </c>
      <c r="D9" s="62">
        <f>_book!$F$4</f>
        <v>76500</v>
      </c>
      <c r="E9" s="63">
        <f>_book!$N$4</f>
        <v>0.64200000000000002</v>
      </c>
      <c r="F9" s="64">
        <f>_book!$K$4</f>
        <v>1</v>
      </c>
      <c r="G9" s="64">
        <f>_book!$L$4</f>
        <v>1.0071190139247479</v>
      </c>
      <c r="H9" s="64">
        <f>_book!$M$4</f>
        <v>1</v>
      </c>
      <c r="I9" s="63">
        <f>_book!$O$4</f>
        <v>0.64657040693968815</v>
      </c>
      <c r="J9" s="63">
        <f>_book!$P$4</f>
        <v>0.636523863335545</v>
      </c>
      <c r="K9" s="65">
        <f>_book!$T$4</f>
        <v>0</v>
      </c>
      <c r="L9" s="65">
        <f>_book!$U$4</f>
        <v>0</v>
      </c>
      <c r="M9" s="65" t="str">
        <f>IF(_book!$V$4=0,"—",_book!$W$4)</f>
        <v>—</v>
      </c>
      <c r="N9" s="63">
        <f>_book!$Y$4</f>
        <v>0.64657040693968815</v>
      </c>
      <c r="O9" s="66" t="str">
        <f>IF(_book!$V$4=0,"—",_book!$AA$4)</f>
        <v>—</v>
      </c>
      <c r="P9" s="67">
        <f>_book!$AC$4</f>
        <v>0</v>
      </c>
      <c r="Q9" s="67">
        <f>_book!$AD$4</f>
        <v>0</v>
      </c>
    </row>
    <row r="10" spans="1:17" x14ac:dyDescent="0.3">
      <c r="A10" s="61" t="str">
        <f>_book!$A$5</f>
        <v>Property</v>
      </c>
      <c r="B10" s="61" t="str">
        <f>_book!$B$5</f>
        <v>ABD</v>
      </c>
      <c r="C10" s="61" t="str">
        <f>_book!$C$5</f>
        <v>FL</v>
      </c>
      <c r="D10" s="62">
        <f>_book!$F$5</f>
        <v>58500</v>
      </c>
      <c r="E10" s="63">
        <f>_book!$N$5</f>
        <v>0.67</v>
      </c>
      <c r="F10" s="64">
        <f>_book!$K$5</f>
        <v>1.0014903129657231</v>
      </c>
      <c r="G10" s="64">
        <f>_book!$L$5</f>
        <v>1</v>
      </c>
      <c r="H10" s="64">
        <f>_book!$M$5</f>
        <v>1</v>
      </c>
      <c r="I10" s="63">
        <f>_book!$O$5</f>
        <v>0.67099850968703434</v>
      </c>
      <c r="J10" s="63">
        <f>_book!$P$5</f>
        <v>0.67</v>
      </c>
      <c r="K10" s="65">
        <f>_book!$T$5</f>
        <v>-1.488095238095344E-3</v>
      </c>
      <c r="L10" s="65">
        <f>_book!$U$5</f>
        <v>1.490312965722884E-3</v>
      </c>
      <c r="M10" s="65" t="str">
        <f>IF(_book!$V$5=0,"—",_book!$W$5)</f>
        <v>—</v>
      </c>
      <c r="N10" s="63">
        <f>_book!$Y$5</f>
        <v>0.67099850968703434</v>
      </c>
      <c r="O10" s="66" t="str">
        <f>IF(_book!$V$5=0,"—",_book!$AA$5)</f>
        <v>—</v>
      </c>
      <c r="P10" s="67">
        <f>_book!$AC$5</f>
        <v>1</v>
      </c>
      <c r="Q10" s="67">
        <f>_book!$AD$5</f>
        <v>0</v>
      </c>
    </row>
    <row r="11" spans="1:17" x14ac:dyDescent="0.3">
      <c r="A11" s="61" t="str">
        <f>_book!$A$6</f>
        <v>Property</v>
      </c>
      <c r="B11" s="61" t="str">
        <f>_book!$B$6</f>
        <v>ABD</v>
      </c>
      <c r="C11" s="61" t="str">
        <f>_book!$C$6</f>
        <v>GA</v>
      </c>
      <c r="D11" s="62">
        <f>_book!$F$6</f>
        <v>40500</v>
      </c>
      <c r="E11" s="63">
        <f>_book!$N$6</f>
        <v>0.65400000000000003</v>
      </c>
      <c r="F11" s="64">
        <f>_book!$K$6</f>
        <v>1.0031545741324921</v>
      </c>
      <c r="G11" s="64">
        <f>_book!$L$6</f>
        <v>1.0083112020337539</v>
      </c>
      <c r="H11" s="64">
        <f>_book!$M$6</f>
        <v>1</v>
      </c>
      <c r="I11" s="63">
        <f>_book!$O$6</f>
        <v>0.6615157643828512</v>
      </c>
      <c r="J11" s="63">
        <f>_book!$P$6</f>
        <v>0.65171169872378332</v>
      </c>
      <c r="K11" s="65">
        <f>_book!$T$6</f>
        <v>-3.1446540880502032E-3</v>
      </c>
      <c r="L11" s="65">
        <f>_book!$U$6</f>
        <v>3.154574132492094E-3</v>
      </c>
      <c r="M11" s="65" t="str">
        <f>IF(_book!$V$6=0,"—",_book!$W$6)</f>
        <v>—</v>
      </c>
      <c r="N11" s="63">
        <f>_book!$Y$6</f>
        <v>0.6615157643828512</v>
      </c>
      <c r="O11" s="66" t="str">
        <f>IF(_book!$V$6=0,"—",_book!$AA$6)</f>
        <v>—</v>
      </c>
      <c r="P11" s="67">
        <f>_book!$AC$6</f>
        <v>1</v>
      </c>
      <c r="Q11" s="67">
        <f>_book!$AD$6</f>
        <v>0</v>
      </c>
    </row>
    <row r="12" spans="1:17" x14ac:dyDescent="0.3">
      <c r="A12" s="61" t="str">
        <f>_book!$A$7</f>
        <v>Property</v>
      </c>
      <c r="B12" s="61" t="str">
        <f>_book!$B$7</f>
        <v>ABD</v>
      </c>
      <c r="C12" s="61" t="str">
        <f>_book!$C$7</f>
        <v>IA</v>
      </c>
      <c r="D12" s="62">
        <f>_book!$F$7</f>
        <v>99000</v>
      </c>
      <c r="E12" s="63">
        <f>_book!$N$7</f>
        <v>0.63800000000000001</v>
      </c>
      <c r="F12" s="64">
        <f>_book!$K$7</f>
        <v>0.99694186360817705</v>
      </c>
      <c r="G12" s="64">
        <f>_book!$L$7</f>
        <v>1.0143083132694679</v>
      </c>
      <c r="H12" s="64">
        <f>_book!$M$7</f>
        <v>1</v>
      </c>
      <c r="I12" s="63">
        <f>_book!$O$7</f>
        <v>0.64514969602643479</v>
      </c>
      <c r="J12" s="63">
        <f>_book!$P$7</f>
        <v>0.62544634962153212</v>
      </c>
      <c r="K12" s="65">
        <f>_book!$T$7</f>
        <v>3.0675172780434412E-3</v>
      </c>
      <c r="L12" s="65">
        <f>_book!$U$7</f>
        <v>3.3357934459420369E-2</v>
      </c>
      <c r="M12" s="65" t="str">
        <f>IF(_book!$V$7=0,"—",_book!$W$7)</f>
        <v>—</v>
      </c>
      <c r="N12" s="63">
        <f>_book!$Y$7</f>
        <v>0.64514969602643479</v>
      </c>
      <c r="O12" s="66" t="str">
        <f>IF(_book!$V$7=0,"—",_book!$AA$7)</f>
        <v>—</v>
      </c>
      <c r="P12" s="67">
        <f>_book!$AC$7</f>
        <v>1</v>
      </c>
      <c r="Q12" s="67">
        <f>_book!$AD$7</f>
        <v>1</v>
      </c>
    </row>
    <row r="13" spans="1:17" x14ac:dyDescent="0.3">
      <c r="A13" s="61" t="str">
        <f>_book!$A$8</f>
        <v>Property</v>
      </c>
      <c r="B13" s="61" t="str">
        <f>_book!$B$8</f>
        <v>ABD</v>
      </c>
      <c r="C13" s="61" t="str">
        <f>_book!$C$8</f>
        <v>IL</v>
      </c>
      <c r="D13" s="62">
        <f>_book!$F$8</f>
        <v>81000</v>
      </c>
      <c r="E13" s="63">
        <f>_book!$N$8</f>
        <v>0.66600000000000004</v>
      </c>
      <c r="F13" s="64">
        <f>_book!$K$8</f>
        <v>1.003654080389768</v>
      </c>
      <c r="G13" s="64">
        <f>_book!$L$8</f>
        <v>1.0095062160192581</v>
      </c>
      <c r="H13" s="64">
        <f>_book!$M$8</f>
        <v>1</v>
      </c>
      <c r="I13" s="63">
        <f>_book!$O$8</f>
        <v>0.67478789190245081</v>
      </c>
      <c r="J13" s="63">
        <f>_book!$P$8</f>
        <v>0.66705445113423401</v>
      </c>
      <c r="K13" s="65">
        <f>_book!$T$8</f>
        <v>-3.640776699028847E-3</v>
      </c>
      <c r="L13" s="65">
        <f>_book!$U$8</f>
        <v>3.6540803897684442E-3</v>
      </c>
      <c r="M13" s="65" t="str">
        <f>IF(_book!$V$8=0,"—",_book!$W$8)</f>
        <v>—</v>
      </c>
      <c r="N13" s="63">
        <f>_book!$Y$8</f>
        <v>0.67478789190245081</v>
      </c>
      <c r="O13" s="66" t="str">
        <f>IF(_book!$V$8=0,"—",_book!$AA$8)</f>
        <v>—</v>
      </c>
      <c r="P13" s="67">
        <f>_book!$AC$8</f>
        <v>1</v>
      </c>
      <c r="Q13" s="67">
        <f>_book!$AD$8</f>
        <v>0</v>
      </c>
    </row>
    <row r="14" spans="1:17" x14ac:dyDescent="0.3">
      <c r="A14" s="61" t="str">
        <f>_book!$A$9</f>
        <v>Property</v>
      </c>
      <c r="B14" s="61" t="str">
        <f>_book!$B$9</f>
        <v>ABD</v>
      </c>
      <c r="C14" s="61" t="str">
        <f>_book!$C$9</f>
        <v>IN</v>
      </c>
      <c r="D14" s="62">
        <f>_book!$F$9</f>
        <v>63000</v>
      </c>
      <c r="E14" s="63">
        <f>_book!$N$9</f>
        <v>0.65</v>
      </c>
      <c r="F14" s="64">
        <f>_book!$K$9</f>
        <v>1.006586906842317</v>
      </c>
      <c r="G14" s="64">
        <f>_book!$L$9</f>
        <v>1.0143147326309969</v>
      </c>
      <c r="H14" s="64">
        <f>_book!$M$9</f>
        <v>1</v>
      </c>
      <c r="I14" s="63">
        <f>_book!$O$9</f>
        <v>0.66364735403435804</v>
      </c>
      <c r="J14" s="63">
        <f>_book!$P$9</f>
        <v>0.6645867857816059</v>
      </c>
      <c r="K14" s="65">
        <f>_book!$T$9</f>
        <v>-6.54380341880334E-3</v>
      </c>
      <c r="L14" s="65">
        <f>_book!$U$9</f>
        <v>6.5869068423176644E-3</v>
      </c>
      <c r="M14" s="65" t="str">
        <f>IF(_book!$V$9=0,"—",_book!$W$9)</f>
        <v>—</v>
      </c>
      <c r="N14" s="63">
        <f>_book!$Y$9</f>
        <v>0.66364735403435804</v>
      </c>
      <c r="O14" s="66" t="str">
        <f>IF(_book!$V$9=0,"—",_book!$AA$9)</f>
        <v>—</v>
      </c>
      <c r="P14" s="67">
        <f>_book!$AC$9</f>
        <v>1</v>
      </c>
      <c r="Q14" s="67">
        <f>_book!$AD$9</f>
        <v>0</v>
      </c>
    </row>
    <row r="15" spans="1:17" x14ac:dyDescent="0.3">
      <c r="A15" s="61" t="str">
        <f>_book!$A$10</f>
        <v>Property</v>
      </c>
      <c r="B15" s="61" t="str">
        <f>_book!$B$10</f>
        <v>ABD</v>
      </c>
      <c r="C15" s="61" t="str">
        <f>_book!$C$10</f>
        <v>KY</v>
      </c>
      <c r="D15" s="62">
        <f>_book!$F$10</f>
        <v>45000</v>
      </c>
      <c r="E15" s="63">
        <f>_book!$N$10</f>
        <v>0.63400000000000001</v>
      </c>
      <c r="F15" s="64">
        <f>_book!$K$10</f>
        <v>1</v>
      </c>
      <c r="G15" s="64">
        <f>_book!$L$10</f>
        <v>1.0107040659405591</v>
      </c>
      <c r="H15" s="64">
        <f>_book!$M$10</f>
        <v>1</v>
      </c>
      <c r="I15" s="63">
        <f>_book!$O$10</f>
        <v>0.64078637780631431</v>
      </c>
      <c r="J15" s="63">
        <f>_book!$P$10</f>
        <v>0.63825893050072702</v>
      </c>
      <c r="K15" s="65">
        <f>_book!$T$10</f>
        <v>0</v>
      </c>
      <c r="L15" s="65">
        <f>_book!$U$10</f>
        <v>0</v>
      </c>
      <c r="M15" s="65" t="str">
        <f>IF(_book!$V$10=0,"—",_book!$W$10)</f>
        <v>—</v>
      </c>
      <c r="N15" s="63">
        <f>_book!$Y$10</f>
        <v>0.64078637780631431</v>
      </c>
      <c r="O15" s="66" t="str">
        <f>IF(_book!$V$10=0,"—",_book!$AA$10)</f>
        <v>—</v>
      </c>
      <c r="P15" s="67">
        <f>_book!$AC$10</f>
        <v>0</v>
      </c>
      <c r="Q15" s="67">
        <f>_book!$AD$10</f>
        <v>0</v>
      </c>
    </row>
    <row r="16" spans="1:17" x14ac:dyDescent="0.3">
      <c r="A16" s="61" t="str">
        <f>_book!$A$11</f>
        <v>Property</v>
      </c>
      <c r="B16" s="61" t="str">
        <f>_book!$B$11</f>
        <v>ABD</v>
      </c>
      <c r="C16" s="61" t="str">
        <f>_book!$C$11</f>
        <v>MD</v>
      </c>
      <c r="D16" s="62">
        <f>_book!$F$11</f>
        <v>103500</v>
      </c>
      <c r="E16" s="63">
        <f>_book!$N$11</f>
        <v>0.66200000000000003</v>
      </c>
      <c r="F16" s="64">
        <f>_book!$K$11</f>
        <v>1.0148882186796879</v>
      </c>
      <c r="G16" s="64">
        <f>_book!$L$11</f>
        <v>1.0071190139247479</v>
      </c>
      <c r="H16" s="64">
        <f>_book!$M$11</f>
        <v>1</v>
      </c>
      <c r="I16" s="63">
        <f>_book!$O$11</f>
        <v>0.67663895299083165</v>
      </c>
      <c r="J16" s="63">
        <f>_book!$P$11</f>
        <v>0.63801046627244096</v>
      </c>
      <c r="K16" s="65">
        <f>_book!$T$11</f>
        <v>-1.466981132075462E-2</v>
      </c>
      <c r="L16" s="65">
        <f>_book!$U$11</f>
        <v>4.4066254966729002E-2</v>
      </c>
      <c r="M16" s="65" t="str">
        <f>IF(_book!$V$11=0,"—",_book!$W$11)</f>
        <v>—</v>
      </c>
      <c r="N16" s="63">
        <f>_book!$Y$11</f>
        <v>0.67663895299083165</v>
      </c>
      <c r="O16" s="66" t="str">
        <f>IF(_book!$V$11=0,"—",_book!$AA$11)</f>
        <v>—</v>
      </c>
      <c r="P16" s="67">
        <f>_book!$AC$11</f>
        <v>1</v>
      </c>
      <c r="Q16" s="67">
        <f>_book!$AD$11</f>
        <v>1</v>
      </c>
    </row>
    <row r="17" spans="1:17" x14ac:dyDescent="0.3">
      <c r="A17" s="61" t="str">
        <f>_book!$A$12</f>
        <v>Property</v>
      </c>
      <c r="B17" s="61" t="str">
        <f>_book!$B$12</f>
        <v>ABD</v>
      </c>
      <c r="C17" s="61" t="str">
        <f>_book!$C$12</f>
        <v>MI</v>
      </c>
      <c r="D17" s="62">
        <f>_book!$F$12</f>
        <v>85500</v>
      </c>
      <c r="E17" s="63">
        <f>_book!$N$12</f>
        <v>0.64600000000000002</v>
      </c>
      <c r="F17" s="64">
        <f>_book!$K$12</f>
        <v>1.0068549492733749</v>
      </c>
      <c r="G17" s="64">
        <f>_book!$L$12</f>
        <v>1.0119047619047621</v>
      </c>
      <c r="H17" s="64">
        <f>_book!$M$12</f>
        <v>1</v>
      </c>
      <c r="I17" s="63">
        <f>_book!$O$12</f>
        <v>0.65817149124525043</v>
      </c>
      <c r="J17" s="63">
        <f>_book!$P$12</f>
        <v>0.65369047619047627</v>
      </c>
      <c r="K17" s="65">
        <f>_book!$T$12</f>
        <v>-6.8082788671023353E-3</v>
      </c>
      <c r="L17" s="65">
        <f>_book!$U$12</f>
        <v>6.8549492733751549E-3</v>
      </c>
      <c r="M17" s="65" t="str">
        <f>IF(_book!$V$12=0,"—",_book!$W$12)</f>
        <v>—</v>
      </c>
      <c r="N17" s="63">
        <f>_book!$Y$12</f>
        <v>0.65817149124525043</v>
      </c>
      <c r="O17" s="66" t="str">
        <f>IF(_book!$V$12=0,"—",_book!$AA$12)</f>
        <v>—</v>
      </c>
      <c r="P17" s="67">
        <f>_book!$AC$12</f>
        <v>1</v>
      </c>
      <c r="Q17" s="67">
        <f>_book!$AD$12</f>
        <v>0</v>
      </c>
    </row>
    <row r="18" spans="1:17" x14ac:dyDescent="0.3">
      <c r="A18" s="61" t="str">
        <f>_book!$A$13</f>
        <v>Property</v>
      </c>
      <c r="B18" s="61" t="str">
        <f>_book!$B$13</f>
        <v>ABD</v>
      </c>
      <c r="C18" s="61" t="str">
        <f>_book!$C$13</f>
        <v>MN</v>
      </c>
      <c r="D18" s="62">
        <f>_book!$F$13</f>
        <v>67500</v>
      </c>
      <c r="E18" s="63">
        <f>_book!$N$13</f>
        <v>0.63</v>
      </c>
      <c r="F18" s="64">
        <f>_book!$K$13</f>
        <v>1</v>
      </c>
      <c r="G18" s="64">
        <f>_book!$L$13</f>
        <v>1.0083112020337539</v>
      </c>
      <c r="H18" s="64">
        <f>_book!$M$13</f>
        <v>1</v>
      </c>
      <c r="I18" s="63">
        <f>_book!$O$13</f>
        <v>0.63523605728126498</v>
      </c>
      <c r="J18" s="63">
        <f>_book!$P$13</f>
        <v>0.62779567308254369</v>
      </c>
      <c r="K18" s="65">
        <f>_book!$T$13</f>
        <v>0</v>
      </c>
      <c r="L18" s="65">
        <f>_book!$U$13</f>
        <v>0</v>
      </c>
      <c r="M18" s="65" t="str">
        <f>IF(_book!$V$13=0,"—",_book!$W$13)</f>
        <v>—</v>
      </c>
      <c r="N18" s="63">
        <f>_book!$Y$13</f>
        <v>0.63523605728126498</v>
      </c>
      <c r="O18" s="66" t="str">
        <f>IF(_book!$V$13=0,"—",_book!$AA$13)</f>
        <v>—</v>
      </c>
      <c r="P18" s="67">
        <f>_book!$AC$13</f>
        <v>0</v>
      </c>
      <c r="Q18" s="67">
        <f>_book!$AD$13</f>
        <v>0</v>
      </c>
    </row>
    <row r="19" spans="1:17" x14ac:dyDescent="0.3">
      <c r="A19" s="61" t="str">
        <f>_book!$A$14</f>
        <v>Property</v>
      </c>
      <c r="B19" s="61" t="str">
        <f>_book!$B$14</f>
        <v>ABD</v>
      </c>
      <c r="C19" s="61" t="str">
        <f>_book!$C$14</f>
        <v>NM</v>
      </c>
      <c r="D19" s="62">
        <f>_book!$F$14</f>
        <v>49500</v>
      </c>
      <c r="E19" s="63">
        <f>_book!$N$14</f>
        <v>0.65800000000000003</v>
      </c>
      <c r="F19" s="64">
        <f>_book!$K$14</f>
        <v>0.99999999999999978</v>
      </c>
      <c r="G19" s="64">
        <f>_book!$L$14</f>
        <v>1.0131083140670549</v>
      </c>
      <c r="H19" s="64">
        <f>_book!$M$14</f>
        <v>1</v>
      </c>
      <c r="I19" s="63">
        <f>_book!$O$14</f>
        <v>0.66662527065612187</v>
      </c>
      <c r="J19" s="63">
        <f>_book!$P$14</f>
        <v>0.66928187046593102</v>
      </c>
      <c r="K19" s="65">
        <f>_book!$T$14</f>
        <v>0</v>
      </c>
      <c r="L19" s="65">
        <f>_book!$U$14</f>
        <v>0</v>
      </c>
      <c r="M19" s="65" t="str">
        <f>IF(_book!$V$14=0,"—",_book!$W$14)</f>
        <v>—</v>
      </c>
      <c r="N19" s="63">
        <f>_book!$Y$14</f>
        <v>0.66662527065612187</v>
      </c>
      <c r="O19" s="66" t="str">
        <f>IF(_book!$V$14=0,"—",_book!$AA$14)</f>
        <v>—</v>
      </c>
      <c r="P19" s="67">
        <f>_book!$AC$14</f>
        <v>1</v>
      </c>
      <c r="Q19" s="67">
        <f>_book!$AD$14</f>
        <v>0</v>
      </c>
    </row>
    <row r="20" spans="1:17" x14ac:dyDescent="0.3">
      <c r="A20" s="61" t="str">
        <f>_book!$A$15</f>
        <v>Property</v>
      </c>
      <c r="B20" s="61" t="str">
        <f>_book!$B$15</f>
        <v>ABD</v>
      </c>
      <c r="C20" s="61" t="str">
        <f>_book!$C$15</f>
        <v>NC</v>
      </c>
      <c r="D20" s="62">
        <f>_book!$F$15</f>
        <v>108000</v>
      </c>
      <c r="E20" s="63">
        <f>_book!$N$15</f>
        <v>0.64200000000000002</v>
      </c>
      <c r="F20" s="64">
        <f>_book!$K$15</f>
        <v>0.9890368664800232</v>
      </c>
      <c r="G20" s="64">
        <f>_book!$L$15</f>
        <v>1.0095062160192581</v>
      </c>
      <c r="H20" s="64">
        <f>_book!$M$15</f>
        <v>1</v>
      </c>
      <c r="I20" s="63">
        <f>_book!$O$15</f>
        <v>0.64099775106279444</v>
      </c>
      <c r="J20" s="63">
        <f>_book!$P$15</f>
        <v>0.61902907619269565</v>
      </c>
      <c r="K20" s="65">
        <f>_book!$T$15</f>
        <v>1.108465608465603E-2</v>
      </c>
      <c r="L20" s="65">
        <f>_book!$U$15</f>
        <v>2.7362045056124051E-2</v>
      </c>
      <c r="M20" s="65" t="str">
        <f>IF(_book!$V$15=0,"—",_book!$W$15)</f>
        <v>—</v>
      </c>
      <c r="N20" s="63">
        <f>_book!$Y$15</f>
        <v>0.64099775106279444</v>
      </c>
      <c r="O20" s="66" t="str">
        <f>IF(_book!$V$15=0,"—",_book!$AA$15)</f>
        <v>—</v>
      </c>
      <c r="P20" s="67">
        <f>_book!$AC$15</f>
        <v>1</v>
      </c>
      <c r="Q20" s="67">
        <f>_book!$AD$15</f>
        <v>1</v>
      </c>
    </row>
    <row r="21" spans="1:17" x14ac:dyDescent="0.3">
      <c r="A21" s="61" t="str">
        <f>_book!$A$16</f>
        <v>Property</v>
      </c>
      <c r="B21" s="61" t="str">
        <f>_book!$B$16</f>
        <v>ABD</v>
      </c>
      <c r="C21" s="61" t="str">
        <f>_book!$C$16</f>
        <v>OH</v>
      </c>
      <c r="D21" s="62">
        <f>_book!$F$16</f>
        <v>90000</v>
      </c>
      <c r="E21" s="63">
        <f>_book!$N$16</f>
        <v>0.67</v>
      </c>
      <c r="F21" s="64">
        <f>_book!$K$16</f>
        <v>1</v>
      </c>
      <c r="G21" s="64">
        <f>_book!$L$16</f>
        <v>1.0143147326309969</v>
      </c>
      <c r="H21" s="64">
        <f>_book!$M$16</f>
        <v>1</v>
      </c>
      <c r="I21" s="63">
        <f>_book!$O$16</f>
        <v>0.67959087086276815</v>
      </c>
      <c r="J21" s="63">
        <f>_book!$P$16</f>
        <v>0.68503560995950163</v>
      </c>
      <c r="K21" s="65">
        <f>_book!$T$16</f>
        <v>0</v>
      </c>
      <c r="L21" s="65">
        <f>_book!$U$16</f>
        <v>0</v>
      </c>
      <c r="M21" s="65" t="str">
        <f>IF(_book!$V$16=0,"—",_book!$W$16)</f>
        <v>—</v>
      </c>
      <c r="N21" s="63">
        <f>_book!$Y$16</f>
        <v>0.67959087086276815</v>
      </c>
      <c r="O21" s="66" t="str">
        <f>IF(_book!$V$16=0,"—",_book!$AA$16)</f>
        <v>—</v>
      </c>
      <c r="P21" s="67">
        <f>_book!$AC$16</f>
        <v>0</v>
      </c>
      <c r="Q21" s="67">
        <f>_book!$AD$16</f>
        <v>0</v>
      </c>
    </row>
    <row r="22" spans="1:17" x14ac:dyDescent="0.3">
      <c r="A22" s="61" t="str">
        <f>_book!$A$17</f>
        <v>Property</v>
      </c>
      <c r="B22" s="61" t="str">
        <f>_book!$B$17</f>
        <v>ABD</v>
      </c>
      <c r="C22" s="61" t="str">
        <f>_book!$C$17</f>
        <v>PA</v>
      </c>
      <c r="D22" s="62">
        <f>_book!$F$17</f>
        <v>72000</v>
      </c>
      <c r="E22" s="63">
        <f>_book!$N$17</f>
        <v>0.65400000000000003</v>
      </c>
      <c r="F22" s="64">
        <f>_book!$K$17</f>
        <v>1.000613120784795</v>
      </c>
      <c r="G22" s="64">
        <f>_book!$L$17</f>
        <v>1.0107040659405591</v>
      </c>
      <c r="H22" s="64">
        <f>_book!$M$17</f>
        <v>1</v>
      </c>
      <c r="I22" s="63">
        <f>_book!$O$17</f>
        <v>0.66140573224537402</v>
      </c>
      <c r="J22" s="63">
        <f>_book!$P$17</f>
        <v>0.65839328162062394</v>
      </c>
      <c r="K22" s="65">
        <f>_book!$T$17</f>
        <v>-6.1274509803932453E-4</v>
      </c>
      <c r="L22" s="65">
        <f>_book!$U$17</f>
        <v>6.1312078479458521E-4</v>
      </c>
      <c r="M22" s="65" t="str">
        <f>IF(_book!$V$17=0,"—",_book!$W$17)</f>
        <v>—</v>
      </c>
      <c r="N22" s="63">
        <f>_book!$Y$17</f>
        <v>0.66140573224537402</v>
      </c>
      <c r="O22" s="66" t="str">
        <f>IF(_book!$V$17=0,"—",_book!$AA$17)</f>
        <v>—</v>
      </c>
      <c r="P22" s="67">
        <f>_book!$AC$17</f>
        <v>1</v>
      </c>
      <c r="Q22" s="67">
        <f>_book!$AD$17</f>
        <v>0</v>
      </c>
    </row>
    <row r="23" spans="1:17" x14ac:dyDescent="0.3">
      <c r="A23" s="61" t="str">
        <f>_book!$A$18</f>
        <v>Property</v>
      </c>
      <c r="B23" s="61" t="str">
        <f>_book!$B$18</f>
        <v>ABD</v>
      </c>
      <c r="C23" s="61" t="str">
        <f>_book!$C$18</f>
        <v>SC</v>
      </c>
      <c r="D23" s="62">
        <f>_book!$F$18</f>
        <v>54000</v>
      </c>
      <c r="E23" s="63">
        <f>_book!$N$18</f>
        <v>0.63800000000000001</v>
      </c>
      <c r="F23" s="64">
        <f>_book!$K$18</f>
        <v>1.00162074554295</v>
      </c>
      <c r="G23" s="64">
        <f>_book!$L$18</f>
        <v>1.0071190139247479</v>
      </c>
      <c r="H23" s="64">
        <f>_book!$M$18</f>
        <v>1</v>
      </c>
      <c r="I23" s="63">
        <f>_book!$O$18</f>
        <v>0.64358332785462757</v>
      </c>
      <c r="J23" s="63">
        <f>_book!$P$18</f>
        <v>0.63255798256709916</v>
      </c>
      <c r="K23" s="65">
        <f>_book!$T$18</f>
        <v>-1.618122977346093E-3</v>
      </c>
      <c r="L23" s="65">
        <f>_book!$U$18</f>
        <v>1.620745542949775E-3</v>
      </c>
      <c r="M23" s="65" t="str">
        <f>IF(_book!$V$18=0,"—",_book!$W$18)</f>
        <v>—</v>
      </c>
      <c r="N23" s="63">
        <f>_book!$Y$18</f>
        <v>0.64358332785462757</v>
      </c>
      <c r="O23" s="66" t="str">
        <f>IF(_book!$V$18=0,"—",_book!$AA$18)</f>
        <v>—</v>
      </c>
      <c r="P23" s="67">
        <f>_book!$AC$18</f>
        <v>1</v>
      </c>
      <c r="Q23" s="67">
        <f>_book!$AD$18</f>
        <v>0</v>
      </c>
    </row>
    <row r="24" spans="1:17" x14ac:dyDescent="0.3">
      <c r="A24" s="61" t="str">
        <f>_book!$A$19</f>
        <v>Property</v>
      </c>
      <c r="B24" s="61" t="str">
        <f>_book!$B$19</f>
        <v>ABD</v>
      </c>
      <c r="C24" s="61" t="str">
        <f>_book!$C$19</f>
        <v>TN</v>
      </c>
      <c r="D24" s="62">
        <f>_book!$F$19</f>
        <v>36000</v>
      </c>
      <c r="E24" s="63">
        <f>_book!$N$19</f>
        <v>0.66600000000000004</v>
      </c>
      <c r="F24" s="64">
        <f>_book!$K$19</f>
        <v>0.9965397923875432</v>
      </c>
      <c r="G24" s="64">
        <f>_book!$L$19</f>
        <v>1.0119047619047621</v>
      </c>
      <c r="H24" s="64">
        <f>_book!$M$19</f>
        <v>1</v>
      </c>
      <c r="I24" s="63">
        <f>_book!$O$19</f>
        <v>0.67159663865546215</v>
      </c>
      <c r="J24" s="63">
        <f>_book!$P$19</f>
        <v>0.65227661167975726</v>
      </c>
      <c r="K24" s="65">
        <f>_book!$T$19</f>
        <v>3.4722222222223209E-3</v>
      </c>
      <c r="L24" s="65">
        <f>_book!$U$19</f>
        <v>2.9619377162629631E-2</v>
      </c>
      <c r="M24" s="65" t="str">
        <f>IF(_book!$V$19=0,"—",_book!$W$19)</f>
        <v>—</v>
      </c>
      <c r="N24" s="63">
        <f>_book!$Y$19</f>
        <v>0.67159663865546215</v>
      </c>
      <c r="O24" s="66" t="str">
        <f>IF(_book!$V$19=0,"—",_book!$AA$19)</f>
        <v>—</v>
      </c>
      <c r="P24" s="67">
        <f>_book!$AC$19</f>
        <v>0</v>
      </c>
      <c r="Q24" s="67">
        <f>_book!$AD$19</f>
        <v>1</v>
      </c>
    </row>
    <row r="25" spans="1:17" x14ac:dyDescent="0.3">
      <c r="A25" s="61" t="str">
        <f>_book!$A$20</f>
        <v>Property</v>
      </c>
      <c r="B25" s="61" t="str">
        <f>_book!$B$20</f>
        <v>ABD</v>
      </c>
      <c r="C25" s="61" t="str">
        <f>_book!$C$20</f>
        <v>VA</v>
      </c>
      <c r="D25" s="62">
        <f>_book!$F$20</f>
        <v>94500</v>
      </c>
      <c r="E25" s="63">
        <f>_book!$N$20</f>
        <v>0.65</v>
      </c>
      <c r="F25" s="64">
        <f>_book!$K$20</f>
        <v>1.005988023952096</v>
      </c>
      <c r="G25" s="64">
        <f>_book!$L$20</f>
        <v>1.0083112020337539</v>
      </c>
      <c r="H25" s="64">
        <f>_book!$M$20</f>
        <v>1</v>
      </c>
      <c r="I25" s="63">
        <f>_book!$O$20</f>
        <v>0.65932684588075419</v>
      </c>
      <c r="J25" s="63">
        <f>_book!$P$20</f>
        <v>0.64772569445024353</v>
      </c>
      <c r="K25" s="65">
        <f>_book!$T$20</f>
        <v>-5.9523809523810423E-3</v>
      </c>
      <c r="L25" s="65">
        <f>_book!$U$20</f>
        <v>5.9880239520959666E-3</v>
      </c>
      <c r="M25" s="65" t="str">
        <f>IF(_book!$V$20=0,"—",_book!$W$20)</f>
        <v>—</v>
      </c>
      <c r="N25" s="63">
        <f>_book!$Y$20</f>
        <v>0.65932684588075419</v>
      </c>
      <c r="O25" s="66" t="str">
        <f>IF(_book!$V$20=0,"—",_book!$AA$20)</f>
        <v>—</v>
      </c>
      <c r="P25" s="67">
        <f>_book!$AC$20</f>
        <v>1</v>
      </c>
      <c r="Q25" s="67">
        <f>_book!$AD$20</f>
        <v>0</v>
      </c>
    </row>
    <row r="26" spans="1:17" x14ac:dyDescent="0.3">
      <c r="A26" s="61" t="str">
        <f>_book!$A$21</f>
        <v>Property</v>
      </c>
      <c r="B26" s="61" t="str">
        <f>_book!$B$21</f>
        <v>ABD</v>
      </c>
      <c r="C26" s="61" t="str">
        <f>_book!$C$21</f>
        <v>WV</v>
      </c>
      <c r="D26" s="62">
        <f>_book!$F$21</f>
        <v>76500</v>
      </c>
      <c r="E26" s="63">
        <f>_book!$N$21</f>
        <v>0.63400000000000001</v>
      </c>
      <c r="F26" s="64">
        <f>_book!$K$21</f>
        <v>1.009724151617384</v>
      </c>
      <c r="G26" s="64">
        <f>_book!$L$21</f>
        <v>1.0131083140670549</v>
      </c>
      <c r="H26" s="64">
        <f>_book!$M$21</f>
        <v>1</v>
      </c>
      <c r="I26" s="63">
        <f>_book!$O$21</f>
        <v>0.6485565974699331</v>
      </c>
      <c r="J26" s="63">
        <f>_book!$P$21</f>
        <v>0.64487037367082101</v>
      </c>
      <c r="K26" s="65">
        <f>_book!$T$21</f>
        <v>-9.630503144654079E-3</v>
      </c>
      <c r="L26" s="65">
        <f>_book!$U$21</f>
        <v>9.7241516173847131E-3</v>
      </c>
      <c r="M26" s="65" t="str">
        <f>IF(_book!$V$21=0,"—",_book!$W$21)</f>
        <v>—</v>
      </c>
      <c r="N26" s="63">
        <f>_book!$Y$21</f>
        <v>0.6485565974699331</v>
      </c>
      <c r="O26" s="66" t="str">
        <f>IF(_book!$V$21=0,"—",_book!$AA$21)</f>
        <v>—</v>
      </c>
      <c r="P26" s="67">
        <f>_book!$AC$21</f>
        <v>1</v>
      </c>
      <c r="Q26" s="67">
        <f>_book!$AD$21</f>
        <v>0</v>
      </c>
    </row>
    <row r="27" spans="1:17" x14ac:dyDescent="0.3">
      <c r="A27" s="61" t="str">
        <f>_book!$A$22</f>
        <v>Property</v>
      </c>
      <c r="B27" s="61" t="str">
        <f>_book!$B$22</f>
        <v>ABD</v>
      </c>
      <c r="C27" s="61" t="str">
        <f>_book!$C$22</f>
        <v>WI</v>
      </c>
      <c r="D27" s="62">
        <f>_book!$F$22</f>
        <v>58500</v>
      </c>
      <c r="E27" s="63">
        <f>_book!$N$22</f>
        <v>0.66200000000000003</v>
      </c>
      <c r="F27" s="64">
        <f>_book!$K$22</f>
        <v>1</v>
      </c>
      <c r="G27" s="64">
        <f>_book!$L$22</f>
        <v>1.0095062160192581</v>
      </c>
      <c r="H27" s="64">
        <f>_book!$M$22</f>
        <v>1</v>
      </c>
      <c r="I27" s="63">
        <f>_book!$O$22</f>
        <v>0.66829311500474853</v>
      </c>
      <c r="J27" s="63">
        <f>_book!$P$22</f>
        <v>0.66304811809438879</v>
      </c>
      <c r="K27" s="65">
        <f>_book!$T$22</f>
        <v>0</v>
      </c>
      <c r="L27" s="65">
        <f>_book!$U$22</f>
        <v>0</v>
      </c>
      <c r="M27" s="65" t="str">
        <f>IF(_book!$V$22=0,"—",_book!$W$22)</f>
        <v>—</v>
      </c>
      <c r="N27" s="63">
        <f>_book!$Y$22</f>
        <v>0.66829311500474853</v>
      </c>
      <c r="O27" s="66" t="str">
        <f>IF(_book!$V$22=0,"—",_book!$AA$22)</f>
        <v>—</v>
      </c>
      <c r="P27" s="67">
        <f>_book!$AC$22</f>
        <v>0</v>
      </c>
      <c r="Q27" s="67">
        <f>_book!$AD$22</f>
        <v>0</v>
      </c>
    </row>
    <row r="28" spans="1:17" x14ac:dyDescent="0.3">
      <c r="A28" s="61" t="str">
        <f>_book!$A$23</f>
        <v>Property</v>
      </c>
      <c r="B28" s="61" t="str">
        <f>_book!$B$23</f>
        <v>MM</v>
      </c>
      <c r="C28" s="61" t="str">
        <f>_book!$C$23</f>
        <v>AZ</v>
      </c>
      <c r="D28" s="62">
        <f>_book!$F$23</f>
        <v>40500</v>
      </c>
      <c r="E28" s="63">
        <f>_book!$N$23</f>
        <v>0.64600000000000002</v>
      </c>
      <c r="F28" s="64">
        <f>_book!$K$23</f>
        <v>0.99145975603886694</v>
      </c>
      <c r="G28" s="64">
        <f>_book!$L$23</f>
        <v>1.0143147326309969</v>
      </c>
      <c r="H28" s="64">
        <f>_book!$M$23</f>
        <v>1</v>
      </c>
      <c r="I28" s="63">
        <f>_book!$O$23</f>
        <v>0.64965134533517821</v>
      </c>
      <c r="J28" s="63">
        <f>_book!$P$23</f>
        <v>0.63517811550840031</v>
      </c>
      <c r="K28" s="65">
        <f>_book!$T$23</f>
        <v>8.6138079827400293E-3</v>
      </c>
      <c r="L28" s="65">
        <f>_book!$U$23</f>
        <v>3.098044353652751E-2</v>
      </c>
      <c r="M28" s="65" t="str">
        <f>IF(_book!$V$23=0,"—",_book!$W$23)</f>
        <v>—</v>
      </c>
      <c r="N28" s="63">
        <f>_book!$Y$23</f>
        <v>0.64965134533517821</v>
      </c>
      <c r="O28" s="66" t="str">
        <f>IF(_book!$V$23=0,"—",_book!$AA$23)</f>
        <v>—</v>
      </c>
      <c r="P28" s="67">
        <f>_book!$AC$23</f>
        <v>1</v>
      </c>
      <c r="Q28" s="67">
        <f>_book!$AD$23</f>
        <v>1</v>
      </c>
    </row>
    <row r="29" spans="1:17" x14ac:dyDescent="0.3">
      <c r="A29" s="61" t="str">
        <f>_book!$A$24</f>
        <v>Property</v>
      </c>
      <c r="B29" s="61" t="str">
        <f>_book!$B$24</f>
        <v>MM</v>
      </c>
      <c r="C29" s="61" t="str">
        <f>_book!$C$24</f>
        <v>CO</v>
      </c>
      <c r="D29" s="62">
        <f>_book!$F$24</f>
        <v>99000</v>
      </c>
      <c r="E29" s="63">
        <f>_book!$N$24</f>
        <v>0.6804</v>
      </c>
      <c r="F29" s="64">
        <f>_book!$K$24</f>
        <v>1.013535462912831</v>
      </c>
      <c r="G29" s="64">
        <f>_book!$L$24</f>
        <v>1.0107040659405591</v>
      </c>
      <c r="H29" s="64">
        <f>_book!$M$24</f>
        <v>1</v>
      </c>
      <c r="I29" s="63">
        <f>_book!$O$24</f>
        <v>0.69699115483717922</v>
      </c>
      <c r="J29" s="63">
        <f>_book!$P$24</f>
        <v>0.69182033134987631</v>
      </c>
      <c r="K29" s="65">
        <f>_book!$T$24</f>
        <v>-1.3354700854700811E-2</v>
      </c>
      <c r="L29" s="65">
        <f>_book!$U$24</f>
        <v>1.3535462912831701E-2</v>
      </c>
      <c r="M29" s="65" t="str">
        <f>IF(_book!$V$24=0,"—",_book!$W$24)</f>
        <v>—</v>
      </c>
      <c r="N29" s="63">
        <f>_book!$Y$24</f>
        <v>0.69699115483717922</v>
      </c>
      <c r="O29" s="66" t="str">
        <f>IF(_book!$V$24=0,"—",_book!$AA$24)</f>
        <v>—</v>
      </c>
      <c r="P29" s="67">
        <f>_book!$AC$24</f>
        <v>1</v>
      </c>
      <c r="Q29" s="67">
        <f>_book!$AD$24</f>
        <v>0</v>
      </c>
    </row>
    <row r="30" spans="1:17" x14ac:dyDescent="0.3">
      <c r="A30" s="61" t="str">
        <f>_book!$A$25</f>
        <v>Property</v>
      </c>
      <c r="B30" s="61" t="str">
        <f>_book!$B$25</f>
        <v>MM</v>
      </c>
      <c r="C30" s="61" t="str">
        <f>_book!$C$25</f>
        <v>DE</v>
      </c>
      <c r="D30" s="62">
        <f>_book!$F$25</f>
        <v>81000</v>
      </c>
      <c r="E30" s="63">
        <f>_book!$N$25</f>
        <v>0.65800000000000003</v>
      </c>
      <c r="F30" s="64">
        <f>_book!$K$25</f>
        <v>0.99554699171046557</v>
      </c>
      <c r="G30" s="64">
        <f>_book!$L$25</f>
        <v>1.0003128930547309</v>
      </c>
      <c r="H30" s="64">
        <f>_book!$M$25</f>
        <v>1.02</v>
      </c>
      <c r="I30" s="63">
        <f>_book!$O$25</f>
        <v>0.66838038512146825</v>
      </c>
      <c r="J30" s="63">
        <f>_book!$P$25</f>
        <v>0.63512004660274513</v>
      </c>
      <c r="K30" s="65">
        <f>_book!$T$25</f>
        <v>4.4729262672811299E-3</v>
      </c>
      <c r="L30" s="65">
        <f>_book!$U$25</f>
        <v>2.3332654725072951E-2</v>
      </c>
      <c r="M30" s="65" t="str">
        <f>IF(_book!$V$25=0,"—",_book!$W$25)</f>
        <v>—</v>
      </c>
      <c r="N30" s="63">
        <f>_book!$Y$25</f>
        <v>0.66838038512146825</v>
      </c>
      <c r="O30" s="66" t="str">
        <f>IF(_book!$V$25=0,"—",_book!$AA$25)</f>
        <v>—</v>
      </c>
      <c r="P30" s="67">
        <f>_book!$AC$25</f>
        <v>1</v>
      </c>
      <c r="Q30" s="67">
        <f>_book!$AD$25</f>
        <v>1</v>
      </c>
    </row>
    <row r="31" spans="1:17" x14ac:dyDescent="0.3">
      <c r="A31" s="61" t="str">
        <f>_book!$A$26</f>
        <v>Property</v>
      </c>
      <c r="B31" s="61" t="str">
        <f>_book!$B$26</f>
        <v>MM</v>
      </c>
      <c r="C31" s="61" t="str">
        <f>_book!$C$26</f>
        <v>FL</v>
      </c>
      <c r="D31" s="62">
        <f>_book!$F$26</f>
        <v>63000</v>
      </c>
      <c r="E31" s="63">
        <f>_book!$N$26</f>
        <v>0.64200000000000002</v>
      </c>
      <c r="F31" s="64">
        <f>_book!$K$26</f>
        <v>1.00418410041841</v>
      </c>
      <c r="G31" s="64">
        <f>_book!$L$26</f>
        <v>1.0119047619047621</v>
      </c>
      <c r="H31" s="64">
        <f>_book!$M$26</f>
        <v>1</v>
      </c>
      <c r="I31" s="63">
        <f>_book!$O$26</f>
        <v>0.65236102809324559</v>
      </c>
      <c r="J31" s="63">
        <f>_book!$P$26</f>
        <v>0.62028280440120032</v>
      </c>
      <c r="K31" s="65">
        <f>_book!$T$26</f>
        <v>-4.1666666666666519E-3</v>
      </c>
      <c r="L31" s="65">
        <f>_book!$U$26</f>
        <v>5.1715481171548117E-2</v>
      </c>
      <c r="M31" s="65" t="str">
        <f>IF(_book!$V$26=0,"—",_book!$W$26)</f>
        <v>—</v>
      </c>
      <c r="N31" s="63">
        <f>_book!$Y$26</f>
        <v>0.65236102809324559</v>
      </c>
      <c r="O31" s="66" t="str">
        <f>IF(_book!$V$26=0,"—",_book!$AA$26)</f>
        <v>—</v>
      </c>
      <c r="P31" s="67">
        <f>_book!$AC$26</f>
        <v>1</v>
      </c>
      <c r="Q31" s="67">
        <f>_book!$AD$26</f>
        <v>1</v>
      </c>
    </row>
    <row r="32" spans="1:17" x14ac:dyDescent="0.3">
      <c r="A32" s="61" t="str">
        <f>_book!$A$27</f>
        <v>Property</v>
      </c>
      <c r="B32" s="61" t="str">
        <f>_book!$B$27</f>
        <v>MM</v>
      </c>
      <c r="C32" s="61" t="str">
        <f>_book!$C$27</f>
        <v>GA</v>
      </c>
      <c r="D32" s="62">
        <f>_book!$F$27</f>
        <v>45000</v>
      </c>
      <c r="E32" s="63">
        <f>_book!$N$27</f>
        <v>0.67</v>
      </c>
      <c r="F32" s="64">
        <f>_book!$K$27</f>
        <v>0.99330761698144854</v>
      </c>
      <c r="G32" s="64">
        <f>_book!$L$27</f>
        <v>1.0083112020337539</v>
      </c>
      <c r="H32" s="64">
        <f>_book!$M$27</f>
        <v>1</v>
      </c>
      <c r="I32" s="63">
        <f>_book!$O$27</f>
        <v>0.67104734216945827</v>
      </c>
      <c r="J32" s="63">
        <f>_book!$P$27</f>
        <v>0.64412718127953783</v>
      </c>
      <c r="K32" s="65">
        <f>_book!$T$27</f>
        <v>6.7374727668845216E-3</v>
      </c>
      <c r="L32" s="65">
        <f>_book!$U$27</f>
        <v>2.9590936879521301E-2</v>
      </c>
      <c r="M32" s="65" t="str">
        <f>IF(_book!$V$27=0,"—",_book!$W$27)</f>
        <v>—</v>
      </c>
      <c r="N32" s="63">
        <f>_book!$Y$27</f>
        <v>0.67104734216945827</v>
      </c>
      <c r="O32" s="66" t="str">
        <f>IF(_book!$V$27=0,"—",_book!$AA$27)</f>
        <v>—</v>
      </c>
      <c r="P32" s="67">
        <f>_book!$AC$27</f>
        <v>1</v>
      </c>
      <c r="Q32" s="67">
        <f>_book!$AD$27</f>
        <v>1</v>
      </c>
    </row>
    <row r="33" spans="1:17" x14ac:dyDescent="0.3">
      <c r="A33" s="61" t="str">
        <f>_book!$A$28</f>
        <v>Property</v>
      </c>
      <c r="B33" s="61" t="str">
        <f>_book!$B$28</f>
        <v>MM</v>
      </c>
      <c r="C33" s="61" t="str">
        <f>_book!$C$28</f>
        <v>IA</v>
      </c>
      <c r="D33" s="62">
        <f>_book!$F$28</f>
        <v>103500</v>
      </c>
      <c r="E33" s="63">
        <f>_book!$N$28</f>
        <v>0.65400000000000003</v>
      </c>
      <c r="F33" s="64">
        <f>_book!$K$28</f>
        <v>1</v>
      </c>
      <c r="G33" s="64">
        <f>_book!$L$28</f>
        <v>1.0131083140670549</v>
      </c>
      <c r="H33" s="64">
        <f>_book!$M$28</f>
        <v>1</v>
      </c>
      <c r="I33" s="63">
        <f>_book!$O$28</f>
        <v>0.66257283739985384</v>
      </c>
      <c r="J33" s="63">
        <f>_book!$P$28</f>
        <v>0.66521328766674614</v>
      </c>
      <c r="K33" s="65">
        <f>_book!$T$28</f>
        <v>0</v>
      </c>
      <c r="L33" s="65">
        <f>_book!$U$28</f>
        <v>0</v>
      </c>
      <c r="M33" s="65" t="str">
        <f>IF(_book!$V$28=0,"—",_book!$W$28)</f>
        <v>—</v>
      </c>
      <c r="N33" s="63">
        <f>_book!$Y$28</f>
        <v>0.66257283739985384</v>
      </c>
      <c r="O33" s="66" t="str">
        <f>IF(_book!$V$28=0,"—",_book!$AA$28)</f>
        <v>—</v>
      </c>
      <c r="P33" s="67">
        <f>_book!$AC$28</f>
        <v>0</v>
      </c>
      <c r="Q33" s="67">
        <f>_book!$AD$28</f>
        <v>0</v>
      </c>
    </row>
    <row r="34" spans="1:17" x14ac:dyDescent="0.3">
      <c r="A34" s="61" t="str">
        <f>_book!$A$29</f>
        <v>Property</v>
      </c>
      <c r="B34" s="61" t="str">
        <f>_book!$B$29</f>
        <v>MM</v>
      </c>
      <c r="C34" s="61" t="str">
        <f>_book!$C$29</f>
        <v>IL</v>
      </c>
      <c r="D34" s="62">
        <f>_book!$F$29</f>
        <v>85500</v>
      </c>
      <c r="E34" s="63">
        <f>_book!$N$29</f>
        <v>0.63800000000000001</v>
      </c>
      <c r="F34" s="64">
        <f>_book!$K$29</f>
        <v>1.001203369434416</v>
      </c>
      <c r="G34" s="64">
        <f>_book!$L$29</f>
        <v>1.0095062160192581</v>
      </c>
      <c r="H34" s="64">
        <f>_book!$M$29</f>
        <v>1</v>
      </c>
      <c r="I34" s="63">
        <f>_book!$O$29</f>
        <v>0.64484001391393286</v>
      </c>
      <c r="J34" s="63">
        <f>_book!$P$29</f>
        <v>0.63901011985531719</v>
      </c>
      <c r="K34" s="65">
        <f>_book!$T$29</f>
        <v>-1.2019230769230169E-3</v>
      </c>
      <c r="L34" s="65">
        <f>_book!$U$29</f>
        <v>1.2033694344164569E-3</v>
      </c>
      <c r="M34" s="65" t="str">
        <f>IF(_book!$V$29=0,"—",_book!$W$29)</f>
        <v>—</v>
      </c>
      <c r="N34" s="63">
        <f>_book!$Y$29</f>
        <v>0.64484001391393286</v>
      </c>
      <c r="O34" s="66" t="str">
        <f>IF(_book!$V$29=0,"—",_book!$AA$29)</f>
        <v>—</v>
      </c>
      <c r="P34" s="67">
        <f>_book!$AC$29</f>
        <v>1</v>
      </c>
      <c r="Q34" s="67">
        <f>_book!$AD$29</f>
        <v>0</v>
      </c>
    </row>
    <row r="35" spans="1:17" x14ac:dyDescent="0.3">
      <c r="A35" s="61" t="str">
        <f>_book!$A$30</f>
        <v>Property</v>
      </c>
      <c r="B35" s="61" t="str">
        <f>_book!$B$30</f>
        <v>MM</v>
      </c>
      <c r="C35" s="61" t="str">
        <f>_book!$C$30</f>
        <v>IN</v>
      </c>
      <c r="D35" s="62">
        <f>_book!$F$30</f>
        <v>67500</v>
      </c>
      <c r="E35" s="63">
        <f>_book!$N$30</f>
        <v>0.66600000000000004</v>
      </c>
      <c r="F35" s="64">
        <f>_book!$K$30</f>
        <v>1.0026525198938989</v>
      </c>
      <c r="G35" s="64">
        <f>_book!$L$30</f>
        <v>1.0143147326309969</v>
      </c>
      <c r="H35" s="64">
        <f>_book!$M$30</f>
        <v>1</v>
      </c>
      <c r="I35" s="63">
        <f>_book!$O$30</f>
        <v>0.67732547827689193</v>
      </c>
      <c r="J35" s="63">
        <f>_book!$P$30</f>
        <v>0.68094584512392253</v>
      </c>
      <c r="K35" s="65">
        <f>_book!$T$30</f>
        <v>-2.6455026455026731E-3</v>
      </c>
      <c r="L35" s="65">
        <f>_book!$U$30</f>
        <v>2.6525198938991408E-3</v>
      </c>
      <c r="M35" s="65" t="str">
        <f>IF(_book!$V$30=0,"—",_book!$W$30)</f>
        <v>—</v>
      </c>
      <c r="N35" s="63">
        <f>_book!$Y$30</f>
        <v>0.67732547827689193</v>
      </c>
      <c r="O35" s="66" t="str">
        <f>IF(_book!$V$30=0,"—",_book!$AA$30)</f>
        <v>—</v>
      </c>
      <c r="P35" s="67">
        <f>_book!$AC$30</f>
        <v>1</v>
      </c>
      <c r="Q35" s="67">
        <f>_book!$AD$30</f>
        <v>0</v>
      </c>
    </row>
    <row r="36" spans="1:17" x14ac:dyDescent="0.3">
      <c r="A36" s="61" t="str">
        <f>_book!$A$31</f>
        <v>Property</v>
      </c>
      <c r="B36" s="61" t="str">
        <f>_book!$B$31</f>
        <v>MM</v>
      </c>
      <c r="C36" s="61" t="str">
        <f>_book!$C$31</f>
        <v>KY</v>
      </c>
      <c r="D36" s="62">
        <f>_book!$F$31</f>
        <v>49500</v>
      </c>
      <c r="E36" s="63">
        <f>_book!$N$31</f>
        <v>0.65</v>
      </c>
      <c r="F36" s="64">
        <f>_book!$K$31</f>
        <v>0.99875156054931336</v>
      </c>
      <c r="G36" s="64">
        <f>_book!$L$31</f>
        <v>1.0107040659405591</v>
      </c>
      <c r="H36" s="64">
        <f>_book!$M$31</f>
        <v>1</v>
      </c>
      <c r="I36" s="63">
        <f>_book!$O$31</f>
        <v>0.65613747102258502</v>
      </c>
      <c r="J36" s="63">
        <f>_book!$P$31</f>
        <v>0.63607913623003109</v>
      </c>
      <c r="K36" s="65">
        <f>_book!$T$31</f>
        <v>1.2499999999999729E-3</v>
      </c>
      <c r="L36" s="65">
        <f>_book!$U$31</f>
        <v>2.7465667915106181E-2</v>
      </c>
      <c r="M36" s="65" t="str">
        <f>IF(_book!$V$31=0,"—",_book!$W$31)</f>
        <v>—</v>
      </c>
      <c r="N36" s="63">
        <f>_book!$Y$31</f>
        <v>0.65613747102258502</v>
      </c>
      <c r="O36" s="66" t="str">
        <f>IF(_book!$V$31=0,"—",_book!$AA$31)</f>
        <v>—</v>
      </c>
      <c r="P36" s="67">
        <f>_book!$AC$31</f>
        <v>0</v>
      </c>
      <c r="Q36" s="67">
        <f>_book!$AD$31</f>
        <v>1</v>
      </c>
    </row>
    <row r="37" spans="1:17" x14ac:dyDescent="0.3">
      <c r="A37" s="61" t="str">
        <f>_book!$A$32</f>
        <v>Property</v>
      </c>
      <c r="B37" s="61" t="str">
        <f>_book!$B$32</f>
        <v>MM</v>
      </c>
      <c r="C37" s="61" t="str">
        <f>_book!$C$32</f>
        <v>MD</v>
      </c>
      <c r="D37" s="62">
        <f>_book!$F$32</f>
        <v>108000</v>
      </c>
      <c r="E37" s="63">
        <f>_book!$N$32</f>
        <v>0.63400000000000001</v>
      </c>
      <c r="F37" s="64">
        <f>_book!$K$32</f>
        <v>1.002457002457003</v>
      </c>
      <c r="G37" s="64">
        <f>_book!$L$32</f>
        <v>1.0071190139247479</v>
      </c>
      <c r="H37" s="64">
        <f>_book!$M$32</f>
        <v>1</v>
      </c>
      <c r="I37" s="63">
        <f>_book!$O$32</f>
        <v>0.64008228395563249</v>
      </c>
      <c r="J37" s="63">
        <f>_book!$P$32</f>
        <v>0.62859210179865366</v>
      </c>
      <c r="K37" s="65">
        <f>_book!$T$32</f>
        <v>-2.4509803921570761E-3</v>
      </c>
      <c r="L37" s="65">
        <f>_book!$U$32</f>
        <v>2.4570024570023108E-3</v>
      </c>
      <c r="M37" s="65" t="str">
        <f>IF(_book!$V$32=0,"—",_book!$W$32)</f>
        <v>—</v>
      </c>
      <c r="N37" s="63">
        <f>_book!$Y$32</f>
        <v>0.64008228395563249</v>
      </c>
      <c r="O37" s="66" t="str">
        <f>IF(_book!$V$32=0,"—",_book!$AA$32)</f>
        <v>—</v>
      </c>
      <c r="P37" s="67">
        <f>_book!$AC$32</f>
        <v>1</v>
      </c>
      <c r="Q37" s="67">
        <f>_book!$AD$32</f>
        <v>0</v>
      </c>
    </row>
    <row r="38" spans="1:17" x14ac:dyDescent="0.3">
      <c r="A38" s="61" t="str">
        <f>_book!$A$33</f>
        <v>Property</v>
      </c>
      <c r="B38" s="61" t="str">
        <f>_book!$B$33</f>
        <v>MM</v>
      </c>
      <c r="C38" s="61" t="str">
        <f>_book!$C$33</f>
        <v>MI</v>
      </c>
      <c r="D38" s="62">
        <f>_book!$F$33</f>
        <v>90000</v>
      </c>
      <c r="E38" s="63">
        <f>_book!$N$33</f>
        <v>0.66200000000000003</v>
      </c>
      <c r="F38" s="64">
        <f>_book!$K$33</f>
        <v>1.0049801809126939</v>
      </c>
      <c r="G38" s="64">
        <f>_book!$L$33</f>
        <v>1.0119047619047621</v>
      </c>
      <c r="H38" s="64">
        <f>_book!$M$33</f>
        <v>1</v>
      </c>
      <c r="I38" s="63">
        <f>_book!$O$33</f>
        <v>0.67321708071377717</v>
      </c>
      <c r="J38" s="63">
        <f>_book!$P$33</f>
        <v>0.66988095238095224</v>
      </c>
      <c r="K38" s="65">
        <f>_book!$T$33</f>
        <v>-4.9555016181225264E-3</v>
      </c>
      <c r="L38" s="65">
        <f>_book!$U$33</f>
        <v>4.9801809126941432E-3</v>
      </c>
      <c r="M38" s="65" t="str">
        <f>IF(_book!$V$33=0,"—",_book!$W$33)</f>
        <v>—</v>
      </c>
      <c r="N38" s="63">
        <f>_book!$Y$33</f>
        <v>0.67321708071377717</v>
      </c>
      <c r="O38" s="66" t="str">
        <f>IF(_book!$V$33=0,"—",_book!$AA$33)</f>
        <v>—</v>
      </c>
      <c r="P38" s="67">
        <f>_book!$AC$33</f>
        <v>1</v>
      </c>
      <c r="Q38" s="67">
        <f>_book!$AD$33</f>
        <v>0</v>
      </c>
    </row>
    <row r="39" spans="1:17" x14ac:dyDescent="0.3">
      <c r="A39" s="61" t="str">
        <f>_book!$A$34</f>
        <v>Property</v>
      </c>
      <c r="B39" s="61" t="str">
        <f>_book!$B$34</f>
        <v>MM</v>
      </c>
      <c r="C39" s="61" t="str">
        <f>_book!$C$34</f>
        <v>MN</v>
      </c>
      <c r="D39" s="62">
        <f>_book!$F$34</f>
        <v>72000</v>
      </c>
      <c r="E39" s="63">
        <f>_book!$N$34</f>
        <v>0.64600000000000002</v>
      </c>
      <c r="F39" s="64">
        <f>_book!$K$34</f>
        <v>1</v>
      </c>
      <c r="G39" s="64">
        <f>_book!$L$34</f>
        <v>1.0083112020337539</v>
      </c>
      <c r="H39" s="64">
        <f>_book!$M$34</f>
        <v>1</v>
      </c>
      <c r="I39" s="63">
        <f>_book!$O$34</f>
        <v>0.65136903651380507</v>
      </c>
      <c r="J39" s="63">
        <f>_book!$P$34</f>
        <v>0.64373969017670352</v>
      </c>
      <c r="K39" s="65">
        <f>_book!$T$34</f>
        <v>0</v>
      </c>
      <c r="L39" s="65">
        <f>_book!$U$34</f>
        <v>0</v>
      </c>
      <c r="M39" s="65" t="str">
        <f>IF(_book!$V$34=0,"—",_book!$W$34)</f>
        <v>—</v>
      </c>
      <c r="N39" s="63">
        <f>_book!$Y$34</f>
        <v>0.65136903651380507</v>
      </c>
      <c r="O39" s="66" t="str">
        <f>IF(_book!$V$34=0,"—",_book!$AA$34)</f>
        <v>—</v>
      </c>
      <c r="P39" s="67">
        <f>_book!$AC$34</f>
        <v>0</v>
      </c>
      <c r="Q39" s="67">
        <f>_book!$AD$34</f>
        <v>0</v>
      </c>
    </row>
    <row r="40" spans="1:17" x14ac:dyDescent="0.3">
      <c r="A40" s="61" t="str">
        <f>_book!$A$35</f>
        <v>Property</v>
      </c>
      <c r="B40" s="61" t="str">
        <f>_book!$B$35</f>
        <v>MM</v>
      </c>
      <c r="C40" s="61" t="str">
        <f>_book!$C$35</f>
        <v>NM</v>
      </c>
      <c r="D40" s="62">
        <f>_book!$F$35</f>
        <v>54000</v>
      </c>
      <c r="E40" s="63">
        <f>_book!$N$35</f>
        <v>0.63</v>
      </c>
      <c r="F40" s="64">
        <f>_book!$K$35</f>
        <v>1.002147458840372</v>
      </c>
      <c r="G40" s="64">
        <f>_book!$L$35</f>
        <v>1.0131083140670549</v>
      </c>
      <c r="H40" s="64">
        <f>_book!$M$35</f>
        <v>1</v>
      </c>
      <c r="I40" s="63">
        <f>_book!$O$35</f>
        <v>0.63962887115758216</v>
      </c>
      <c r="J40" s="63">
        <f>_book!$P$35</f>
        <v>0.61689703092335613</v>
      </c>
      <c r="K40" s="65">
        <f>_book!$T$35</f>
        <v>-2.1428571428572241E-3</v>
      </c>
      <c r="L40" s="65">
        <f>_book!$U$35</f>
        <v>4.0980672870436718E-2</v>
      </c>
      <c r="M40" s="65" t="str">
        <f>IF(_book!$V$35=0,"—",_book!$W$35)</f>
        <v>—</v>
      </c>
      <c r="N40" s="63">
        <f>_book!$Y$35</f>
        <v>0.63962887115758216</v>
      </c>
      <c r="O40" s="66" t="str">
        <f>IF(_book!$V$35=0,"—",_book!$AA$35)</f>
        <v>—</v>
      </c>
      <c r="P40" s="67">
        <f>_book!$AC$35</f>
        <v>1</v>
      </c>
      <c r="Q40" s="67">
        <f>_book!$AD$35</f>
        <v>1</v>
      </c>
    </row>
    <row r="41" spans="1:17" x14ac:dyDescent="0.3">
      <c r="A41" s="61" t="str">
        <f>_book!$A$36</f>
        <v>Property</v>
      </c>
      <c r="B41" s="61" t="str">
        <f>_book!$B$36</f>
        <v>MM</v>
      </c>
      <c r="C41" s="61" t="str">
        <f>_book!$C$36</f>
        <v>NC</v>
      </c>
      <c r="D41" s="62">
        <f>_book!$F$36</f>
        <v>36000</v>
      </c>
      <c r="E41" s="63">
        <f>_book!$N$36</f>
        <v>0.65800000000000003</v>
      </c>
      <c r="F41" s="64">
        <f>_book!$K$36</f>
        <v>1.020048115477145</v>
      </c>
      <c r="G41" s="64">
        <f>_book!$L$36</f>
        <v>1.0095062160192581</v>
      </c>
      <c r="H41" s="64">
        <f>_book!$M$36</f>
        <v>1</v>
      </c>
      <c r="I41" s="63">
        <f>_book!$O$36</f>
        <v>0.67757215289409312</v>
      </c>
      <c r="J41" s="63">
        <f>_book!$P$36</f>
        <v>0.65904178505454347</v>
      </c>
      <c r="K41" s="65">
        <f>_book!$T$36</f>
        <v>-1.965408805031443E-2</v>
      </c>
      <c r="L41" s="65">
        <f>_book!$U$36</f>
        <v>2.0048115477145249E-2</v>
      </c>
      <c r="M41" s="65" t="str">
        <f>IF(_book!$V$36=0,"—",_book!$W$36)</f>
        <v>—</v>
      </c>
      <c r="N41" s="63">
        <f>_book!$Y$36</f>
        <v>0.67757215289409312</v>
      </c>
      <c r="O41" s="66" t="str">
        <f>IF(_book!$V$36=0,"—",_book!$AA$36)</f>
        <v>—</v>
      </c>
      <c r="P41" s="67">
        <f>_book!$AC$36</f>
        <v>1</v>
      </c>
      <c r="Q41" s="67">
        <f>_book!$AD$36</f>
        <v>0</v>
      </c>
    </row>
    <row r="42" spans="1:17" x14ac:dyDescent="0.3">
      <c r="A42" s="61" t="str">
        <f>_book!$A$37</f>
        <v>Property</v>
      </c>
      <c r="B42" s="61" t="str">
        <f>_book!$B$37</f>
        <v>MM</v>
      </c>
      <c r="C42" s="61" t="str">
        <f>_book!$C$37</f>
        <v>OH</v>
      </c>
      <c r="D42" s="62">
        <f>_book!$F$37</f>
        <v>94500</v>
      </c>
      <c r="E42" s="63">
        <f>_book!$N$37</f>
        <v>0.64200000000000002</v>
      </c>
      <c r="F42" s="64">
        <f>_book!$K$37</f>
        <v>1</v>
      </c>
      <c r="G42" s="64">
        <f>_book!$L$37</f>
        <v>1.0143147326309969</v>
      </c>
      <c r="H42" s="64">
        <f>_book!$M$37</f>
        <v>1</v>
      </c>
      <c r="I42" s="63">
        <f>_book!$O$37</f>
        <v>0.65119005834910015</v>
      </c>
      <c r="J42" s="63">
        <f>_book!$P$37</f>
        <v>0.65640725611044781</v>
      </c>
      <c r="K42" s="65">
        <f>_book!$T$37</f>
        <v>0</v>
      </c>
      <c r="L42" s="65">
        <f>_book!$U$37</f>
        <v>0</v>
      </c>
      <c r="M42" s="65" t="str">
        <f>IF(_book!$V$37=0,"—",_book!$W$37)</f>
        <v>—</v>
      </c>
      <c r="N42" s="63">
        <f>_book!$Y$37</f>
        <v>0.65119005834910015</v>
      </c>
      <c r="O42" s="66" t="str">
        <f>IF(_book!$V$37=0,"—",_book!$AA$37)</f>
        <v>—</v>
      </c>
      <c r="P42" s="67">
        <f>_book!$AC$37</f>
        <v>0</v>
      </c>
      <c r="Q42" s="67">
        <f>_book!$AD$37</f>
        <v>0</v>
      </c>
    </row>
    <row r="43" spans="1:17" x14ac:dyDescent="0.3">
      <c r="A43" s="61" t="str">
        <f>_book!$A$38</f>
        <v>Property</v>
      </c>
      <c r="B43" s="61" t="str">
        <f>_book!$B$38</f>
        <v>MM</v>
      </c>
      <c r="C43" s="61" t="str">
        <f>_book!$C$38</f>
        <v>PA</v>
      </c>
      <c r="D43" s="62">
        <f>_book!$F$38</f>
        <v>76500</v>
      </c>
      <c r="E43" s="63">
        <f>_book!$N$38</f>
        <v>0.67</v>
      </c>
      <c r="F43" s="64">
        <f>_book!$K$38</f>
        <v>0.99999999999999978</v>
      </c>
      <c r="G43" s="64">
        <f>_book!$L$38</f>
        <v>1.0107040659405591</v>
      </c>
      <c r="H43" s="64">
        <f>_book!$M$38</f>
        <v>1</v>
      </c>
      <c r="I43" s="63">
        <f>_book!$O$38</f>
        <v>0.67717172418017435</v>
      </c>
      <c r="J43" s="63">
        <f>_book!$P$38</f>
        <v>0.67450076251654112</v>
      </c>
      <c r="K43" s="65">
        <f>_book!$T$38</f>
        <v>0</v>
      </c>
      <c r="L43" s="65">
        <f>_book!$U$38</f>
        <v>0</v>
      </c>
      <c r="M43" s="65" t="str">
        <f>IF(_book!$V$38=0,"—",_book!$W$38)</f>
        <v>—</v>
      </c>
      <c r="N43" s="63">
        <f>_book!$Y$38</f>
        <v>0.67717172418017435</v>
      </c>
      <c r="O43" s="66" t="str">
        <f>IF(_book!$V$38=0,"—",_book!$AA$38)</f>
        <v>—</v>
      </c>
      <c r="P43" s="67">
        <f>_book!$AC$38</f>
        <v>1</v>
      </c>
      <c r="Q43" s="67">
        <f>_book!$AD$38</f>
        <v>0</v>
      </c>
    </row>
    <row r="44" spans="1:17" x14ac:dyDescent="0.3">
      <c r="A44" s="61" t="str">
        <f>_book!$A$39</f>
        <v>Property</v>
      </c>
      <c r="B44" s="61" t="str">
        <f>_book!$B$39</f>
        <v>MM</v>
      </c>
      <c r="C44" s="61" t="str">
        <f>_book!$C$39</f>
        <v>SC</v>
      </c>
      <c r="D44" s="62">
        <f>_book!$F$39</f>
        <v>58500</v>
      </c>
      <c r="E44" s="63">
        <f>_book!$N$39</f>
        <v>0.65400000000000003</v>
      </c>
      <c r="F44" s="64">
        <f>_book!$K$39</f>
        <v>0.99667243444695852</v>
      </c>
      <c r="G44" s="64">
        <f>_book!$L$39</f>
        <v>1.0071190139247479</v>
      </c>
      <c r="H44" s="64">
        <f>_book!$M$39</f>
        <v>1</v>
      </c>
      <c r="I44" s="63">
        <f>_book!$O$39</f>
        <v>0.65646411463857401</v>
      </c>
      <c r="J44" s="63">
        <f>_book!$P$39</f>
        <v>0.62758903624335949</v>
      </c>
      <c r="K44" s="65">
        <f>_book!$T$39</f>
        <v>3.3386752136752569E-3</v>
      </c>
      <c r="L44" s="65">
        <f>_book!$U$39</f>
        <v>2.9756422201517641E-2</v>
      </c>
      <c r="M44" s="65" t="str">
        <f>IF(_book!$V$39=0,"—",_book!$W$39)</f>
        <v>—</v>
      </c>
      <c r="N44" s="63">
        <f>_book!$Y$39</f>
        <v>0.65646411463857401</v>
      </c>
      <c r="O44" s="66" t="str">
        <f>IF(_book!$V$39=0,"—",_book!$AA$39)</f>
        <v>—</v>
      </c>
      <c r="P44" s="67">
        <f>_book!$AC$39</f>
        <v>1</v>
      </c>
      <c r="Q44" s="67">
        <f>_book!$AD$39</f>
        <v>1</v>
      </c>
    </row>
    <row r="45" spans="1:17" x14ac:dyDescent="0.3">
      <c r="A45" s="61" t="str">
        <f>_book!$A$40</f>
        <v>Property</v>
      </c>
      <c r="B45" s="61" t="str">
        <f>_book!$B$40</f>
        <v>MM</v>
      </c>
      <c r="C45" s="61" t="str">
        <f>_book!$C$40</f>
        <v>TN</v>
      </c>
      <c r="D45" s="62">
        <f>_book!$F$40</f>
        <v>40500</v>
      </c>
      <c r="E45" s="63">
        <f>_book!$N$40</f>
        <v>0.63800000000000001</v>
      </c>
      <c r="F45" s="64">
        <f>_book!$K$40</f>
        <v>1</v>
      </c>
      <c r="G45" s="64">
        <f>_book!$L$40</f>
        <v>1.0119047619047621</v>
      </c>
      <c r="H45" s="64">
        <f>_book!$M$40</f>
        <v>1</v>
      </c>
      <c r="I45" s="63">
        <f>_book!$O$40</f>
        <v>0.64559523809523811</v>
      </c>
      <c r="J45" s="63">
        <f>_book!$P$40</f>
        <v>0.64559523809523811</v>
      </c>
      <c r="K45" s="65">
        <f>_book!$T$40</f>
        <v>0</v>
      </c>
      <c r="L45" s="65">
        <f>_book!$U$40</f>
        <v>0</v>
      </c>
      <c r="M45" s="65" t="str">
        <f>IF(_book!$V$40=0,"—",_book!$W$40)</f>
        <v>—</v>
      </c>
      <c r="N45" s="63">
        <f>_book!$Y$40</f>
        <v>0.64559523809523811</v>
      </c>
      <c r="O45" s="66" t="str">
        <f>IF(_book!$V$40=0,"—",_book!$AA$40)</f>
        <v>—</v>
      </c>
      <c r="P45" s="67">
        <f>_book!$AC$40</f>
        <v>0</v>
      </c>
      <c r="Q45" s="67">
        <f>_book!$AD$40</f>
        <v>0</v>
      </c>
    </row>
    <row r="46" spans="1:17" x14ac:dyDescent="0.3">
      <c r="A46" s="61" t="str">
        <f>_book!$A$41</f>
        <v>Property</v>
      </c>
      <c r="B46" s="61" t="str">
        <f>_book!$B$41</f>
        <v>MM</v>
      </c>
      <c r="C46" s="61" t="str">
        <f>_book!$C$41</f>
        <v>VA</v>
      </c>
      <c r="D46" s="62">
        <f>_book!$F$41</f>
        <v>99000</v>
      </c>
      <c r="E46" s="63">
        <f>_book!$N$41</f>
        <v>0.66600000000000004</v>
      </c>
      <c r="F46" s="64">
        <f>_book!$K$41</f>
        <v>1.0017720023626699</v>
      </c>
      <c r="G46" s="64">
        <f>_book!$L$41</f>
        <v>1.0083112020337539</v>
      </c>
      <c r="H46" s="64">
        <f>_book!$M$41</f>
        <v>1</v>
      </c>
      <c r="I46" s="63">
        <f>_book!$O$41</f>
        <v>0.67272522262279877</v>
      </c>
      <c r="J46" s="63">
        <f>_book!$P$41</f>
        <v>0.66366971154440324</v>
      </c>
      <c r="K46" s="65">
        <f>_book!$T$41</f>
        <v>-1.768867924528128E-3</v>
      </c>
      <c r="L46" s="65">
        <f>_book!$U$41</f>
        <v>1.7720023626699439E-3</v>
      </c>
      <c r="M46" s="65" t="str">
        <f>IF(_book!$V$41=0,"—",_book!$W$41)</f>
        <v>—</v>
      </c>
      <c r="N46" s="63">
        <f>_book!$Y$41</f>
        <v>0.67272522262279877</v>
      </c>
      <c r="O46" s="66" t="str">
        <f>IF(_book!$V$41=0,"—",_book!$AA$41)</f>
        <v>—</v>
      </c>
      <c r="P46" s="67">
        <f>_book!$AC$41</f>
        <v>1</v>
      </c>
      <c r="Q46" s="67">
        <f>_book!$AD$41</f>
        <v>0</v>
      </c>
    </row>
    <row r="47" spans="1:17" x14ac:dyDescent="0.3">
      <c r="A47" s="61" t="str">
        <f>_book!$A$42</f>
        <v>Property</v>
      </c>
      <c r="B47" s="61" t="str">
        <f>_book!$B$42</f>
        <v>MM</v>
      </c>
      <c r="C47" s="61" t="str">
        <f>_book!$C$42</f>
        <v>WV</v>
      </c>
      <c r="D47" s="62">
        <f>_book!$F$42</f>
        <v>81000</v>
      </c>
      <c r="E47" s="63">
        <f>_book!$N$42</f>
        <v>0.65</v>
      </c>
      <c r="F47" s="64">
        <f>_book!$K$42</f>
        <v>1.001090512540894</v>
      </c>
      <c r="G47" s="64">
        <f>_book!$L$42</f>
        <v>1.0131083140670549</v>
      </c>
      <c r="H47" s="64">
        <f>_book!$M$42</f>
        <v>1</v>
      </c>
      <c r="I47" s="63">
        <f>_book!$O$42</f>
        <v>0.65923852890273882</v>
      </c>
      <c r="J47" s="63">
        <f>_book!$P$42</f>
        <v>0.66114470486756116</v>
      </c>
      <c r="K47" s="65">
        <f>_book!$T$42</f>
        <v>-1.089324618736343E-3</v>
      </c>
      <c r="L47" s="65">
        <f>_book!$U$42</f>
        <v>1.090512540893984E-3</v>
      </c>
      <c r="M47" s="65" t="str">
        <f>IF(_book!$V$42=0,"—",_book!$W$42)</f>
        <v>—</v>
      </c>
      <c r="N47" s="63">
        <f>_book!$Y$42</f>
        <v>0.65923852890273882</v>
      </c>
      <c r="O47" s="66" t="str">
        <f>IF(_book!$V$42=0,"—",_book!$AA$42)</f>
        <v>—</v>
      </c>
      <c r="P47" s="67">
        <f>_book!$AC$42</f>
        <v>1</v>
      </c>
      <c r="Q47" s="67">
        <f>_book!$AD$42</f>
        <v>0</v>
      </c>
    </row>
    <row r="48" spans="1:17" x14ac:dyDescent="0.3">
      <c r="A48" s="61" t="str">
        <f>_book!$A$43</f>
        <v>Property</v>
      </c>
      <c r="B48" s="61" t="str">
        <f>_book!$B$43</f>
        <v>MM</v>
      </c>
      <c r="C48" s="61" t="str">
        <f>_book!$C$43</f>
        <v>WI</v>
      </c>
      <c r="D48" s="62">
        <f>_book!$F$43</f>
        <v>63000</v>
      </c>
      <c r="E48" s="63">
        <f>_book!$N$43</f>
        <v>0.63400000000000001</v>
      </c>
      <c r="F48" s="64">
        <f>_book!$K$43</f>
        <v>0.98347220325092199</v>
      </c>
      <c r="G48" s="64">
        <f>_book!$L$43</f>
        <v>1.0095062160192581</v>
      </c>
      <c r="H48" s="64">
        <f>_book!$M$43</f>
        <v>1</v>
      </c>
      <c r="I48" s="63">
        <f>_book!$O$43</f>
        <v>0.62944870576215095</v>
      </c>
      <c r="J48" s="63">
        <f>_book!$P$43</f>
        <v>0.61066211634451684</v>
      </c>
      <c r="K48" s="65">
        <f>_book!$T$43</f>
        <v>1.6805555555555522E-2</v>
      </c>
      <c r="L48" s="65">
        <f>_book!$U$43</f>
        <v>2.2674498019396468E-2</v>
      </c>
      <c r="M48" s="65" t="str">
        <f>IF(_book!$V$43=0,"—",_book!$W$43)</f>
        <v>—</v>
      </c>
      <c r="N48" s="63">
        <f>_book!$Y$43</f>
        <v>0.62944870576215095</v>
      </c>
      <c r="O48" s="66" t="str">
        <f>IF(_book!$V$43=0,"—",_book!$AA$43)</f>
        <v>—</v>
      </c>
      <c r="P48" s="67">
        <f>_book!$AC$43</f>
        <v>0</v>
      </c>
      <c r="Q48" s="67">
        <f>_book!$AD$43</f>
        <v>1</v>
      </c>
    </row>
    <row r="49" spans="1:17" x14ac:dyDescent="0.3">
      <c r="A49" s="61" t="str">
        <f>_book!$A$44</f>
        <v>Property</v>
      </c>
      <c r="B49" s="61" t="str">
        <f>_book!$B$44</f>
        <v>SBA</v>
      </c>
      <c r="C49" s="61" t="str">
        <f>_book!$C$44</f>
        <v>AZ</v>
      </c>
      <c r="D49" s="62">
        <f>_book!$F$44</f>
        <v>45000</v>
      </c>
      <c r="E49" s="63">
        <f>_book!$N$44</f>
        <v>0.66200000000000003</v>
      </c>
      <c r="F49" s="64">
        <f>_book!$K$44</f>
        <v>1.0048309178743959</v>
      </c>
      <c r="G49" s="64">
        <f>_book!$L$44</f>
        <v>1.0143147326309969</v>
      </c>
      <c r="H49" s="64">
        <f>_book!$M$44</f>
        <v>1</v>
      </c>
      <c r="I49" s="63">
        <f>_book!$O$44</f>
        <v>0.67472020011767042</v>
      </c>
      <c r="J49" s="63">
        <f>_book!$P$44</f>
        <v>0.67685608028834332</v>
      </c>
      <c r="K49" s="65">
        <f>_book!$T$44</f>
        <v>-4.8076923076921796E-3</v>
      </c>
      <c r="L49" s="65">
        <f>_book!$U$44</f>
        <v>4.8309178743961567E-3</v>
      </c>
      <c r="M49" s="65" t="str">
        <f>IF(_book!$V$44=0,"—",_book!$W$44)</f>
        <v>—</v>
      </c>
      <c r="N49" s="63">
        <f>_book!$Y$44</f>
        <v>0.67472020011767042</v>
      </c>
      <c r="O49" s="66" t="str">
        <f>IF(_book!$V$44=0,"—",_book!$AA$44)</f>
        <v>—</v>
      </c>
      <c r="P49" s="67">
        <f>_book!$AC$44</f>
        <v>1</v>
      </c>
      <c r="Q49" s="67">
        <f>_book!$AD$44</f>
        <v>0</v>
      </c>
    </row>
    <row r="50" spans="1:17" x14ac:dyDescent="0.3">
      <c r="A50" s="61" t="str">
        <f>_book!$A$45</f>
        <v>Property</v>
      </c>
      <c r="B50" s="61" t="str">
        <f>_book!$B$45</f>
        <v>SBA</v>
      </c>
      <c r="C50" s="61" t="str">
        <f>_book!$C$45</f>
        <v>CO</v>
      </c>
      <c r="D50" s="62">
        <f>_book!$F$45</f>
        <v>103500</v>
      </c>
      <c r="E50" s="63">
        <f>_book!$N$45</f>
        <v>0.64600000000000002</v>
      </c>
      <c r="F50" s="64">
        <f>_book!$K$45</f>
        <v>1.0081680280046681</v>
      </c>
      <c r="G50" s="64">
        <f>_book!$L$45</f>
        <v>1.0107040659405591</v>
      </c>
      <c r="H50" s="64">
        <f>_book!$M$45</f>
        <v>1</v>
      </c>
      <c r="I50" s="63">
        <f>_book!$O$45</f>
        <v>0.65824785318591306</v>
      </c>
      <c r="J50" s="63">
        <f>_book!$P$45</f>
        <v>0.65033954117266513</v>
      </c>
      <c r="K50" s="65">
        <f>_book!$T$45</f>
        <v>-8.1018518518519711E-3</v>
      </c>
      <c r="L50" s="65">
        <f>_book!$U$45</f>
        <v>8.168028004667649E-3</v>
      </c>
      <c r="M50" s="65" t="str">
        <f>IF(_book!$V$45=0,"—",_book!$W$45)</f>
        <v>—</v>
      </c>
      <c r="N50" s="63">
        <f>_book!$Y$45</f>
        <v>0.65824785318591306</v>
      </c>
      <c r="O50" s="66" t="str">
        <f>IF(_book!$V$45=0,"—",_book!$AA$45)</f>
        <v>—</v>
      </c>
      <c r="P50" s="67">
        <f>_book!$AC$45</f>
        <v>1</v>
      </c>
      <c r="Q50" s="67">
        <f>_book!$AD$45</f>
        <v>0</v>
      </c>
    </row>
    <row r="51" spans="1:17" x14ac:dyDescent="0.3">
      <c r="A51" s="61" t="str">
        <f>_book!$A$46</f>
        <v>Property</v>
      </c>
      <c r="B51" s="61" t="str">
        <f>_book!$B$46</f>
        <v>SBA</v>
      </c>
      <c r="C51" s="61" t="str">
        <f>_book!$C$46</f>
        <v>DE</v>
      </c>
      <c r="D51" s="62">
        <f>_book!$F$46</f>
        <v>85500</v>
      </c>
      <c r="E51" s="63">
        <f>_book!$N$46</f>
        <v>0.63</v>
      </c>
      <c r="F51" s="64">
        <f>_book!$K$46</f>
        <v>1</v>
      </c>
      <c r="G51" s="64">
        <f>_book!$L$46</f>
        <v>1.0071190139247479</v>
      </c>
      <c r="H51" s="64">
        <f>_book!$M$46</f>
        <v>1</v>
      </c>
      <c r="I51" s="63">
        <f>_book!$O$46</f>
        <v>0.63448497877259113</v>
      </c>
      <c r="J51" s="63">
        <f>_book!$P$46</f>
        <v>0.62462622103020771</v>
      </c>
      <c r="K51" s="65">
        <f>_book!$T$46</f>
        <v>0</v>
      </c>
      <c r="L51" s="65">
        <f>_book!$U$46</f>
        <v>0</v>
      </c>
      <c r="M51" s="65" t="str">
        <f>IF(_book!$V$46=0,"—",_book!$W$46)</f>
        <v>—</v>
      </c>
      <c r="N51" s="63">
        <f>_book!$Y$46</f>
        <v>0.63448497877259113</v>
      </c>
      <c r="O51" s="66" t="str">
        <f>IF(_book!$V$46=0,"—",_book!$AA$46)</f>
        <v>—</v>
      </c>
      <c r="P51" s="67">
        <f>_book!$AC$46</f>
        <v>0</v>
      </c>
      <c r="Q51" s="67">
        <f>_book!$AD$46</f>
        <v>0</v>
      </c>
    </row>
    <row r="52" spans="1:17" x14ac:dyDescent="0.3">
      <c r="A52" s="61" t="str">
        <f>_book!$A$47</f>
        <v>Property</v>
      </c>
      <c r="B52" s="61" t="str">
        <f>_book!$B$47</f>
        <v>SBA</v>
      </c>
      <c r="C52" s="61" t="str">
        <f>_book!$C$47</f>
        <v>FL</v>
      </c>
      <c r="D52" s="62">
        <f>_book!$F$47</f>
        <v>67500</v>
      </c>
      <c r="E52" s="63">
        <f>_book!$N$47</f>
        <v>0.65800000000000003</v>
      </c>
      <c r="F52" s="64">
        <f>_book!$K$47</f>
        <v>0.99871081447151555</v>
      </c>
      <c r="G52" s="64">
        <f>_book!$L$47</f>
        <v>1.0119047619047621</v>
      </c>
      <c r="H52" s="64">
        <f>_book!$M$47</f>
        <v>1</v>
      </c>
      <c r="I52" s="63">
        <f>_book!$O$47</f>
        <v>0.66497495063561751</v>
      </c>
      <c r="J52" s="63">
        <f>_book!$P$47</f>
        <v>0.64236902050113875</v>
      </c>
      <c r="K52" s="65">
        <f>_book!$T$47</f>
        <v>1.290849673202477E-3</v>
      </c>
      <c r="L52" s="65">
        <f>_book!$U$47</f>
        <v>3.5191501166794703E-2</v>
      </c>
      <c r="M52" s="65" t="str">
        <f>IF(_book!$V$47=0,"—",_book!$W$47)</f>
        <v>—</v>
      </c>
      <c r="N52" s="63">
        <f>_book!$Y$47</f>
        <v>0.66497495063561751</v>
      </c>
      <c r="O52" s="66" t="str">
        <f>IF(_book!$V$47=0,"—",_book!$AA$47)</f>
        <v>—</v>
      </c>
      <c r="P52" s="67">
        <f>_book!$AC$47</f>
        <v>1</v>
      </c>
      <c r="Q52" s="67">
        <f>_book!$AD$47</f>
        <v>1</v>
      </c>
    </row>
    <row r="53" spans="1:17" x14ac:dyDescent="0.3">
      <c r="A53" s="61" t="str">
        <f>_book!$A$48</f>
        <v>Property</v>
      </c>
      <c r="B53" s="61" t="str">
        <f>_book!$B$48</f>
        <v>SBA</v>
      </c>
      <c r="C53" s="61" t="str">
        <f>_book!$C$48</f>
        <v>GA</v>
      </c>
      <c r="D53" s="62">
        <f>_book!$F$48</f>
        <v>49500</v>
      </c>
      <c r="E53" s="63">
        <f>_book!$N$48</f>
        <v>0.64200000000000002</v>
      </c>
      <c r="F53" s="64">
        <f>_book!$K$48</f>
        <v>1</v>
      </c>
      <c r="G53" s="64">
        <f>_book!$L$48</f>
        <v>1.0083112020337539</v>
      </c>
      <c r="H53" s="64">
        <f>_book!$M$48</f>
        <v>1</v>
      </c>
      <c r="I53" s="63">
        <f>_book!$O$48</f>
        <v>0.64733579170567002</v>
      </c>
      <c r="J53" s="63">
        <f>_book!$P$48</f>
        <v>0.63975368590316362</v>
      </c>
      <c r="K53" s="65">
        <f>_book!$T$48</f>
        <v>0</v>
      </c>
      <c r="L53" s="65">
        <f>_book!$U$48</f>
        <v>0</v>
      </c>
      <c r="M53" s="65" t="str">
        <f>IF(_book!$V$48=0,"—",_book!$W$48)</f>
        <v>—</v>
      </c>
      <c r="N53" s="63">
        <f>_book!$Y$48</f>
        <v>0.64733579170567002</v>
      </c>
      <c r="O53" s="66" t="str">
        <f>IF(_book!$V$48=0,"—",_book!$AA$48)</f>
        <v>—</v>
      </c>
      <c r="P53" s="67">
        <f>_book!$AC$48</f>
        <v>0</v>
      </c>
      <c r="Q53" s="67">
        <f>_book!$AD$48</f>
        <v>0</v>
      </c>
    </row>
    <row r="54" spans="1:17" x14ac:dyDescent="0.3">
      <c r="A54" s="61" t="str">
        <f>_book!$A$49</f>
        <v>Property</v>
      </c>
      <c r="B54" s="61" t="str">
        <f>_book!$B$49</f>
        <v>SBA</v>
      </c>
      <c r="C54" s="61" t="str">
        <f>_book!$C$49</f>
        <v>IA</v>
      </c>
      <c r="D54" s="62">
        <f>_book!$F$49</f>
        <v>108000</v>
      </c>
      <c r="E54" s="63">
        <f>_book!$N$49</f>
        <v>0.67</v>
      </c>
      <c r="F54" s="64">
        <f>_book!$K$49</f>
        <v>1</v>
      </c>
      <c r="G54" s="64">
        <f>_book!$L$49</f>
        <v>1.0131083140670549</v>
      </c>
      <c r="H54" s="64">
        <f>_book!$M$49</f>
        <v>1</v>
      </c>
      <c r="I54" s="63">
        <f>_book!$O$49</f>
        <v>0.67878257042492673</v>
      </c>
      <c r="J54" s="63">
        <f>_book!$P$49</f>
        <v>0.68148761886348608</v>
      </c>
      <c r="K54" s="65">
        <f>_book!$T$49</f>
        <v>0</v>
      </c>
      <c r="L54" s="65">
        <f>_book!$U$49</f>
        <v>0</v>
      </c>
      <c r="M54" s="65" t="str">
        <f>IF(_book!$V$49=0,"—",_book!$W$49)</f>
        <v>—</v>
      </c>
      <c r="N54" s="63">
        <f>_book!$Y$49</f>
        <v>0.67878257042492673</v>
      </c>
      <c r="O54" s="66" t="str">
        <f>IF(_book!$V$49=0,"—",_book!$AA$49)</f>
        <v>—</v>
      </c>
      <c r="P54" s="67">
        <f>_book!$AC$49</f>
        <v>0</v>
      </c>
      <c r="Q54" s="67">
        <f>_book!$AD$49</f>
        <v>0</v>
      </c>
    </row>
    <row r="55" spans="1:17" x14ac:dyDescent="0.3">
      <c r="A55" s="61" t="str">
        <f>_book!$A$50</f>
        <v>Property</v>
      </c>
      <c r="B55" s="61" t="str">
        <f>_book!$B$50</f>
        <v>SBA</v>
      </c>
      <c r="C55" s="61" t="str">
        <f>_book!$C$50</f>
        <v>IL</v>
      </c>
      <c r="D55" s="62">
        <f>_book!$F$50</f>
        <v>90000</v>
      </c>
      <c r="E55" s="63">
        <f>_book!$N$50</f>
        <v>0.65400000000000003</v>
      </c>
      <c r="F55" s="64">
        <f>_book!$K$50</f>
        <v>0.94618568894145472</v>
      </c>
      <c r="G55" s="64">
        <f>_book!$L$50</f>
        <v>1.00478705287387</v>
      </c>
      <c r="H55" s="64">
        <f>_book!$M$50</f>
        <v>1</v>
      </c>
      <c r="I55" s="63">
        <f>_book!$O$50</f>
        <v>0.62176769493034711</v>
      </c>
      <c r="J55" s="63">
        <f>_book!$P$50</f>
        <v>0.60611221665959769</v>
      </c>
      <c r="K55" s="65">
        <f>_book!$T$50</f>
        <v>5.6875000000000009E-2</v>
      </c>
      <c r="L55" s="65">
        <f>_book!$U$50</f>
        <v>7.6877587226491517E-3</v>
      </c>
      <c r="M55" s="65" t="str">
        <f>IF(_book!$V$50=0,"—",_book!$W$50)</f>
        <v>—</v>
      </c>
      <c r="N55" s="63">
        <f>_book!$Y$50</f>
        <v>0.62176769493034711</v>
      </c>
      <c r="O55" s="66" t="str">
        <f>IF(_book!$V$50=0,"—",_book!$AA$50)</f>
        <v>—</v>
      </c>
      <c r="P55" s="67">
        <f>_book!$AC$50</f>
        <v>0</v>
      </c>
      <c r="Q55" s="67">
        <f>_book!$AD$50</f>
        <v>1</v>
      </c>
    </row>
    <row r="56" spans="1:17" x14ac:dyDescent="0.3">
      <c r="A56" s="61" t="str">
        <f>_book!$A$51</f>
        <v>Property</v>
      </c>
      <c r="B56" s="61" t="str">
        <f>_book!$B$51</f>
        <v>SBA</v>
      </c>
      <c r="C56" s="61" t="str">
        <f>_book!$C$51</f>
        <v>IN</v>
      </c>
      <c r="D56" s="62">
        <f>_book!$F$51</f>
        <v>72000</v>
      </c>
      <c r="E56" s="63">
        <f>_book!$N$51</f>
        <v>0.63800000000000001</v>
      </c>
      <c r="F56" s="64">
        <f>_book!$K$51</f>
        <v>0.99894764948874615</v>
      </c>
      <c r="G56" s="64">
        <f>_book!$L$51</f>
        <v>1.0143147326309969</v>
      </c>
      <c r="H56" s="64">
        <f>_book!$M$51</f>
        <v>1</v>
      </c>
      <c r="I56" s="63">
        <f>_book!$O$51</f>
        <v>0.64645178888625898</v>
      </c>
      <c r="J56" s="63">
        <f>_book!$P$51</f>
        <v>0.63408747633037044</v>
      </c>
      <c r="K56" s="65">
        <f>_book!$T$51</f>
        <v>1.0534591194968359E-3</v>
      </c>
      <c r="L56" s="65">
        <f>_book!$U$51</f>
        <v>2.7667394411547749E-2</v>
      </c>
      <c r="M56" s="65" t="str">
        <f>IF(_book!$V$51=0,"—",_book!$W$51)</f>
        <v>—</v>
      </c>
      <c r="N56" s="63">
        <f>_book!$Y$51</f>
        <v>0.64645178888625898</v>
      </c>
      <c r="O56" s="66" t="str">
        <f>IF(_book!$V$51=0,"—",_book!$AA$51)</f>
        <v>—</v>
      </c>
      <c r="P56" s="67">
        <f>_book!$AC$51</f>
        <v>1</v>
      </c>
      <c r="Q56" s="67">
        <f>_book!$AD$51</f>
        <v>1</v>
      </c>
    </row>
    <row r="57" spans="1:17" x14ac:dyDescent="0.3">
      <c r="A57" s="61" t="str">
        <f>_book!$A$52</f>
        <v>Property</v>
      </c>
      <c r="B57" s="61" t="str">
        <f>_book!$B$52</f>
        <v>SBA</v>
      </c>
      <c r="C57" s="61" t="str">
        <f>_book!$C$52</f>
        <v>KY</v>
      </c>
      <c r="D57" s="62">
        <f>_book!$F$52</f>
        <v>54000</v>
      </c>
      <c r="E57" s="63">
        <f>_book!$N$52</f>
        <v>0.66600000000000004</v>
      </c>
      <c r="F57" s="64">
        <f>_book!$K$52</f>
        <v>0.94214837574444388</v>
      </c>
      <c r="G57" s="64">
        <f>_book!$L$52</f>
        <v>1</v>
      </c>
      <c r="H57" s="64">
        <f>_book!$M$52</f>
        <v>1</v>
      </c>
      <c r="I57" s="63">
        <f>_book!$O$52</f>
        <v>0.62747081824579964</v>
      </c>
      <c r="J57" s="63">
        <f>_book!$P$52</f>
        <v>0.57042801658709053</v>
      </c>
      <c r="K57" s="65">
        <f>_book!$T$52</f>
        <v>6.1403942038157577E-2</v>
      </c>
      <c r="L57" s="65">
        <f>_book!$U$52</f>
        <v>0.1000000000000001</v>
      </c>
      <c r="M57" s="65">
        <f>IF(_book!$V$52=0,"—",_book!$W$52)</f>
        <v>0.1</v>
      </c>
      <c r="N57" s="63">
        <f>_book!$Y$52</f>
        <v>0.62082444815901516</v>
      </c>
      <c r="O57" s="66">
        <f>IF(_book!$V$52=0,"—",_book!$AA$52)</f>
        <v>-0.6646370086784481</v>
      </c>
      <c r="P57" s="67">
        <f>_book!$AC$52</f>
        <v>1</v>
      </c>
      <c r="Q57" s="67">
        <f>_book!$AD$52</f>
        <v>1</v>
      </c>
    </row>
    <row r="58" spans="1:17" x14ac:dyDescent="0.3">
      <c r="A58" s="61" t="str">
        <f>_book!$A$53</f>
        <v>Property</v>
      </c>
      <c r="B58" s="61" t="str">
        <f>_book!$B$53</f>
        <v>SBA</v>
      </c>
      <c r="C58" s="61" t="str">
        <f>_book!$C$53</f>
        <v>MD</v>
      </c>
      <c r="D58" s="62">
        <f>_book!$F$53</f>
        <v>36000</v>
      </c>
      <c r="E58" s="63">
        <f>_book!$N$53</f>
        <v>0.65</v>
      </c>
      <c r="F58" s="64">
        <f>_book!$K$53</f>
        <v>1.000911023382933</v>
      </c>
      <c r="G58" s="64">
        <f>_book!$L$53</f>
        <v>1.0071190139247479</v>
      </c>
      <c r="H58" s="64">
        <f>_book!$M$53</f>
        <v>1</v>
      </c>
      <c r="I58" s="63">
        <f>_book!$O$53</f>
        <v>0.65522373988228955</v>
      </c>
      <c r="J58" s="63">
        <f>_book!$P$53</f>
        <v>0.64445562487243646</v>
      </c>
      <c r="K58" s="65">
        <f>_book!$T$53</f>
        <v>-9.1019417475712849E-4</v>
      </c>
      <c r="L58" s="65">
        <f>_book!$U$53</f>
        <v>9.1102338293347351E-4</v>
      </c>
      <c r="M58" s="65" t="str">
        <f>IF(_book!$V$53=0,"—",_book!$W$53)</f>
        <v>—</v>
      </c>
      <c r="N58" s="63">
        <f>_book!$Y$53</f>
        <v>0.65522373988228955</v>
      </c>
      <c r="O58" s="66" t="str">
        <f>IF(_book!$V$53=0,"—",_book!$AA$53)</f>
        <v>—</v>
      </c>
      <c r="P58" s="67">
        <f>_book!$AC$53</f>
        <v>1</v>
      </c>
      <c r="Q58" s="67">
        <f>_book!$AD$53</f>
        <v>0</v>
      </c>
    </row>
    <row r="59" spans="1:17" x14ac:dyDescent="0.3">
      <c r="A59" s="61" t="str">
        <f>_book!$A$54</f>
        <v>Property</v>
      </c>
      <c r="B59" s="61" t="str">
        <f>_book!$B$54</f>
        <v>SBA</v>
      </c>
      <c r="C59" s="61" t="str">
        <f>_book!$C$54</f>
        <v>MI</v>
      </c>
      <c r="D59" s="62">
        <f>_book!$F$54</f>
        <v>94500</v>
      </c>
      <c r="E59" s="63">
        <f>_book!$N$54</f>
        <v>0.63400000000000001</v>
      </c>
      <c r="F59" s="64">
        <f>_book!$K$54</f>
        <v>1.0021413276231259</v>
      </c>
      <c r="G59" s="64">
        <f>_book!$L$54</f>
        <v>1.0119047619047621</v>
      </c>
      <c r="H59" s="64">
        <f>_book!$M$54</f>
        <v>1</v>
      </c>
      <c r="I59" s="63">
        <f>_book!$O$54</f>
        <v>0.64292138268583665</v>
      </c>
      <c r="J59" s="63">
        <f>_book!$P$54</f>
        <v>0.64154761904761892</v>
      </c>
      <c r="K59" s="65">
        <f>_book!$T$54</f>
        <v>-2.1367521367520181E-3</v>
      </c>
      <c r="L59" s="65">
        <f>_book!$U$54</f>
        <v>2.1413276231263541E-3</v>
      </c>
      <c r="M59" s="65" t="str">
        <f>IF(_book!$V$54=0,"—",_book!$W$54)</f>
        <v>—</v>
      </c>
      <c r="N59" s="63">
        <f>_book!$Y$54</f>
        <v>0.64292138268583665</v>
      </c>
      <c r="O59" s="66" t="str">
        <f>IF(_book!$V$54=0,"—",_book!$AA$54)</f>
        <v>—</v>
      </c>
      <c r="P59" s="67">
        <f>_book!$AC$54</f>
        <v>1</v>
      </c>
      <c r="Q59" s="67">
        <f>_book!$AD$54</f>
        <v>0</v>
      </c>
    </row>
    <row r="60" spans="1:17" x14ac:dyDescent="0.3">
      <c r="A60" s="61" t="str">
        <f>_book!$A$55</f>
        <v>Property</v>
      </c>
      <c r="B60" s="61" t="str">
        <f>_book!$B$55</f>
        <v>SBA</v>
      </c>
      <c r="C60" s="61" t="str">
        <f>_book!$C$55</f>
        <v>MN</v>
      </c>
      <c r="D60" s="62">
        <f>_book!$F$55</f>
        <v>76500</v>
      </c>
      <c r="E60" s="63">
        <f>_book!$N$55</f>
        <v>0.66200000000000003</v>
      </c>
      <c r="F60" s="64">
        <f>_book!$K$55</f>
        <v>0.9888751545117429</v>
      </c>
      <c r="G60" s="64">
        <f>_book!$L$55</f>
        <v>1.0083112020337539</v>
      </c>
      <c r="H60" s="64">
        <f>_book!$M$55</f>
        <v>1</v>
      </c>
      <c r="I60" s="63">
        <f>_book!$O$55</f>
        <v>0.66007615895806682</v>
      </c>
      <c r="J60" s="63">
        <f>_book!$P$55</f>
        <v>0.63507456776978422</v>
      </c>
      <c r="K60" s="65">
        <f>_book!$T$55</f>
        <v>1.1249999999999981E-2</v>
      </c>
      <c r="L60" s="65">
        <f>_book!$U$55</f>
        <v>2.7194066749073102E-2</v>
      </c>
      <c r="M60" s="65" t="str">
        <f>IF(_book!$V$55=0,"—",_book!$W$55)</f>
        <v>—</v>
      </c>
      <c r="N60" s="63">
        <f>_book!$Y$55</f>
        <v>0.66007615895806682</v>
      </c>
      <c r="O60" s="66" t="str">
        <f>IF(_book!$V$55=0,"—",_book!$AA$55)</f>
        <v>—</v>
      </c>
      <c r="P60" s="67">
        <f>_book!$AC$55</f>
        <v>0</v>
      </c>
      <c r="Q60" s="67">
        <f>_book!$AD$55</f>
        <v>1</v>
      </c>
    </row>
    <row r="61" spans="1:17" x14ac:dyDescent="0.3">
      <c r="A61" s="61" t="str">
        <f>_book!$A$56</f>
        <v>Property</v>
      </c>
      <c r="B61" s="61" t="str">
        <f>_book!$B$56</f>
        <v>SBA</v>
      </c>
      <c r="C61" s="61" t="str">
        <f>_book!$C$56</f>
        <v>NM</v>
      </c>
      <c r="D61" s="62">
        <f>_book!$F$56</f>
        <v>58500</v>
      </c>
      <c r="E61" s="63">
        <f>_book!$N$56</f>
        <v>0.64600000000000002</v>
      </c>
      <c r="F61" s="64">
        <f>_book!$K$56</f>
        <v>1.0071258907363421</v>
      </c>
      <c r="G61" s="64">
        <f>_book!$L$56</f>
        <v>1.0131083140670549</v>
      </c>
      <c r="H61" s="64">
        <f>_book!$M$56</f>
        <v>1</v>
      </c>
      <c r="I61" s="63">
        <f>_book!$O$56</f>
        <v>0.65913163813829578</v>
      </c>
      <c r="J61" s="63">
        <f>_book!$P$56</f>
        <v>0.65707612206837596</v>
      </c>
      <c r="K61" s="65">
        <f>_book!$T$56</f>
        <v>-7.0754716981130672E-3</v>
      </c>
      <c r="L61" s="65">
        <f>_book!$U$56</f>
        <v>7.1258907363420656E-3</v>
      </c>
      <c r="M61" s="65" t="str">
        <f>IF(_book!$V$56=0,"—",_book!$W$56)</f>
        <v>—</v>
      </c>
      <c r="N61" s="63">
        <f>_book!$Y$56</f>
        <v>0.65913163813829578</v>
      </c>
      <c r="O61" s="66" t="str">
        <f>IF(_book!$V$56=0,"—",_book!$AA$56)</f>
        <v>—</v>
      </c>
      <c r="P61" s="67">
        <f>_book!$AC$56</f>
        <v>1</v>
      </c>
      <c r="Q61" s="67">
        <f>_book!$AD$56</f>
        <v>0</v>
      </c>
    </row>
    <row r="62" spans="1:17" x14ac:dyDescent="0.3">
      <c r="A62" s="61" t="str">
        <f>_book!$A$57</f>
        <v>Property</v>
      </c>
      <c r="B62" s="61" t="str">
        <f>_book!$B$57</f>
        <v>SBA</v>
      </c>
      <c r="C62" s="61" t="str">
        <f>_book!$C$57</f>
        <v>NC</v>
      </c>
      <c r="D62" s="62">
        <f>_book!$F$57</f>
        <v>40500</v>
      </c>
      <c r="E62" s="63">
        <f>_book!$N$57</f>
        <v>0.63</v>
      </c>
      <c r="F62" s="64">
        <f>_book!$K$57</f>
        <v>1.0033472231709819</v>
      </c>
      <c r="G62" s="64">
        <f>_book!$L$57</f>
        <v>1.0095062160192581</v>
      </c>
      <c r="H62" s="64">
        <f>_book!$M$57</f>
        <v>1</v>
      </c>
      <c r="I62" s="63">
        <f>_book!$O$57</f>
        <v>0.63811771292856334</v>
      </c>
      <c r="J62" s="63">
        <f>_book!$P$57</f>
        <v>0.63099745377562688</v>
      </c>
      <c r="K62" s="65">
        <f>_book!$T$57</f>
        <v>-3.336056644880236E-3</v>
      </c>
      <c r="L62" s="65">
        <f>_book!$U$57</f>
        <v>3.3472231709814611E-3</v>
      </c>
      <c r="M62" s="65" t="str">
        <f>IF(_book!$V$57=0,"—",_book!$W$57)</f>
        <v>—</v>
      </c>
      <c r="N62" s="63">
        <f>_book!$Y$57</f>
        <v>0.63811771292856334</v>
      </c>
      <c r="O62" s="66" t="str">
        <f>IF(_book!$V$57=0,"—",_book!$AA$57)</f>
        <v>—</v>
      </c>
      <c r="P62" s="67">
        <f>_book!$AC$57</f>
        <v>1</v>
      </c>
      <c r="Q62" s="67">
        <f>_book!$AD$57</f>
        <v>0</v>
      </c>
    </row>
    <row r="63" spans="1:17" x14ac:dyDescent="0.3">
      <c r="A63" s="61" t="str">
        <f>_book!$A$58</f>
        <v>Property</v>
      </c>
      <c r="B63" s="61" t="str">
        <f>_book!$B$58</f>
        <v>SBA</v>
      </c>
      <c r="C63" s="61" t="str">
        <f>_book!$C$58</f>
        <v>OH</v>
      </c>
      <c r="D63" s="62">
        <f>_book!$F$58</f>
        <v>99000</v>
      </c>
      <c r="E63" s="63">
        <f>_book!$N$58</f>
        <v>0.65800000000000003</v>
      </c>
      <c r="F63" s="64">
        <f>_book!$K$58</f>
        <v>1</v>
      </c>
      <c r="G63" s="64">
        <f>_book!$L$58</f>
        <v>1.0143147326309969</v>
      </c>
      <c r="H63" s="64">
        <f>_book!$M$58</f>
        <v>1</v>
      </c>
      <c r="I63" s="63">
        <f>_book!$O$58</f>
        <v>0.66741909407119615</v>
      </c>
      <c r="J63" s="63">
        <f>_book!$P$58</f>
        <v>0.67276631545276433</v>
      </c>
      <c r="K63" s="65">
        <f>_book!$T$58</f>
        <v>0</v>
      </c>
      <c r="L63" s="65">
        <f>_book!$U$58</f>
        <v>0</v>
      </c>
      <c r="M63" s="65" t="str">
        <f>IF(_book!$V$58=0,"—",_book!$W$58)</f>
        <v>—</v>
      </c>
      <c r="N63" s="63">
        <f>_book!$Y$58</f>
        <v>0.66741909407119615</v>
      </c>
      <c r="O63" s="66" t="str">
        <f>IF(_book!$V$58=0,"—",_book!$AA$58)</f>
        <v>—</v>
      </c>
      <c r="P63" s="67">
        <f>_book!$AC$58</f>
        <v>0</v>
      </c>
      <c r="Q63" s="67">
        <f>_book!$AD$58</f>
        <v>0</v>
      </c>
    </row>
    <row r="64" spans="1:17" x14ac:dyDescent="0.3">
      <c r="A64" s="61" t="str">
        <f>_book!$A$59</f>
        <v>Property</v>
      </c>
      <c r="B64" s="61" t="str">
        <f>_book!$B$59</f>
        <v>SBA</v>
      </c>
      <c r="C64" s="61" t="str">
        <f>_book!$C$59</f>
        <v>PA</v>
      </c>
      <c r="D64" s="62">
        <f>_book!$F$59</f>
        <v>81000</v>
      </c>
      <c r="E64" s="63">
        <f>_book!$N$59</f>
        <v>0.64200000000000002</v>
      </c>
      <c r="F64" s="64">
        <f>_book!$K$59</f>
        <v>1.0073994349522399</v>
      </c>
      <c r="G64" s="64">
        <f>_book!$L$59</f>
        <v>1.0107040659405591</v>
      </c>
      <c r="H64" s="64">
        <f>_book!$M$59</f>
        <v>1</v>
      </c>
      <c r="I64" s="63">
        <f>_book!$O$59</f>
        <v>0.65367329656663331</v>
      </c>
      <c r="J64" s="63">
        <f>_book!$P$59</f>
        <v>0.62554795413772502</v>
      </c>
      <c r="K64" s="65">
        <f>_book!$T$59</f>
        <v>-7.3450854700855004E-3</v>
      </c>
      <c r="L64" s="65">
        <f>_book!$U$59</f>
        <v>4.0839499529127243E-2</v>
      </c>
      <c r="M64" s="65" t="str">
        <f>IF(_book!$V$59=0,"—",_book!$W$59)</f>
        <v>—</v>
      </c>
      <c r="N64" s="63">
        <f>_book!$Y$59</f>
        <v>0.65367329656663331</v>
      </c>
      <c r="O64" s="66" t="str">
        <f>IF(_book!$V$59=0,"—",_book!$AA$59)</f>
        <v>—</v>
      </c>
      <c r="P64" s="67">
        <f>_book!$AC$59</f>
        <v>1</v>
      </c>
      <c r="Q64" s="67">
        <f>_book!$AD$59</f>
        <v>1</v>
      </c>
    </row>
    <row r="65" spans="1:17" x14ac:dyDescent="0.3">
      <c r="A65" s="61" t="str">
        <f>_book!$A$60</f>
        <v>Property</v>
      </c>
      <c r="B65" s="61" t="str">
        <f>_book!$B$60</f>
        <v>SBA</v>
      </c>
      <c r="C65" s="61" t="str">
        <f>_book!$C$60</f>
        <v>SC</v>
      </c>
      <c r="D65" s="62">
        <f>_book!$F$60</f>
        <v>63000</v>
      </c>
      <c r="E65" s="63">
        <f>_book!$N$60</f>
        <v>0.67</v>
      </c>
      <c r="F65" s="64">
        <f>_book!$K$60</f>
        <v>1.0168123739071959</v>
      </c>
      <c r="G65" s="64">
        <f>_book!$L$60</f>
        <v>1.0071190139247479</v>
      </c>
      <c r="H65" s="64">
        <f>_book!$M$60</f>
        <v>1</v>
      </c>
      <c r="I65" s="63">
        <f>_book!$O$60</f>
        <v>0.68611422048845094</v>
      </c>
      <c r="J65" s="63">
        <f>_book!$P$60</f>
        <v>0.66428502871466544</v>
      </c>
      <c r="K65" s="65">
        <f>_book!$T$60</f>
        <v>-1.653439153439162E-2</v>
      </c>
      <c r="L65" s="65">
        <f>_book!$U$60</f>
        <v>1.6812373907195699E-2</v>
      </c>
      <c r="M65" s="65" t="str">
        <f>IF(_book!$V$60=0,"—",_book!$W$60)</f>
        <v>—</v>
      </c>
      <c r="N65" s="63">
        <f>_book!$Y$60</f>
        <v>0.68611422048845094</v>
      </c>
      <c r="O65" s="66" t="str">
        <f>IF(_book!$V$60=0,"—",_book!$AA$60)</f>
        <v>—</v>
      </c>
      <c r="P65" s="67">
        <f>_book!$AC$60</f>
        <v>1</v>
      </c>
      <c r="Q65" s="67">
        <f>_book!$AD$60</f>
        <v>0</v>
      </c>
    </row>
    <row r="66" spans="1:17" x14ac:dyDescent="0.3">
      <c r="A66" s="61" t="str">
        <f>_book!$A$61</f>
        <v>Property</v>
      </c>
      <c r="B66" s="61" t="str">
        <f>_book!$B$61</f>
        <v>SBA</v>
      </c>
      <c r="C66" s="61" t="str">
        <f>_book!$C$61</f>
        <v>TN</v>
      </c>
      <c r="D66" s="62">
        <f>_book!$F$61</f>
        <v>45000</v>
      </c>
      <c r="E66" s="63">
        <f>_book!$N$61</f>
        <v>0.65400000000000003</v>
      </c>
      <c r="F66" s="64">
        <f>_book!$K$61</f>
        <v>1</v>
      </c>
      <c r="G66" s="64">
        <f>_book!$L$61</f>
        <v>1.0119047619047621</v>
      </c>
      <c r="H66" s="64">
        <f>_book!$M$61</f>
        <v>1</v>
      </c>
      <c r="I66" s="63">
        <f>_book!$O$61</f>
        <v>0.66178571428571431</v>
      </c>
      <c r="J66" s="63">
        <f>_book!$P$61</f>
        <v>0.66178571428571431</v>
      </c>
      <c r="K66" s="65">
        <f>_book!$T$61</f>
        <v>0</v>
      </c>
      <c r="L66" s="65">
        <f>_book!$U$61</f>
        <v>0</v>
      </c>
      <c r="M66" s="65" t="str">
        <f>IF(_book!$V$61=0,"—",_book!$W$61)</f>
        <v>—</v>
      </c>
      <c r="N66" s="63">
        <f>_book!$Y$61</f>
        <v>0.66178571428571431</v>
      </c>
      <c r="O66" s="66" t="str">
        <f>IF(_book!$V$61=0,"—",_book!$AA$61)</f>
        <v>—</v>
      </c>
      <c r="P66" s="67">
        <f>_book!$AC$61</f>
        <v>0</v>
      </c>
      <c r="Q66" s="67">
        <f>_book!$AD$61</f>
        <v>0</v>
      </c>
    </row>
    <row r="67" spans="1:17" x14ac:dyDescent="0.3">
      <c r="A67" s="61" t="str">
        <f>_book!$A$62</f>
        <v>Property</v>
      </c>
      <c r="B67" s="61" t="str">
        <f>_book!$B$62</f>
        <v>SBA</v>
      </c>
      <c r="C67" s="61" t="str">
        <f>_book!$C$62</f>
        <v>VA</v>
      </c>
      <c r="D67" s="62">
        <f>_book!$F$62</f>
        <v>103500</v>
      </c>
      <c r="E67" s="63">
        <f>_book!$N$62</f>
        <v>0.63800000000000001</v>
      </c>
      <c r="F67" s="64">
        <f>_book!$K$62</f>
        <v>1</v>
      </c>
      <c r="G67" s="64">
        <f>_book!$L$62</f>
        <v>1.0083112020337539</v>
      </c>
      <c r="H67" s="64">
        <f>_book!$M$62</f>
        <v>1</v>
      </c>
      <c r="I67" s="63">
        <f>_book!$O$62</f>
        <v>0.64330254689753508</v>
      </c>
      <c r="J67" s="63">
        <f>_book!$P$62</f>
        <v>0.63576768162962372</v>
      </c>
      <c r="K67" s="65">
        <f>_book!$T$62</f>
        <v>0</v>
      </c>
      <c r="L67" s="65">
        <f>_book!$U$62</f>
        <v>0</v>
      </c>
      <c r="M67" s="65" t="str">
        <f>IF(_book!$V$62=0,"—",_book!$W$62)</f>
        <v>—</v>
      </c>
      <c r="N67" s="63">
        <f>_book!$Y$62</f>
        <v>0.64330254689753508</v>
      </c>
      <c r="O67" s="66" t="str">
        <f>IF(_book!$V$62=0,"—",_book!$AA$62)</f>
        <v>—</v>
      </c>
      <c r="P67" s="67">
        <f>_book!$AC$62</f>
        <v>1</v>
      </c>
      <c r="Q67" s="67">
        <f>_book!$AD$62</f>
        <v>0</v>
      </c>
    </row>
    <row r="68" spans="1:17" x14ac:dyDescent="0.3">
      <c r="A68" s="61" t="str">
        <f>_book!$A$63</f>
        <v>Property</v>
      </c>
      <c r="B68" s="61" t="str">
        <f>_book!$B$63</f>
        <v>SBA</v>
      </c>
      <c r="C68" s="61" t="str">
        <f>_book!$C$63</f>
        <v>WV</v>
      </c>
      <c r="D68" s="62">
        <f>_book!$F$63</f>
        <v>85500</v>
      </c>
      <c r="E68" s="63">
        <f>_book!$N$63</f>
        <v>0.66600000000000004</v>
      </c>
      <c r="F68" s="64">
        <f>_book!$K$63</f>
        <v>0.98357003029225942</v>
      </c>
      <c r="G68" s="64">
        <f>_book!$L$63</f>
        <v>1.0131083140670549</v>
      </c>
      <c r="H68" s="64">
        <f>_book!$M$63</f>
        <v>1</v>
      </c>
      <c r="I68" s="63">
        <f>_book!$O$63</f>
        <v>0.6636443414540778</v>
      </c>
      <c r="J68" s="63">
        <f>_book!$P$63</f>
        <v>0.65145145714745112</v>
      </c>
      <c r="K68" s="65">
        <f>_book!$T$63</f>
        <v>1.6704422869471269E-2</v>
      </c>
      <c r="L68" s="65">
        <f>_book!$U$63</f>
        <v>2.277622455529826E-2</v>
      </c>
      <c r="M68" s="65" t="str">
        <f>IF(_book!$V$63=0,"—",_book!$W$63)</f>
        <v>—</v>
      </c>
      <c r="N68" s="63">
        <f>_book!$Y$63</f>
        <v>0.6636443414540778</v>
      </c>
      <c r="O68" s="66" t="str">
        <f>IF(_book!$V$63=0,"—",_book!$AA$63)</f>
        <v>—</v>
      </c>
      <c r="P68" s="67">
        <f>_book!$AC$63</f>
        <v>1</v>
      </c>
      <c r="Q68" s="67">
        <f>_book!$AD$63</f>
        <v>1</v>
      </c>
    </row>
    <row r="69" spans="1:17" x14ac:dyDescent="0.3">
      <c r="A69" s="61" t="str">
        <f>_book!$A$64</f>
        <v>Property</v>
      </c>
      <c r="B69" s="61" t="str">
        <f>_book!$B$64</f>
        <v>SBA</v>
      </c>
      <c r="C69" s="61" t="str">
        <f>_book!$C$64</f>
        <v>WI</v>
      </c>
      <c r="D69" s="62">
        <f>_book!$F$64</f>
        <v>67500</v>
      </c>
      <c r="E69" s="63">
        <f>_book!$N$64</f>
        <v>0.65</v>
      </c>
      <c r="F69" s="64">
        <f>_book!$K$64</f>
        <v>1</v>
      </c>
      <c r="G69" s="64">
        <f>_book!$L$64</f>
        <v>1.0095062160192581</v>
      </c>
      <c r="H69" s="64">
        <f>_book!$M$64</f>
        <v>1</v>
      </c>
      <c r="I69" s="63">
        <f>_book!$O$64</f>
        <v>0.65617904041251751</v>
      </c>
      <c r="J69" s="63">
        <f>_book!$P$64</f>
        <v>0.65102911897485305</v>
      </c>
      <c r="K69" s="65">
        <f>_book!$T$64</f>
        <v>0</v>
      </c>
      <c r="L69" s="65">
        <f>_book!$U$64</f>
        <v>0</v>
      </c>
      <c r="M69" s="65" t="str">
        <f>IF(_book!$V$64=0,"—",_book!$W$64)</f>
        <v>—</v>
      </c>
      <c r="N69" s="63">
        <f>_book!$Y$64</f>
        <v>0.65617904041251751</v>
      </c>
      <c r="O69" s="66" t="str">
        <f>IF(_book!$V$64=0,"—",_book!$AA$64)</f>
        <v>—</v>
      </c>
      <c r="P69" s="67">
        <f>_book!$AC$64</f>
        <v>0</v>
      </c>
      <c r="Q69" s="67">
        <f>_book!$AD$64</f>
        <v>0</v>
      </c>
    </row>
    <row r="70" spans="1:17" x14ac:dyDescent="0.3">
      <c r="A70" s="61" t="str">
        <f>_book!$A$65</f>
        <v>General Liability</v>
      </c>
      <c r="B70" s="61" t="str">
        <f>_book!$B$65</f>
        <v>ABD</v>
      </c>
      <c r="C70" s="61" t="str">
        <f>_book!$C$65</f>
        <v>AZ</v>
      </c>
      <c r="D70" s="62">
        <f>_book!$F$65</f>
        <v>28000</v>
      </c>
      <c r="E70" s="63">
        <f>_book!$N$65</f>
        <v>0.65</v>
      </c>
      <c r="F70" s="64">
        <f>_book!$K$65</f>
        <v>0.99306145153262859</v>
      </c>
      <c r="G70" s="64">
        <f>_book!$L$65</f>
        <v>0.98153851013092008</v>
      </c>
      <c r="H70" s="64">
        <f>_book!$M$65</f>
        <v>1</v>
      </c>
      <c r="I70" s="63">
        <f>_book!$O$65</f>
        <v>0.63357323744376037</v>
      </c>
      <c r="J70" s="63">
        <f>_book!$P$65</f>
        <v>0.59480029614224839</v>
      </c>
      <c r="K70" s="65">
        <f>_book!$T$65</f>
        <v>6.9870283018869106E-3</v>
      </c>
      <c r="L70" s="65">
        <f>_book!$U$65</f>
        <v>4.1162865591240383E-2</v>
      </c>
      <c r="M70" s="65" t="str">
        <f>IF(_book!$V$65=0,"—",_book!$W$65)</f>
        <v>—</v>
      </c>
      <c r="N70" s="63">
        <f>_book!$Y$65</f>
        <v>0.63357323744376037</v>
      </c>
      <c r="O70" s="66" t="str">
        <f>IF(_book!$V$65=0,"—",_book!$AA$65)</f>
        <v>—</v>
      </c>
      <c r="P70" s="67">
        <f>_book!$AC$65</f>
        <v>2</v>
      </c>
      <c r="Q70" s="67">
        <f>_book!$AD$65</f>
        <v>1</v>
      </c>
    </row>
    <row r="71" spans="1:17" x14ac:dyDescent="0.3">
      <c r="A71" s="61" t="str">
        <f>_book!$A$66</f>
        <v>General Liability</v>
      </c>
      <c r="B71" s="61" t="str">
        <f>_book!$B$66</f>
        <v>ABD</v>
      </c>
      <c r="C71" s="61" t="str">
        <f>_book!$C$66</f>
        <v>CO</v>
      </c>
      <c r="D71" s="62">
        <f>_book!$F$66</f>
        <v>73500</v>
      </c>
      <c r="E71" s="63">
        <f>_book!$N$66</f>
        <v>0.628</v>
      </c>
      <c r="F71" s="64">
        <f>_book!$K$66</f>
        <v>0.98357003029225942</v>
      </c>
      <c r="G71" s="64">
        <f>_book!$L$66</f>
        <v>1.009566543114361</v>
      </c>
      <c r="H71" s="64">
        <f>_book!$M$66</f>
        <v>1</v>
      </c>
      <c r="I71" s="63">
        <f>_book!$O$66</f>
        <v>0.62359106030683131</v>
      </c>
      <c r="J71" s="63">
        <f>_book!$P$66</f>
        <v>0.60755411031364992</v>
      </c>
      <c r="K71" s="65">
        <f>_book!$T$66</f>
        <v>1.6704422869471269E-2</v>
      </c>
      <c r="L71" s="65">
        <f>_book!$U$66</f>
        <v>2.277622455529826E-2</v>
      </c>
      <c r="M71" s="65" t="str">
        <f>IF(_book!$V$66=0,"—",_book!$W$66)</f>
        <v>—</v>
      </c>
      <c r="N71" s="63">
        <f>_book!$Y$66</f>
        <v>0.62359106030683131</v>
      </c>
      <c r="O71" s="66" t="str">
        <f>IF(_book!$V$66=0,"—",_book!$AA$66)</f>
        <v>—</v>
      </c>
      <c r="P71" s="67">
        <f>_book!$AC$66</f>
        <v>1</v>
      </c>
      <c r="Q71" s="67">
        <f>_book!$AD$66</f>
        <v>1</v>
      </c>
    </row>
    <row r="72" spans="1:17" x14ac:dyDescent="0.3">
      <c r="A72" s="61" t="str">
        <f>_book!$A$67</f>
        <v>General Liability</v>
      </c>
      <c r="B72" s="61" t="str">
        <f>_book!$B$67</f>
        <v>ABD</v>
      </c>
      <c r="C72" s="61" t="str">
        <f>_book!$C$67</f>
        <v>DE</v>
      </c>
      <c r="D72" s="62">
        <f>_book!$F$67</f>
        <v>59500</v>
      </c>
      <c r="E72" s="63">
        <f>_book!$N$67</f>
        <v>0.61199999999999999</v>
      </c>
      <c r="F72" s="64">
        <f>_book!$K$67</f>
        <v>1</v>
      </c>
      <c r="G72" s="64">
        <f>_book!$L$67</f>
        <v>1.0063648743927289</v>
      </c>
      <c r="H72" s="64">
        <f>_book!$M$67</f>
        <v>1</v>
      </c>
      <c r="I72" s="63">
        <f>_book!$O$67</f>
        <v>0.61589530312835006</v>
      </c>
      <c r="J72" s="63">
        <f>_book!$P$67</f>
        <v>0.60732505926498503</v>
      </c>
      <c r="K72" s="65">
        <f>_book!$T$67</f>
        <v>0</v>
      </c>
      <c r="L72" s="65">
        <f>_book!$U$67</f>
        <v>0</v>
      </c>
      <c r="M72" s="65" t="str">
        <f>IF(_book!$V$67=0,"—",_book!$W$67)</f>
        <v>—</v>
      </c>
      <c r="N72" s="63">
        <f>_book!$Y$67</f>
        <v>0.61589530312835006</v>
      </c>
      <c r="O72" s="66" t="str">
        <f>IF(_book!$V$67=0,"—",_book!$AA$67)</f>
        <v>—</v>
      </c>
      <c r="P72" s="67">
        <f>_book!$AC$67</f>
        <v>0</v>
      </c>
      <c r="Q72" s="67">
        <f>_book!$AD$67</f>
        <v>0</v>
      </c>
    </row>
    <row r="73" spans="1:17" x14ac:dyDescent="0.3">
      <c r="A73" s="61" t="str">
        <f>_book!$A$68</f>
        <v>General Liability</v>
      </c>
      <c r="B73" s="61" t="str">
        <f>_book!$B$68</f>
        <v>ABD</v>
      </c>
      <c r="C73" s="61" t="str">
        <f>_book!$C$68</f>
        <v>FL</v>
      </c>
      <c r="D73" s="62">
        <f>_book!$F$68</f>
        <v>45500</v>
      </c>
      <c r="E73" s="63">
        <f>_book!$N$68</f>
        <v>0.64</v>
      </c>
      <c r="F73" s="64">
        <f>_book!$K$68</f>
        <v>1.0014903129657231</v>
      </c>
      <c r="G73" s="64">
        <f>_book!$L$68</f>
        <v>1</v>
      </c>
      <c r="H73" s="64">
        <f>_book!$M$68</f>
        <v>1</v>
      </c>
      <c r="I73" s="63">
        <f>_book!$O$68</f>
        <v>0.6409538002980627</v>
      </c>
      <c r="J73" s="63">
        <f>_book!$P$68</f>
        <v>0.64</v>
      </c>
      <c r="K73" s="65">
        <f>_book!$T$68</f>
        <v>-1.488095238095344E-3</v>
      </c>
      <c r="L73" s="65">
        <f>_book!$U$68</f>
        <v>1.490312965722884E-3</v>
      </c>
      <c r="M73" s="65" t="str">
        <f>IF(_book!$V$68=0,"—",_book!$W$68)</f>
        <v>—</v>
      </c>
      <c r="N73" s="63">
        <f>_book!$Y$68</f>
        <v>0.6409538002980627</v>
      </c>
      <c r="O73" s="66" t="str">
        <f>IF(_book!$V$68=0,"—",_book!$AA$68)</f>
        <v>—</v>
      </c>
      <c r="P73" s="67">
        <f>_book!$AC$68</f>
        <v>1</v>
      </c>
      <c r="Q73" s="67">
        <f>_book!$AD$68</f>
        <v>0</v>
      </c>
    </row>
    <row r="74" spans="1:17" x14ac:dyDescent="0.3">
      <c r="A74" s="61" t="str">
        <f>_book!$A$69</f>
        <v>General Liability</v>
      </c>
      <c r="B74" s="61" t="str">
        <f>_book!$B$69</f>
        <v>ABD</v>
      </c>
      <c r="C74" s="61" t="str">
        <f>_book!$C$69</f>
        <v>GA</v>
      </c>
      <c r="D74" s="62">
        <f>_book!$F$69</f>
        <v>31500</v>
      </c>
      <c r="E74" s="63">
        <f>_book!$N$69</f>
        <v>0.624</v>
      </c>
      <c r="F74" s="64">
        <f>_book!$K$69</f>
        <v>1.0031545741324921</v>
      </c>
      <c r="G74" s="64">
        <f>_book!$L$69</f>
        <v>1.007429838568157</v>
      </c>
      <c r="H74" s="64">
        <f>_book!$M$69</f>
        <v>1</v>
      </c>
      <c r="I74" s="63">
        <f>_book!$O$69</f>
        <v>0.63061929882257584</v>
      </c>
      <c r="J74" s="63">
        <f>_book!$P$69</f>
        <v>0.62204577147389617</v>
      </c>
      <c r="K74" s="65">
        <f>_book!$T$69</f>
        <v>-3.1446540880502032E-3</v>
      </c>
      <c r="L74" s="65">
        <f>_book!$U$69</f>
        <v>3.154574132492094E-3</v>
      </c>
      <c r="M74" s="65" t="str">
        <f>IF(_book!$V$69=0,"—",_book!$W$69)</f>
        <v>—</v>
      </c>
      <c r="N74" s="63">
        <f>_book!$Y$69</f>
        <v>0.63061929882257584</v>
      </c>
      <c r="O74" s="66" t="str">
        <f>IF(_book!$V$69=0,"—",_book!$AA$69)</f>
        <v>—</v>
      </c>
      <c r="P74" s="67">
        <f>_book!$AC$69</f>
        <v>1</v>
      </c>
      <c r="Q74" s="67">
        <f>_book!$AD$69</f>
        <v>0</v>
      </c>
    </row>
    <row r="75" spans="1:17" x14ac:dyDescent="0.3">
      <c r="A75" s="61" t="str">
        <f>_book!$A$70</f>
        <v>General Liability</v>
      </c>
      <c r="B75" s="61" t="str">
        <f>_book!$B$70</f>
        <v>ABD</v>
      </c>
      <c r="C75" s="61" t="str">
        <f>_book!$C$70</f>
        <v>IA</v>
      </c>
      <c r="D75" s="62">
        <f>_book!$F$70</f>
        <v>77000</v>
      </c>
      <c r="E75" s="63">
        <f>_book!$N$70</f>
        <v>0.60799999999999998</v>
      </c>
      <c r="F75" s="64">
        <f>_book!$K$70</f>
        <v>0.99694186360817705</v>
      </c>
      <c r="G75" s="64">
        <f>_book!$L$70</f>
        <v>1.0127829221826721</v>
      </c>
      <c r="H75" s="64">
        <f>_book!$M$70</f>
        <v>1</v>
      </c>
      <c r="I75" s="63">
        <f>_book!$O$70</f>
        <v>0.61388890187376777</v>
      </c>
      <c r="J75" s="63">
        <f>_book!$P$70</f>
        <v>0.59502620019585351</v>
      </c>
      <c r="K75" s="65">
        <f>_book!$T$70</f>
        <v>3.0675172780434412E-3</v>
      </c>
      <c r="L75" s="65">
        <f>_book!$U$70</f>
        <v>3.3357934459420369E-2</v>
      </c>
      <c r="M75" s="65" t="str">
        <f>IF(_book!$V$70=0,"—",_book!$W$70)</f>
        <v>—</v>
      </c>
      <c r="N75" s="63">
        <f>_book!$Y$70</f>
        <v>0.61388890187376777</v>
      </c>
      <c r="O75" s="66" t="str">
        <f>IF(_book!$V$70=0,"—",_book!$AA$70)</f>
        <v>—</v>
      </c>
      <c r="P75" s="67">
        <f>_book!$AC$70</f>
        <v>1</v>
      </c>
      <c r="Q75" s="67">
        <f>_book!$AD$70</f>
        <v>1</v>
      </c>
    </row>
    <row r="76" spans="1:17" x14ac:dyDescent="0.3">
      <c r="A76" s="61" t="str">
        <f>_book!$A$71</f>
        <v>General Liability</v>
      </c>
      <c r="B76" s="61" t="str">
        <f>_book!$B$71</f>
        <v>ABD</v>
      </c>
      <c r="C76" s="61" t="str">
        <f>_book!$C$71</f>
        <v>IL</v>
      </c>
      <c r="D76" s="62">
        <f>_book!$F$71</f>
        <v>63000</v>
      </c>
      <c r="E76" s="63">
        <f>_book!$N$71</f>
        <v>0.63600000000000001</v>
      </c>
      <c r="F76" s="64">
        <f>_book!$K$71</f>
        <v>1.003654080389768</v>
      </c>
      <c r="G76" s="64">
        <f>_book!$L$71</f>
        <v>1.008497059082581</v>
      </c>
      <c r="H76" s="64">
        <f>_book!$M$71</f>
        <v>1</v>
      </c>
      <c r="I76" s="63">
        <f>_book!$O$71</f>
        <v>0.64374787182832349</v>
      </c>
      <c r="J76" s="63">
        <f>_book!$P$71</f>
        <v>0.63690080811972904</v>
      </c>
      <c r="K76" s="65">
        <f>_book!$T$71</f>
        <v>-3.640776699028847E-3</v>
      </c>
      <c r="L76" s="65">
        <f>_book!$U$71</f>
        <v>3.6540803897684442E-3</v>
      </c>
      <c r="M76" s="65" t="str">
        <f>IF(_book!$V$71=0,"—",_book!$W$71)</f>
        <v>—</v>
      </c>
      <c r="N76" s="63">
        <f>_book!$Y$71</f>
        <v>0.64374787182832349</v>
      </c>
      <c r="O76" s="66" t="str">
        <f>IF(_book!$V$71=0,"—",_book!$AA$71)</f>
        <v>—</v>
      </c>
      <c r="P76" s="67">
        <f>_book!$AC$71</f>
        <v>1</v>
      </c>
      <c r="Q76" s="67">
        <f>_book!$AD$71</f>
        <v>0</v>
      </c>
    </row>
    <row r="77" spans="1:17" x14ac:dyDescent="0.3">
      <c r="A77" s="61" t="str">
        <f>_book!$A$72</f>
        <v>General Liability</v>
      </c>
      <c r="B77" s="61" t="str">
        <f>_book!$B$72</f>
        <v>ABD</v>
      </c>
      <c r="C77" s="61" t="str">
        <f>_book!$C$72</f>
        <v>IN</v>
      </c>
      <c r="D77" s="62">
        <f>_book!$F$72</f>
        <v>49000</v>
      </c>
      <c r="E77" s="63">
        <f>_book!$N$72</f>
        <v>0.62</v>
      </c>
      <c r="F77" s="64">
        <f>_book!$K$72</f>
        <v>1.006586906842317</v>
      </c>
      <c r="G77" s="64">
        <f>_book!$L$72</f>
        <v>1.012788648555651</v>
      </c>
      <c r="H77" s="64">
        <f>_book!$M$72</f>
        <v>1</v>
      </c>
      <c r="I77" s="63">
        <f>_book!$O$72</f>
        <v>0.6320650716814793</v>
      </c>
      <c r="J77" s="63">
        <f>_book!$P$72</f>
        <v>0.63241962730786005</v>
      </c>
      <c r="K77" s="65">
        <f>_book!$T$72</f>
        <v>-6.54380341880334E-3</v>
      </c>
      <c r="L77" s="65">
        <f>_book!$U$72</f>
        <v>6.5869068423176644E-3</v>
      </c>
      <c r="M77" s="65" t="str">
        <f>IF(_book!$V$72=0,"—",_book!$W$72)</f>
        <v>—</v>
      </c>
      <c r="N77" s="63">
        <f>_book!$Y$72</f>
        <v>0.6320650716814793</v>
      </c>
      <c r="O77" s="66" t="str">
        <f>IF(_book!$V$72=0,"—",_book!$AA$72)</f>
        <v>—</v>
      </c>
      <c r="P77" s="67">
        <f>_book!$AC$72</f>
        <v>1</v>
      </c>
      <c r="Q77" s="67">
        <f>_book!$AD$72</f>
        <v>0</v>
      </c>
    </row>
    <row r="78" spans="1:17" x14ac:dyDescent="0.3">
      <c r="A78" s="61" t="str">
        <f>_book!$A$73</f>
        <v>General Liability</v>
      </c>
      <c r="B78" s="61" t="str">
        <f>_book!$B$73</f>
        <v>ABD</v>
      </c>
      <c r="C78" s="61" t="str">
        <f>_book!$C$73</f>
        <v>KY</v>
      </c>
      <c r="D78" s="62">
        <f>_book!$F$73</f>
        <v>35000</v>
      </c>
      <c r="E78" s="63">
        <f>_book!$N$73</f>
        <v>0.60399999999999998</v>
      </c>
      <c r="F78" s="64">
        <f>_book!$K$73</f>
        <v>1</v>
      </c>
      <c r="G78" s="64">
        <f>_book!$L$73</f>
        <v>1.009566543114361</v>
      </c>
      <c r="H78" s="64">
        <f>_book!$M$73</f>
        <v>1</v>
      </c>
      <c r="I78" s="63">
        <f>_book!$O$73</f>
        <v>0.60977819204107386</v>
      </c>
      <c r="J78" s="63">
        <f>_book!$P$73</f>
        <v>0.60762774346396231</v>
      </c>
      <c r="K78" s="65">
        <f>_book!$T$73</f>
        <v>0</v>
      </c>
      <c r="L78" s="65">
        <f>_book!$U$73</f>
        <v>0</v>
      </c>
      <c r="M78" s="65" t="str">
        <f>IF(_book!$V$73=0,"—",_book!$W$73)</f>
        <v>—</v>
      </c>
      <c r="N78" s="63">
        <f>_book!$Y$73</f>
        <v>0.60977819204107386</v>
      </c>
      <c r="O78" s="66" t="str">
        <f>IF(_book!$V$73=0,"—",_book!$AA$73)</f>
        <v>—</v>
      </c>
      <c r="P78" s="67">
        <f>_book!$AC$73</f>
        <v>0</v>
      </c>
      <c r="Q78" s="67">
        <f>_book!$AD$73</f>
        <v>0</v>
      </c>
    </row>
    <row r="79" spans="1:17" x14ac:dyDescent="0.3">
      <c r="A79" s="61" t="str">
        <f>_book!$A$74</f>
        <v>General Liability</v>
      </c>
      <c r="B79" s="61" t="str">
        <f>_book!$B$74</f>
        <v>ABD</v>
      </c>
      <c r="C79" s="61" t="str">
        <f>_book!$C$74</f>
        <v>MD</v>
      </c>
      <c r="D79" s="62">
        <f>_book!$F$74</f>
        <v>80500</v>
      </c>
      <c r="E79" s="63">
        <f>_book!$N$74</f>
        <v>0.63200000000000001</v>
      </c>
      <c r="F79" s="64">
        <f>_book!$K$74</f>
        <v>1.0148882186796879</v>
      </c>
      <c r="G79" s="64">
        <f>_book!$L$74</f>
        <v>1.0063648743927289</v>
      </c>
      <c r="H79" s="64">
        <f>_book!$M$74</f>
        <v>1</v>
      </c>
      <c r="I79" s="63">
        <f>_book!$O$74</f>
        <v>0.64549184417940253</v>
      </c>
      <c r="J79" s="63">
        <f>_book!$P$74</f>
        <v>0.60964498996254812</v>
      </c>
      <c r="K79" s="65">
        <f>_book!$T$74</f>
        <v>-1.466981132075462E-2</v>
      </c>
      <c r="L79" s="65">
        <f>_book!$U$74</f>
        <v>4.4066254966729002E-2</v>
      </c>
      <c r="M79" s="65" t="str">
        <f>IF(_book!$V$74=0,"—",_book!$W$74)</f>
        <v>—</v>
      </c>
      <c r="N79" s="63">
        <f>_book!$Y$74</f>
        <v>0.64549184417940253</v>
      </c>
      <c r="O79" s="66" t="str">
        <f>IF(_book!$V$74=0,"—",_book!$AA$74)</f>
        <v>—</v>
      </c>
      <c r="P79" s="67">
        <f>_book!$AC$74</f>
        <v>1</v>
      </c>
      <c r="Q79" s="67">
        <f>_book!$AD$74</f>
        <v>1</v>
      </c>
    </row>
    <row r="80" spans="1:17" x14ac:dyDescent="0.3">
      <c r="A80" s="61" t="str">
        <f>_book!$A$75</f>
        <v>General Liability</v>
      </c>
      <c r="B80" s="61" t="str">
        <f>_book!$B$75</f>
        <v>ABD</v>
      </c>
      <c r="C80" s="61" t="str">
        <f>_book!$C$75</f>
        <v>MI</v>
      </c>
      <c r="D80" s="62">
        <f>_book!$F$75</f>
        <v>66500</v>
      </c>
      <c r="E80" s="63">
        <f>_book!$N$75</f>
        <v>0.61599999999999999</v>
      </c>
      <c r="F80" s="64">
        <f>_book!$K$75</f>
        <v>1.0068549492733749</v>
      </c>
      <c r="G80" s="64">
        <f>_book!$L$75</f>
        <v>1.0106382978723401</v>
      </c>
      <c r="H80" s="64">
        <f>_book!$M$75</f>
        <v>1</v>
      </c>
      <c r="I80" s="63">
        <f>_book!$O$75</f>
        <v>0.62682076203699921</v>
      </c>
      <c r="J80" s="63">
        <f>_book!$P$75</f>
        <v>0.62255319148936183</v>
      </c>
      <c r="K80" s="65">
        <f>_book!$T$75</f>
        <v>-6.8082788671023353E-3</v>
      </c>
      <c r="L80" s="65">
        <f>_book!$U$75</f>
        <v>6.8549492733751549E-3</v>
      </c>
      <c r="M80" s="65" t="str">
        <f>IF(_book!$V$75=0,"—",_book!$W$75)</f>
        <v>—</v>
      </c>
      <c r="N80" s="63">
        <f>_book!$Y$75</f>
        <v>0.62682076203699921</v>
      </c>
      <c r="O80" s="66" t="str">
        <f>IF(_book!$V$75=0,"—",_book!$AA$75)</f>
        <v>—</v>
      </c>
      <c r="P80" s="67">
        <f>_book!$AC$75</f>
        <v>1</v>
      </c>
      <c r="Q80" s="67">
        <f>_book!$AD$75</f>
        <v>0</v>
      </c>
    </row>
    <row r="81" spans="1:17" x14ac:dyDescent="0.3">
      <c r="A81" s="61" t="str">
        <f>_book!$A$76</f>
        <v>General Liability</v>
      </c>
      <c r="B81" s="61" t="str">
        <f>_book!$B$76</f>
        <v>ABD</v>
      </c>
      <c r="C81" s="61" t="str">
        <f>_book!$C$76</f>
        <v>MN</v>
      </c>
      <c r="D81" s="62">
        <f>_book!$F$76</f>
        <v>52500</v>
      </c>
      <c r="E81" s="63">
        <f>_book!$N$76</f>
        <v>0.6</v>
      </c>
      <c r="F81" s="64">
        <f>_book!$K$76</f>
        <v>1</v>
      </c>
      <c r="G81" s="64">
        <f>_book!$L$76</f>
        <v>1.007429838568157</v>
      </c>
      <c r="H81" s="64">
        <f>_book!$M$76</f>
        <v>1</v>
      </c>
      <c r="I81" s="63">
        <f>_book!$O$76</f>
        <v>0.60445790314089431</v>
      </c>
      <c r="J81" s="63">
        <f>_book!$P$76</f>
        <v>0.59812093410951561</v>
      </c>
      <c r="K81" s="65">
        <f>_book!$T$76</f>
        <v>0</v>
      </c>
      <c r="L81" s="65">
        <f>_book!$U$76</f>
        <v>0</v>
      </c>
      <c r="M81" s="65" t="str">
        <f>IF(_book!$V$76=0,"—",_book!$W$76)</f>
        <v>—</v>
      </c>
      <c r="N81" s="63">
        <f>_book!$Y$76</f>
        <v>0.60445790314089431</v>
      </c>
      <c r="O81" s="66" t="str">
        <f>IF(_book!$V$76=0,"—",_book!$AA$76)</f>
        <v>—</v>
      </c>
      <c r="P81" s="67">
        <f>_book!$AC$76</f>
        <v>0</v>
      </c>
      <c r="Q81" s="67">
        <f>_book!$AD$76</f>
        <v>0</v>
      </c>
    </row>
    <row r="82" spans="1:17" x14ac:dyDescent="0.3">
      <c r="A82" s="61" t="str">
        <f>_book!$A$77</f>
        <v>General Liability</v>
      </c>
      <c r="B82" s="61" t="str">
        <f>_book!$B$77</f>
        <v>ABD</v>
      </c>
      <c r="C82" s="61" t="str">
        <f>_book!$C$77</f>
        <v>NM</v>
      </c>
      <c r="D82" s="62">
        <f>_book!$F$77</f>
        <v>38500</v>
      </c>
      <c r="E82" s="63">
        <f>_book!$N$77</f>
        <v>0.628</v>
      </c>
      <c r="F82" s="64">
        <f>_book!$K$77</f>
        <v>0.99999999999999978</v>
      </c>
      <c r="G82" s="64">
        <f>_book!$L$77</f>
        <v>1.0117123305960061</v>
      </c>
      <c r="H82" s="64">
        <f>_book!$M$77</f>
        <v>1</v>
      </c>
      <c r="I82" s="63">
        <f>_book!$O$77</f>
        <v>0.63535534361429169</v>
      </c>
      <c r="J82" s="63">
        <f>_book!$P$77</f>
        <v>0.63761672211389275</v>
      </c>
      <c r="K82" s="65">
        <f>_book!$T$77</f>
        <v>0</v>
      </c>
      <c r="L82" s="65">
        <f>_book!$U$77</f>
        <v>0</v>
      </c>
      <c r="M82" s="65" t="str">
        <f>IF(_book!$V$77=0,"—",_book!$W$77)</f>
        <v>—</v>
      </c>
      <c r="N82" s="63">
        <f>_book!$Y$77</f>
        <v>0.63535534361429169</v>
      </c>
      <c r="O82" s="66" t="str">
        <f>IF(_book!$V$77=0,"—",_book!$AA$77)</f>
        <v>—</v>
      </c>
      <c r="P82" s="67">
        <f>_book!$AC$77</f>
        <v>1</v>
      </c>
      <c r="Q82" s="67">
        <f>_book!$AD$77</f>
        <v>0</v>
      </c>
    </row>
    <row r="83" spans="1:17" x14ac:dyDescent="0.3">
      <c r="A83" s="61" t="str">
        <f>_book!$A$78</f>
        <v>General Liability</v>
      </c>
      <c r="B83" s="61" t="str">
        <f>_book!$B$78</f>
        <v>ABD</v>
      </c>
      <c r="C83" s="61" t="str">
        <f>_book!$C$78</f>
        <v>NC</v>
      </c>
      <c r="D83" s="62">
        <f>_book!$F$78</f>
        <v>84000</v>
      </c>
      <c r="E83" s="63">
        <f>_book!$N$78</f>
        <v>0.61199999999999999</v>
      </c>
      <c r="F83" s="64">
        <f>_book!$K$78</f>
        <v>0.9890368664800232</v>
      </c>
      <c r="G83" s="64">
        <f>_book!$L$78</f>
        <v>1.008497059082581</v>
      </c>
      <c r="H83" s="64">
        <f>_book!$M$78</f>
        <v>1</v>
      </c>
      <c r="I83" s="63">
        <f>_book!$O$78</f>
        <v>0.61043375195564509</v>
      </c>
      <c r="J83" s="63">
        <f>_book!$P$78</f>
        <v>0.59000415437833365</v>
      </c>
      <c r="K83" s="65">
        <f>_book!$T$78</f>
        <v>1.108465608465603E-2</v>
      </c>
      <c r="L83" s="65">
        <f>_book!$U$78</f>
        <v>2.7362045056124051E-2</v>
      </c>
      <c r="M83" s="65" t="str">
        <f>IF(_book!$V$78=0,"—",_book!$W$78)</f>
        <v>—</v>
      </c>
      <c r="N83" s="63">
        <f>_book!$Y$78</f>
        <v>0.61043375195564509</v>
      </c>
      <c r="O83" s="66" t="str">
        <f>IF(_book!$V$78=0,"—",_book!$AA$78)</f>
        <v>—</v>
      </c>
      <c r="P83" s="67">
        <f>_book!$AC$78</f>
        <v>1</v>
      </c>
      <c r="Q83" s="67">
        <f>_book!$AD$78</f>
        <v>1</v>
      </c>
    </row>
    <row r="84" spans="1:17" x14ac:dyDescent="0.3">
      <c r="A84" s="61" t="str">
        <f>_book!$A$79</f>
        <v>General Liability</v>
      </c>
      <c r="B84" s="61" t="str">
        <f>_book!$B$79</f>
        <v>ABD</v>
      </c>
      <c r="C84" s="61" t="str">
        <f>_book!$C$79</f>
        <v>OH</v>
      </c>
      <c r="D84" s="62">
        <f>_book!$F$79</f>
        <v>70000</v>
      </c>
      <c r="E84" s="63">
        <f>_book!$N$79</f>
        <v>0.64</v>
      </c>
      <c r="F84" s="64">
        <f>_book!$K$79</f>
        <v>1</v>
      </c>
      <c r="G84" s="64">
        <f>_book!$L$79</f>
        <v>1.012788648555651</v>
      </c>
      <c r="H84" s="64">
        <f>_book!$M$79</f>
        <v>1</v>
      </c>
      <c r="I84" s="63">
        <f>_book!$O$79</f>
        <v>0.64818473507561691</v>
      </c>
      <c r="J84" s="63">
        <f>_book!$P$79</f>
        <v>0.6528202604468234</v>
      </c>
      <c r="K84" s="65">
        <f>_book!$T$79</f>
        <v>0</v>
      </c>
      <c r="L84" s="65">
        <f>_book!$U$79</f>
        <v>0</v>
      </c>
      <c r="M84" s="65" t="str">
        <f>IF(_book!$V$79=0,"—",_book!$W$79)</f>
        <v>—</v>
      </c>
      <c r="N84" s="63">
        <f>_book!$Y$79</f>
        <v>0.64818473507561691</v>
      </c>
      <c r="O84" s="66" t="str">
        <f>IF(_book!$V$79=0,"—",_book!$AA$79)</f>
        <v>—</v>
      </c>
      <c r="P84" s="67">
        <f>_book!$AC$79</f>
        <v>0</v>
      </c>
      <c r="Q84" s="67">
        <f>_book!$AD$79</f>
        <v>0</v>
      </c>
    </row>
    <row r="85" spans="1:17" x14ac:dyDescent="0.3">
      <c r="A85" s="61" t="str">
        <f>_book!$A$80</f>
        <v>General Liability</v>
      </c>
      <c r="B85" s="61" t="str">
        <f>_book!$B$80</f>
        <v>ABD</v>
      </c>
      <c r="C85" s="61" t="str">
        <f>_book!$C$80</f>
        <v>PA</v>
      </c>
      <c r="D85" s="62">
        <f>_book!$F$80</f>
        <v>56000</v>
      </c>
      <c r="E85" s="63">
        <f>_book!$N$80</f>
        <v>0.624</v>
      </c>
      <c r="F85" s="64">
        <f>_book!$K$80</f>
        <v>1.000613120784795</v>
      </c>
      <c r="G85" s="64">
        <f>_book!$L$80</f>
        <v>1.009566543114361</v>
      </c>
      <c r="H85" s="64">
        <f>_book!$M$80</f>
        <v>1</v>
      </c>
      <c r="I85" s="63">
        <f>_book!$O$80</f>
        <v>0.63035577031164047</v>
      </c>
      <c r="J85" s="63">
        <f>_book!$P$80</f>
        <v>0.62774786741972277</v>
      </c>
      <c r="K85" s="65">
        <f>_book!$T$80</f>
        <v>-6.1274509803932453E-4</v>
      </c>
      <c r="L85" s="65">
        <f>_book!$U$80</f>
        <v>6.1312078479458521E-4</v>
      </c>
      <c r="M85" s="65" t="str">
        <f>IF(_book!$V$80=0,"—",_book!$W$80)</f>
        <v>—</v>
      </c>
      <c r="N85" s="63">
        <f>_book!$Y$80</f>
        <v>0.63035577031164047</v>
      </c>
      <c r="O85" s="66" t="str">
        <f>IF(_book!$V$80=0,"—",_book!$AA$80)</f>
        <v>—</v>
      </c>
      <c r="P85" s="67">
        <f>_book!$AC$80</f>
        <v>1</v>
      </c>
      <c r="Q85" s="67">
        <f>_book!$AD$80</f>
        <v>0</v>
      </c>
    </row>
    <row r="86" spans="1:17" x14ac:dyDescent="0.3">
      <c r="A86" s="61" t="str">
        <f>_book!$A$81</f>
        <v>General Liability</v>
      </c>
      <c r="B86" s="61" t="str">
        <f>_book!$B$81</f>
        <v>ABD</v>
      </c>
      <c r="C86" s="61" t="str">
        <f>_book!$C$81</f>
        <v>SC</v>
      </c>
      <c r="D86" s="62">
        <f>_book!$F$81</f>
        <v>42000</v>
      </c>
      <c r="E86" s="63">
        <f>_book!$N$81</f>
        <v>0.60799999999999998</v>
      </c>
      <c r="F86" s="64">
        <f>_book!$K$81</f>
        <v>1.00162074554295</v>
      </c>
      <c r="G86" s="64">
        <f>_book!$L$81</f>
        <v>1.0063648743927289</v>
      </c>
      <c r="H86" s="64">
        <f>_book!$M$81</f>
        <v>1</v>
      </c>
      <c r="I86" s="63">
        <f>_book!$O$81</f>
        <v>0.61286152895270907</v>
      </c>
      <c r="J86" s="63">
        <f>_book!$P$81</f>
        <v>0.60335561443318764</v>
      </c>
      <c r="K86" s="65">
        <f>_book!$T$81</f>
        <v>-1.618122977346093E-3</v>
      </c>
      <c r="L86" s="65">
        <f>_book!$U$81</f>
        <v>1.620745542949775E-3</v>
      </c>
      <c r="M86" s="65" t="str">
        <f>IF(_book!$V$81=0,"—",_book!$W$81)</f>
        <v>—</v>
      </c>
      <c r="N86" s="63">
        <f>_book!$Y$81</f>
        <v>0.61286152895270907</v>
      </c>
      <c r="O86" s="66" t="str">
        <f>IF(_book!$V$81=0,"—",_book!$AA$81)</f>
        <v>—</v>
      </c>
      <c r="P86" s="67">
        <f>_book!$AC$81</f>
        <v>1</v>
      </c>
      <c r="Q86" s="67">
        <f>_book!$AD$81</f>
        <v>0</v>
      </c>
    </row>
    <row r="87" spans="1:17" x14ac:dyDescent="0.3">
      <c r="A87" s="61" t="str">
        <f>_book!$A$82</f>
        <v>General Liability</v>
      </c>
      <c r="B87" s="61" t="str">
        <f>_book!$B$82</f>
        <v>ABD</v>
      </c>
      <c r="C87" s="61" t="str">
        <f>_book!$C$82</f>
        <v>TN</v>
      </c>
      <c r="D87" s="62">
        <f>_book!$F$82</f>
        <v>28000</v>
      </c>
      <c r="E87" s="63">
        <f>_book!$N$82</f>
        <v>0.63600000000000001</v>
      </c>
      <c r="F87" s="64">
        <f>_book!$K$82</f>
        <v>0.9965397923875432</v>
      </c>
      <c r="G87" s="64">
        <f>_book!$L$82</f>
        <v>1.0106382978723401</v>
      </c>
      <c r="H87" s="64">
        <f>_book!$M$82</f>
        <v>1</v>
      </c>
      <c r="I87" s="63">
        <f>_book!$O$82</f>
        <v>0.64054185378782302</v>
      </c>
      <c r="J87" s="63">
        <f>_book!$P$82</f>
        <v>0.62211518935569576</v>
      </c>
      <c r="K87" s="65">
        <f>_book!$T$82</f>
        <v>3.4722222222223209E-3</v>
      </c>
      <c r="L87" s="65">
        <f>_book!$U$82</f>
        <v>2.9619377162629631E-2</v>
      </c>
      <c r="M87" s="65" t="str">
        <f>IF(_book!$V$82=0,"—",_book!$W$82)</f>
        <v>—</v>
      </c>
      <c r="N87" s="63">
        <f>_book!$Y$82</f>
        <v>0.64054185378782302</v>
      </c>
      <c r="O87" s="66" t="str">
        <f>IF(_book!$V$82=0,"—",_book!$AA$82)</f>
        <v>—</v>
      </c>
      <c r="P87" s="67">
        <f>_book!$AC$82</f>
        <v>0</v>
      </c>
      <c r="Q87" s="67">
        <f>_book!$AD$82</f>
        <v>1</v>
      </c>
    </row>
    <row r="88" spans="1:17" x14ac:dyDescent="0.3">
      <c r="A88" s="61" t="str">
        <f>_book!$A$83</f>
        <v>General Liability</v>
      </c>
      <c r="B88" s="61" t="str">
        <f>_book!$B$83</f>
        <v>ABD</v>
      </c>
      <c r="C88" s="61" t="str">
        <f>_book!$C$83</f>
        <v>VA</v>
      </c>
      <c r="D88" s="62">
        <f>_book!$F$83</f>
        <v>73500</v>
      </c>
      <c r="E88" s="63">
        <f>_book!$N$83</f>
        <v>0.62</v>
      </c>
      <c r="F88" s="64">
        <f>_book!$K$83</f>
        <v>1.005988023952096</v>
      </c>
      <c r="G88" s="64">
        <f>_book!$L$83</f>
        <v>1.007429838568157</v>
      </c>
      <c r="H88" s="64">
        <f>_book!$M$83</f>
        <v>1</v>
      </c>
      <c r="I88" s="63">
        <f>_book!$O$83</f>
        <v>0.628346658594367</v>
      </c>
      <c r="J88" s="63">
        <f>_book!$P$83</f>
        <v>0.61805829857983274</v>
      </c>
      <c r="K88" s="65">
        <f>_book!$T$83</f>
        <v>-5.9523809523810423E-3</v>
      </c>
      <c r="L88" s="65">
        <f>_book!$U$83</f>
        <v>5.9880239520959666E-3</v>
      </c>
      <c r="M88" s="65" t="str">
        <f>IF(_book!$V$83=0,"—",_book!$W$83)</f>
        <v>—</v>
      </c>
      <c r="N88" s="63">
        <f>_book!$Y$83</f>
        <v>0.628346658594367</v>
      </c>
      <c r="O88" s="66" t="str">
        <f>IF(_book!$V$83=0,"—",_book!$AA$83)</f>
        <v>—</v>
      </c>
      <c r="P88" s="67">
        <f>_book!$AC$83</f>
        <v>1</v>
      </c>
      <c r="Q88" s="67">
        <f>_book!$AD$83</f>
        <v>0</v>
      </c>
    </row>
    <row r="89" spans="1:17" x14ac:dyDescent="0.3">
      <c r="A89" s="61" t="str">
        <f>_book!$A$84</f>
        <v>General Liability</v>
      </c>
      <c r="B89" s="61" t="str">
        <f>_book!$B$84</f>
        <v>ABD</v>
      </c>
      <c r="C89" s="61" t="str">
        <f>_book!$C$84</f>
        <v>WV</v>
      </c>
      <c r="D89" s="62">
        <f>_book!$F$84</f>
        <v>59500</v>
      </c>
      <c r="E89" s="63">
        <f>_book!$N$84</f>
        <v>0.60399999999999998</v>
      </c>
      <c r="F89" s="64">
        <f>_book!$K$84</f>
        <v>1.009724151617384</v>
      </c>
      <c r="G89" s="64">
        <f>_book!$L$84</f>
        <v>1.0117123305960061</v>
      </c>
      <c r="H89" s="64">
        <f>_book!$M$84</f>
        <v>1</v>
      </c>
      <c r="I89" s="63">
        <f>_book!$O$84</f>
        <v>0.61701642631390707</v>
      </c>
      <c r="J89" s="63">
        <f>_book!$P$84</f>
        <v>0.61324920407132355</v>
      </c>
      <c r="K89" s="65">
        <f>_book!$T$84</f>
        <v>-9.630503144654079E-3</v>
      </c>
      <c r="L89" s="65">
        <f>_book!$U$84</f>
        <v>9.7241516173847131E-3</v>
      </c>
      <c r="M89" s="65" t="str">
        <f>IF(_book!$V$84=0,"—",_book!$W$84)</f>
        <v>—</v>
      </c>
      <c r="N89" s="63">
        <f>_book!$Y$84</f>
        <v>0.61701642631390707</v>
      </c>
      <c r="O89" s="66" t="str">
        <f>IF(_book!$V$84=0,"—",_book!$AA$84)</f>
        <v>—</v>
      </c>
      <c r="P89" s="67">
        <f>_book!$AC$84</f>
        <v>1</v>
      </c>
      <c r="Q89" s="67">
        <f>_book!$AD$84</f>
        <v>0</v>
      </c>
    </row>
    <row r="90" spans="1:17" x14ac:dyDescent="0.3">
      <c r="A90" s="61" t="str">
        <f>_book!$A$85</f>
        <v>General Liability</v>
      </c>
      <c r="B90" s="61" t="str">
        <f>_book!$B$85</f>
        <v>ABD</v>
      </c>
      <c r="C90" s="61" t="str">
        <f>_book!$C$85</f>
        <v>WI</v>
      </c>
      <c r="D90" s="62">
        <f>_book!$F$85</f>
        <v>45500</v>
      </c>
      <c r="E90" s="63">
        <f>_book!$N$85</f>
        <v>0.63200000000000001</v>
      </c>
      <c r="F90" s="64">
        <f>_book!$K$85</f>
        <v>1</v>
      </c>
      <c r="G90" s="64">
        <f>_book!$L$85</f>
        <v>1.008497059082581</v>
      </c>
      <c r="H90" s="64">
        <f>_book!$M$85</f>
        <v>1</v>
      </c>
      <c r="I90" s="63">
        <f>_book!$O$85</f>
        <v>0.63737014134019121</v>
      </c>
      <c r="J90" s="63">
        <f>_book!$P$85</f>
        <v>0.63289514265985669</v>
      </c>
      <c r="K90" s="65">
        <f>_book!$T$85</f>
        <v>0</v>
      </c>
      <c r="L90" s="65">
        <f>_book!$U$85</f>
        <v>0</v>
      </c>
      <c r="M90" s="65" t="str">
        <f>IF(_book!$V$85=0,"—",_book!$W$85)</f>
        <v>—</v>
      </c>
      <c r="N90" s="63">
        <f>_book!$Y$85</f>
        <v>0.63737014134019121</v>
      </c>
      <c r="O90" s="66" t="str">
        <f>IF(_book!$V$85=0,"—",_book!$AA$85)</f>
        <v>—</v>
      </c>
      <c r="P90" s="67">
        <f>_book!$AC$85</f>
        <v>0</v>
      </c>
      <c r="Q90" s="67">
        <f>_book!$AD$85</f>
        <v>0</v>
      </c>
    </row>
    <row r="91" spans="1:17" x14ac:dyDescent="0.3">
      <c r="A91" s="61" t="str">
        <f>_book!$A$86</f>
        <v>General Liability</v>
      </c>
      <c r="B91" s="61" t="str">
        <f>_book!$B$86</f>
        <v>MM</v>
      </c>
      <c r="C91" s="61" t="str">
        <f>_book!$C$86</f>
        <v>AZ</v>
      </c>
      <c r="D91" s="62">
        <f>_book!$F$86</f>
        <v>31500</v>
      </c>
      <c r="E91" s="63">
        <f>_book!$N$86</f>
        <v>0.61599999999999999</v>
      </c>
      <c r="F91" s="64">
        <f>_book!$K$86</f>
        <v>0.99145975603886694</v>
      </c>
      <c r="G91" s="64">
        <f>_book!$L$86</f>
        <v>1.012788648555651</v>
      </c>
      <c r="H91" s="64">
        <f>_book!$M$86</f>
        <v>1</v>
      </c>
      <c r="I91" s="63">
        <f>_book!$O$86</f>
        <v>0.61854973883220665</v>
      </c>
      <c r="J91" s="63">
        <f>_book!$P$86</f>
        <v>0.60425329302744557</v>
      </c>
      <c r="K91" s="65">
        <f>_book!$T$86</f>
        <v>8.6138079827400293E-3</v>
      </c>
      <c r="L91" s="65">
        <f>_book!$U$86</f>
        <v>3.098044353652751E-2</v>
      </c>
      <c r="M91" s="65" t="str">
        <f>IF(_book!$V$86=0,"—",_book!$W$86)</f>
        <v>—</v>
      </c>
      <c r="N91" s="63">
        <f>_book!$Y$86</f>
        <v>0.61854973883220665</v>
      </c>
      <c r="O91" s="66" t="str">
        <f>IF(_book!$V$86=0,"—",_book!$AA$86)</f>
        <v>—</v>
      </c>
      <c r="P91" s="67">
        <f>_book!$AC$86</f>
        <v>1</v>
      </c>
      <c r="Q91" s="67">
        <f>_book!$AD$86</f>
        <v>1</v>
      </c>
    </row>
    <row r="92" spans="1:17" x14ac:dyDescent="0.3">
      <c r="A92" s="61" t="str">
        <f>_book!$A$87</f>
        <v>General Liability</v>
      </c>
      <c r="B92" s="61" t="str">
        <f>_book!$B$87</f>
        <v>MM</v>
      </c>
      <c r="C92" s="61" t="str">
        <f>_book!$C$87</f>
        <v>CO</v>
      </c>
      <c r="D92" s="62">
        <f>_book!$F$87</f>
        <v>77000</v>
      </c>
      <c r="E92" s="63">
        <f>_book!$N$87</f>
        <v>0.64800000000000002</v>
      </c>
      <c r="F92" s="64">
        <f>_book!$K$87</f>
        <v>1.013535462912831</v>
      </c>
      <c r="G92" s="64">
        <f>_book!$L$87</f>
        <v>1.009566543114361</v>
      </c>
      <c r="H92" s="64">
        <f>_book!$M$87</f>
        <v>1</v>
      </c>
      <c r="I92" s="63">
        <f>_book!$O$87</f>
        <v>0.663054007863635</v>
      </c>
      <c r="J92" s="63">
        <f>_book!$P$87</f>
        <v>0.65841093632830139</v>
      </c>
      <c r="K92" s="65">
        <f>_book!$T$87</f>
        <v>-1.3354700854700811E-2</v>
      </c>
      <c r="L92" s="65">
        <f>_book!$U$87</f>
        <v>1.3535462912831701E-2</v>
      </c>
      <c r="M92" s="65" t="str">
        <f>IF(_book!$V$87=0,"—",_book!$W$87)</f>
        <v>—</v>
      </c>
      <c r="N92" s="63">
        <f>_book!$Y$87</f>
        <v>0.663054007863635</v>
      </c>
      <c r="O92" s="66" t="str">
        <f>IF(_book!$V$87=0,"—",_book!$AA$87)</f>
        <v>—</v>
      </c>
      <c r="P92" s="67">
        <f>_book!$AC$87</f>
        <v>1</v>
      </c>
      <c r="Q92" s="67">
        <f>_book!$AD$87</f>
        <v>0</v>
      </c>
    </row>
    <row r="93" spans="1:17" x14ac:dyDescent="0.3">
      <c r="A93" s="61" t="str">
        <f>_book!$A$88</f>
        <v>General Liability</v>
      </c>
      <c r="B93" s="61" t="str">
        <f>_book!$B$88</f>
        <v>MM</v>
      </c>
      <c r="C93" s="61" t="str">
        <f>_book!$C$88</f>
        <v>DE</v>
      </c>
      <c r="D93" s="62">
        <f>_book!$F$88</f>
        <v>63000</v>
      </c>
      <c r="E93" s="63">
        <f>_book!$N$88</f>
        <v>0.628</v>
      </c>
      <c r="F93" s="64">
        <f>_book!$K$88</f>
        <v>0.99554699171046557</v>
      </c>
      <c r="G93" s="64">
        <f>_book!$L$88</f>
        <v>0.99948650745358902</v>
      </c>
      <c r="H93" s="64">
        <f>_book!$M$88</f>
        <v>1.02</v>
      </c>
      <c r="I93" s="63">
        <f>_book!$O$88</f>
        <v>0.63738012292041735</v>
      </c>
      <c r="J93" s="63">
        <f>_book!$P$88</f>
        <v>0.60616320557222492</v>
      </c>
      <c r="K93" s="65">
        <f>_book!$T$88</f>
        <v>4.4729262672811299E-3</v>
      </c>
      <c r="L93" s="65">
        <f>_book!$U$88</f>
        <v>2.3332654725072951E-2</v>
      </c>
      <c r="M93" s="65" t="str">
        <f>IF(_book!$V$88=0,"—",_book!$W$88)</f>
        <v>—</v>
      </c>
      <c r="N93" s="63">
        <f>_book!$Y$88</f>
        <v>0.63738012292041735</v>
      </c>
      <c r="O93" s="66" t="str">
        <f>IF(_book!$V$88=0,"—",_book!$AA$88)</f>
        <v>—</v>
      </c>
      <c r="P93" s="67">
        <f>_book!$AC$88</f>
        <v>1</v>
      </c>
      <c r="Q93" s="67">
        <f>_book!$AD$88</f>
        <v>1</v>
      </c>
    </row>
    <row r="94" spans="1:17" x14ac:dyDescent="0.3">
      <c r="A94" s="61" t="str">
        <f>_book!$A$89</f>
        <v>General Liability</v>
      </c>
      <c r="B94" s="61" t="str">
        <f>_book!$B$89</f>
        <v>MM</v>
      </c>
      <c r="C94" s="61" t="str">
        <f>_book!$C$89</f>
        <v>FL</v>
      </c>
      <c r="D94" s="62">
        <f>_book!$F$89</f>
        <v>49000</v>
      </c>
      <c r="E94" s="63">
        <f>_book!$N$89</f>
        <v>0.61199999999999999</v>
      </c>
      <c r="F94" s="64">
        <f>_book!$K$89</f>
        <v>1.00418410041841</v>
      </c>
      <c r="G94" s="64">
        <f>_book!$L$89</f>
        <v>1.0106382978723401</v>
      </c>
      <c r="H94" s="64">
        <f>_book!$M$89</f>
        <v>1</v>
      </c>
      <c r="I94" s="63">
        <f>_book!$O$89</f>
        <v>0.62109854891836558</v>
      </c>
      <c r="J94" s="63">
        <f>_book!$P$89</f>
        <v>0.59055757953329635</v>
      </c>
      <c r="K94" s="65">
        <f>_book!$T$89</f>
        <v>-4.1666666666666519E-3</v>
      </c>
      <c r="L94" s="65">
        <f>_book!$U$89</f>
        <v>5.1715481171548117E-2</v>
      </c>
      <c r="M94" s="65" t="str">
        <f>IF(_book!$V$89=0,"—",_book!$W$89)</f>
        <v>—</v>
      </c>
      <c r="N94" s="63">
        <f>_book!$Y$89</f>
        <v>0.62109854891836558</v>
      </c>
      <c r="O94" s="66" t="str">
        <f>IF(_book!$V$89=0,"—",_book!$AA$89)</f>
        <v>—</v>
      </c>
      <c r="P94" s="67">
        <f>_book!$AC$89</f>
        <v>1</v>
      </c>
      <c r="Q94" s="67">
        <f>_book!$AD$89</f>
        <v>1</v>
      </c>
    </row>
    <row r="95" spans="1:17" x14ac:dyDescent="0.3">
      <c r="A95" s="61" t="str">
        <f>_book!$A$90</f>
        <v>General Liability</v>
      </c>
      <c r="B95" s="61" t="str">
        <f>_book!$B$90</f>
        <v>MM</v>
      </c>
      <c r="C95" s="61" t="str">
        <f>_book!$C$90</f>
        <v>GA</v>
      </c>
      <c r="D95" s="62">
        <f>_book!$F$90</f>
        <v>35000</v>
      </c>
      <c r="E95" s="63">
        <f>_book!$N$90</f>
        <v>0.64</v>
      </c>
      <c r="F95" s="64">
        <f>_book!$K$90</f>
        <v>0.99330761698144854</v>
      </c>
      <c r="G95" s="64">
        <f>_book!$L$90</f>
        <v>1.007429838568157</v>
      </c>
      <c r="H95" s="64">
        <f>_book!$M$90</f>
        <v>1</v>
      </c>
      <c r="I95" s="63">
        <f>_book!$O$90</f>
        <v>0.64044014862345078</v>
      </c>
      <c r="J95" s="63">
        <f>_book!$P$90</f>
        <v>0.61551236419148847</v>
      </c>
      <c r="K95" s="65">
        <f>_book!$T$90</f>
        <v>6.7374727668845216E-3</v>
      </c>
      <c r="L95" s="65">
        <f>_book!$U$90</f>
        <v>2.9590936879521301E-2</v>
      </c>
      <c r="M95" s="65" t="str">
        <f>IF(_book!$V$90=0,"—",_book!$W$90)</f>
        <v>—</v>
      </c>
      <c r="N95" s="63">
        <f>_book!$Y$90</f>
        <v>0.64044014862345078</v>
      </c>
      <c r="O95" s="66" t="str">
        <f>IF(_book!$V$90=0,"—",_book!$AA$90)</f>
        <v>—</v>
      </c>
      <c r="P95" s="67">
        <f>_book!$AC$90</f>
        <v>1</v>
      </c>
      <c r="Q95" s="67">
        <f>_book!$AD$90</f>
        <v>1</v>
      </c>
    </row>
    <row r="96" spans="1:17" x14ac:dyDescent="0.3">
      <c r="A96" s="61" t="str">
        <f>_book!$A$91</f>
        <v>General Liability</v>
      </c>
      <c r="B96" s="61" t="str">
        <f>_book!$B$91</f>
        <v>MM</v>
      </c>
      <c r="C96" s="61" t="str">
        <f>_book!$C$91</f>
        <v>IA</v>
      </c>
      <c r="D96" s="62">
        <f>_book!$F$91</f>
        <v>80500</v>
      </c>
      <c r="E96" s="63">
        <f>_book!$N$91</f>
        <v>0.624</v>
      </c>
      <c r="F96" s="64">
        <f>_book!$K$91</f>
        <v>1</v>
      </c>
      <c r="G96" s="64">
        <f>_book!$L$91</f>
        <v>1.0117123305960061</v>
      </c>
      <c r="H96" s="64">
        <f>_book!$M$91</f>
        <v>1</v>
      </c>
      <c r="I96" s="63">
        <f>_book!$O$91</f>
        <v>0.63130849429190783</v>
      </c>
      <c r="J96" s="63">
        <f>_book!$P$91</f>
        <v>0.63355546910679794</v>
      </c>
      <c r="K96" s="65">
        <f>_book!$T$91</f>
        <v>0</v>
      </c>
      <c r="L96" s="65">
        <f>_book!$U$91</f>
        <v>0</v>
      </c>
      <c r="M96" s="65" t="str">
        <f>IF(_book!$V$91=0,"—",_book!$W$91)</f>
        <v>—</v>
      </c>
      <c r="N96" s="63">
        <f>_book!$Y$91</f>
        <v>0.63130849429190783</v>
      </c>
      <c r="O96" s="66" t="str">
        <f>IF(_book!$V$91=0,"—",_book!$AA$91)</f>
        <v>—</v>
      </c>
      <c r="P96" s="67">
        <f>_book!$AC$91</f>
        <v>0</v>
      </c>
      <c r="Q96" s="67">
        <f>_book!$AD$91</f>
        <v>0</v>
      </c>
    </row>
    <row r="97" spans="1:17" x14ac:dyDescent="0.3">
      <c r="A97" s="61" t="str">
        <f>_book!$A$92</f>
        <v>General Liability</v>
      </c>
      <c r="B97" s="61" t="str">
        <f>_book!$B$92</f>
        <v>MM</v>
      </c>
      <c r="C97" s="61" t="str">
        <f>_book!$C$92</f>
        <v>IL</v>
      </c>
      <c r="D97" s="62">
        <f>_book!$F$92</f>
        <v>66500</v>
      </c>
      <c r="E97" s="63">
        <f>_book!$N$92</f>
        <v>0.60799999999999998</v>
      </c>
      <c r="F97" s="64">
        <f>_book!$K$92</f>
        <v>1.001203369434416</v>
      </c>
      <c r="G97" s="64">
        <f>_book!$L$92</f>
        <v>1.008497059082581</v>
      </c>
      <c r="H97" s="64">
        <f>_book!$M$92</f>
        <v>1</v>
      </c>
      <c r="I97" s="63">
        <f>_book!$O$92</f>
        <v>0.6139040773998532</v>
      </c>
      <c r="J97" s="63">
        <f>_book!$P$92</f>
        <v>0.60886114990062146</v>
      </c>
      <c r="K97" s="65">
        <f>_book!$T$92</f>
        <v>-1.2019230769230169E-3</v>
      </c>
      <c r="L97" s="65">
        <f>_book!$U$92</f>
        <v>1.2033694344164569E-3</v>
      </c>
      <c r="M97" s="65" t="str">
        <f>IF(_book!$V$92=0,"—",_book!$W$92)</f>
        <v>—</v>
      </c>
      <c r="N97" s="63">
        <f>_book!$Y$92</f>
        <v>0.6139040773998532</v>
      </c>
      <c r="O97" s="66" t="str">
        <f>IF(_book!$V$92=0,"—",_book!$AA$92)</f>
        <v>—</v>
      </c>
      <c r="P97" s="67">
        <f>_book!$AC$92</f>
        <v>1</v>
      </c>
      <c r="Q97" s="67">
        <f>_book!$AD$92</f>
        <v>0</v>
      </c>
    </row>
    <row r="98" spans="1:17" x14ac:dyDescent="0.3">
      <c r="A98" s="61" t="str">
        <f>_book!$A$93</f>
        <v>General Liability</v>
      </c>
      <c r="B98" s="61" t="str">
        <f>_book!$B$93</f>
        <v>MM</v>
      </c>
      <c r="C98" s="61" t="str">
        <f>_book!$C$93</f>
        <v>IN</v>
      </c>
      <c r="D98" s="62">
        <f>_book!$F$93</f>
        <v>52500</v>
      </c>
      <c r="E98" s="63">
        <f>_book!$N$93</f>
        <v>0.63600000000000001</v>
      </c>
      <c r="F98" s="64">
        <f>_book!$K$93</f>
        <v>1.0026525198938989</v>
      </c>
      <c r="G98" s="64">
        <f>_book!$L$93</f>
        <v>1.012788648555651</v>
      </c>
      <c r="H98" s="64">
        <f>_book!$M$93</f>
        <v>1</v>
      </c>
      <c r="I98" s="63">
        <f>_book!$O$93</f>
        <v>0.64584215761794972</v>
      </c>
      <c r="J98" s="63">
        <f>_book!$P$93</f>
        <v>0.64874013381903073</v>
      </c>
      <c r="K98" s="65">
        <f>_book!$T$93</f>
        <v>-2.6455026455026731E-3</v>
      </c>
      <c r="L98" s="65">
        <f>_book!$U$93</f>
        <v>2.6525198938991408E-3</v>
      </c>
      <c r="M98" s="65" t="str">
        <f>IF(_book!$V$93=0,"—",_book!$W$93)</f>
        <v>—</v>
      </c>
      <c r="N98" s="63">
        <f>_book!$Y$93</f>
        <v>0.64584215761794972</v>
      </c>
      <c r="O98" s="66" t="str">
        <f>IF(_book!$V$93=0,"—",_book!$AA$93)</f>
        <v>—</v>
      </c>
      <c r="P98" s="67">
        <f>_book!$AC$93</f>
        <v>1</v>
      </c>
      <c r="Q98" s="67">
        <f>_book!$AD$93</f>
        <v>0</v>
      </c>
    </row>
    <row r="99" spans="1:17" x14ac:dyDescent="0.3">
      <c r="A99" s="61" t="str">
        <f>_book!$A$94</f>
        <v>General Liability</v>
      </c>
      <c r="B99" s="61" t="str">
        <f>_book!$B$94</f>
        <v>MM</v>
      </c>
      <c r="C99" s="61" t="str">
        <f>_book!$C$94</f>
        <v>KY</v>
      </c>
      <c r="D99" s="62">
        <f>_book!$F$94</f>
        <v>38500</v>
      </c>
      <c r="E99" s="63">
        <f>_book!$N$94</f>
        <v>0.62</v>
      </c>
      <c r="F99" s="64">
        <f>_book!$K$94</f>
        <v>0.99875156054931336</v>
      </c>
      <c r="G99" s="64">
        <f>_book!$L$94</f>
        <v>1.009566543114361</v>
      </c>
      <c r="H99" s="64">
        <f>_book!$M$94</f>
        <v>1</v>
      </c>
      <c r="I99" s="63">
        <f>_book!$O$94</f>
        <v>0.62514981945658288</v>
      </c>
      <c r="J99" s="63">
        <f>_book!$P$94</f>
        <v>0.6062929211456336</v>
      </c>
      <c r="K99" s="65">
        <f>_book!$T$94</f>
        <v>1.2499999999999729E-3</v>
      </c>
      <c r="L99" s="65">
        <f>_book!$U$94</f>
        <v>2.7465667915106181E-2</v>
      </c>
      <c r="M99" s="65" t="str">
        <f>IF(_book!$V$94=0,"—",_book!$W$94)</f>
        <v>—</v>
      </c>
      <c r="N99" s="63">
        <f>_book!$Y$94</f>
        <v>0.62514981945658288</v>
      </c>
      <c r="O99" s="66" t="str">
        <f>IF(_book!$V$94=0,"—",_book!$AA$94)</f>
        <v>—</v>
      </c>
      <c r="P99" s="67">
        <f>_book!$AC$94</f>
        <v>0</v>
      </c>
      <c r="Q99" s="67">
        <f>_book!$AD$94</f>
        <v>1</v>
      </c>
    </row>
    <row r="100" spans="1:17" x14ac:dyDescent="0.3">
      <c r="A100" s="61" t="str">
        <f>_book!$A$95</f>
        <v>General Liability</v>
      </c>
      <c r="B100" s="61" t="str">
        <f>_book!$B$95</f>
        <v>MM</v>
      </c>
      <c r="C100" s="61" t="str">
        <f>_book!$C$95</f>
        <v>MD</v>
      </c>
      <c r="D100" s="62">
        <f>_book!$F$95</f>
        <v>84000</v>
      </c>
      <c r="E100" s="63">
        <f>_book!$N$95</f>
        <v>0.60399999999999998</v>
      </c>
      <c r="F100" s="64">
        <f>_book!$K$95</f>
        <v>1.002457002457003</v>
      </c>
      <c r="G100" s="64">
        <f>_book!$L$95</f>
        <v>1.0063648743927289</v>
      </c>
      <c r="H100" s="64">
        <f>_book!$M$95</f>
        <v>1</v>
      </c>
      <c r="I100" s="63">
        <f>_book!$O$95</f>
        <v>0.60933785927849871</v>
      </c>
      <c r="J100" s="63">
        <f>_book!$P$95</f>
        <v>0.59938616960139057</v>
      </c>
      <c r="K100" s="65">
        <f>_book!$T$95</f>
        <v>-2.4509803921570761E-3</v>
      </c>
      <c r="L100" s="65">
        <f>_book!$U$95</f>
        <v>2.4570024570023108E-3</v>
      </c>
      <c r="M100" s="65" t="str">
        <f>IF(_book!$V$95=0,"—",_book!$W$95)</f>
        <v>—</v>
      </c>
      <c r="N100" s="63">
        <f>_book!$Y$95</f>
        <v>0.60933785927849871</v>
      </c>
      <c r="O100" s="66" t="str">
        <f>IF(_book!$V$95=0,"—",_book!$AA$95)</f>
        <v>—</v>
      </c>
      <c r="P100" s="67">
        <f>_book!$AC$95</f>
        <v>1</v>
      </c>
      <c r="Q100" s="67">
        <f>_book!$AD$95</f>
        <v>0</v>
      </c>
    </row>
    <row r="101" spans="1:17" x14ac:dyDescent="0.3">
      <c r="A101" s="61" t="str">
        <f>_book!$A$96</f>
        <v>General Liability</v>
      </c>
      <c r="B101" s="61" t="str">
        <f>_book!$B$96</f>
        <v>MM</v>
      </c>
      <c r="C101" s="61" t="str">
        <f>_book!$C$96</f>
        <v>MI</v>
      </c>
      <c r="D101" s="62">
        <f>_book!$F$96</f>
        <v>70000</v>
      </c>
      <c r="E101" s="63">
        <f>_book!$N$96</f>
        <v>0.63200000000000001</v>
      </c>
      <c r="F101" s="64">
        <f>_book!$K$96</f>
        <v>1.0049801809126939</v>
      </c>
      <c r="G101" s="64">
        <f>_book!$L$96</f>
        <v>1.0106382978723401</v>
      </c>
      <c r="H101" s="64">
        <f>_book!$M$96</f>
        <v>1</v>
      </c>
      <c r="I101" s="63">
        <f>_book!$O$96</f>
        <v>0.64190436236168247</v>
      </c>
      <c r="J101" s="63">
        <f>_book!$P$96</f>
        <v>0.63872340425531904</v>
      </c>
      <c r="K101" s="65">
        <f>_book!$T$96</f>
        <v>-4.9555016181225264E-3</v>
      </c>
      <c r="L101" s="65">
        <f>_book!$U$96</f>
        <v>4.9801809126941432E-3</v>
      </c>
      <c r="M101" s="65" t="str">
        <f>IF(_book!$V$96=0,"—",_book!$W$96)</f>
        <v>—</v>
      </c>
      <c r="N101" s="63">
        <f>_book!$Y$96</f>
        <v>0.64190436236168247</v>
      </c>
      <c r="O101" s="66" t="str">
        <f>IF(_book!$V$96=0,"—",_book!$AA$96)</f>
        <v>—</v>
      </c>
      <c r="P101" s="67">
        <f>_book!$AC$96</f>
        <v>1</v>
      </c>
      <c r="Q101" s="67">
        <f>_book!$AD$96</f>
        <v>0</v>
      </c>
    </row>
    <row r="102" spans="1:17" x14ac:dyDescent="0.3">
      <c r="A102" s="61" t="str">
        <f>_book!$A$97</f>
        <v>General Liability</v>
      </c>
      <c r="B102" s="61" t="str">
        <f>_book!$B$97</f>
        <v>MM</v>
      </c>
      <c r="C102" s="61" t="str">
        <f>_book!$C$97</f>
        <v>MN</v>
      </c>
      <c r="D102" s="62">
        <f>_book!$F$97</f>
        <v>56000</v>
      </c>
      <c r="E102" s="63">
        <f>_book!$N$97</f>
        <v>0.61599999999999999</v>
      </c>
      <c r="F102" s="64">
        <f>_book!$K$97</f>
        <v>1</v>
      </c>
      <c r="G102" s="64">
        <f>_book!$L$97</f>
        <v>1.007429838568157</v>
      </c>
      <c r="H102" s="64">
        <f>_book!$M$97</f>
        <v>1</v>
      </c>
      <c r="I102" s="63">
        <f>_book!$O$97</f>
        <v>0.62057678055798482</v>
      </c>
      <c r="J102" s="63">
        <f>_book!$P$97</f>
        <v>0.61407082568576932</v>
      </c>
      <c r="K102" s="65">
        <f>_book!$T$97</f>
        <v>0</v>
      </c>
      <c r="L102" s="65">
        <f>_book!$U$97</f>
        <v>0</v>
      </c>
      <c r="M102" s="65" t="str">
        <f>IF(_book!$V$97=0,"—",_book!$W$97)</f>
        <v>—</v>
      </c>
      <c r="N102" s="63">
        <f>_book!$Y$97</f>
        <v>0.62057678055798482</v>
      </c>
      <c r="O102" s="66" t="str">
        <f>IF(_book!$V$97=0,"—",_book!$AA$97)</f>
        <v>—</v>
      </c>
      <c r="P102" s="67">
        <f>_book!$AC$97</f>
        <v>0</v>
      </c>
      <c r="Q102" s="67">
        <f>_book!$AD$97</f>
        <v>0</v>
      </c>
    </row>
    <row r="103" spans="1:17" x14ac:dyDescent="0.3">
      <c r="A103" s="61" t="str">
        <f>_book!$A$98</f>
        <v>General Liability</v>
      </c>
      <c r="B103" s="61" t="str">
        <f>_book!$B$98</f>
        <v>MM</v>
      </c>
      <c r="C103" s="61" t="str">
        <f>_book!$C$98</f>
        <v>NM</v>
      </c>
      <c r="D103" s="62">
        <f>_book!$F$98</f>
        <v>42000</v>
      </c>
      <c r="E103" s="63">
        <f>_book!$N$98</f>
        <v>0.6</v>
      </c>
      <c r="F103" s="64">
        <f>_book!$K$98</f>
        <v>1.002147458840372</v>
      </c>
      <c r="G103" s="64">
        <f>_book!$L$98</f>
        <v>1.0117123305960061</v>
      </c>
      <c r="H103" s="64">
        <f>_book!$M$98</f>
        <v>1</v>
      </c>
      <c r="I103" s="63">
        <f>_book!$O$98</f>
        <v>0.60833096471055481</v>
      </c>
      <c r="J103" s="63">
        <f>_book!$P$98</f>
        <v>0.58646252810034061</v>
      </c>
      <c r="K103" s="65">
        <f>_book!$T$98</f>
        <v>-2.1428571428572241E-3</v>
      </c>
      <c r="L103" s="65">
        <f>_book!$U$98</f>
        <v>4.0980672870436718E-2</v>
      </c>
      <c r="M103" s="65" t="str">
        <f>IF(_book!$V$98=0,"—",_book!$W$98)</f>
        <v>—</v>
      </c>
      <c r="N103" s="63">
        <f>_book!$Y$98</f>
        <v>0.60833096471055481</v>
      </c>
      <c r="O103" s="66" t="str">
        <f>IF(_book!$V$98=0,"—",_book!$AA$98)</f>
        <v>—</v>
      </c>
      <c r="P103" s="67">
        <f>_book!$AC$98</f>
        <v>1</v>
      </c>
      <c r="Q103" s="67">
        <f>_book!$AD$98</f>
        <v>1</v>
      </c>
    </row>
    <row r="104" spans="1:17" x14ac:dyDescent="0.3">
      <c r="A104" s="61" t="str">
        <f>_book!$A$99</f>
        <v>General Liability</v>
      </c>
      <c r="B104" s="61" t="str">
        <f>_book!$B$99</f>
        <v>MM</v>
      </c>
      <c r="C104" s="61" t="str">
        <f>_book!$C$99</f>
        <v>NC</v>
      </c>
      <c r="D104" s="62">
        <f>_book!$F$99</f>
        <v>28000</v>
      </c>
      <c r="E104" s="63">
        <f>_book!$N$99</f>
        <v>0.628</v>
      </c>
      <c r="F104" s="64">
        <f>_book!$K$99</f>
        <v>1.020048115477145</v>
      </c>
      <c r="G104" s="64">
        <f>_book!$L$99</f>
        <v>1.008497059082581</v>
      </c>
      <c r="H104" s="64">
        <f>_book!$M$99</f>
        <v>1</v>
      </c>
      <c r="I104" s="63">
        <f>_book!$O$99</f>
        <v>0.64603334943713786</v>
      </c>
      <c r="J104" s="63">
        <f>_book!$P$99</f>
        <v>0.628889477199984</v>
      </c>
      <c r="K104" s="65">
        <f>_book!$T$99</f>
        <v>-1.965408805031443E-2</v>
      </c>
      <c r="L104" s="65">
        <f>_book!$U$99</f>
        <v>2.0048115477145249E-2</v>
      </c>
      <c r="M104" s="65" t="str">
        <f>IF(_book!$V$99=0,"—",_book!$W$99)</f>
        <v>—</v>
      </c>
      <c r="N104" s="63">
        <f>_book!$Y$99</f>
        <v>0.64603334943713786</v>
      </c>
      <c r="O104" s="66" t="str">
        <f>IF(_book!$V$99=0,"—",_book!$AA$99)</f>
        <v>—</v>
      </c>
      <c r="P104" s="67">
        <f>_book!$AC$99</f>
        <v>1</v>
      </c>
      <c r="Q104" s="67">
        <f>_book!$AD$99</f>
        <v>0</v>
      </c>
    </row>
    <row r="105" spans="1:17" x14ac:dyDescent="0.3">
      <c r="A105" s="61" t="str">
        <f>_book!$A$100</f>
        <v>General Liability</v>
      </c>
      <c r="B105" s="61" t="str">
        <f>_book!$B$100</f>
        <v>MM</v>
      </c>
      <c r="C105" s="61" t="str">
        <f>_book!$C$100</f>
        <v>OH</v>
      </c>
      <c r="D105" s="62">
        <f>_book!$F$100</f>
        <v>73500</v>
      </c>
      <c r="E105" s="63">
        <f>_book!$N$100</f>
        <v>0.61199999999999999</v>
      </c>
      <c r="F105" s="64">
        <f>_book!$K$100</f>
        <v>1</v>
      </c>
      <c r="G105" s="64">
        <f>_book!$L$100</f>
        <v>1.012788648555651</v>
      </c>
      <c r="H105" s="64">
        <f>_book!$M$100</f>
        <v>1</v>
      </c>
      <c r="I105" s="63">
        <f>_book!$O$100</f>
        <v>0.61982665291605865</v>
      </c>
      <c r="J105" s="63">
        <f>_book!$P$100</f>
        <v>0.62425937405227483</v>
      </c>
      <c r="K105" s="65">
        <f>_book!$T$100</f>
        <v>0</v>
      </c>
      <c r="L105" s="65">
        <f>_book!$U$100</f>
        <v>0</v>
      </c>
      <c r="M105" s="65" t="str">
        <f>IF(_book!$V$100=0,"—",_book!$W$100)</f>
        <v>—</v>
      </c>
      <c r="N105" s="63">
        <f>_book!$Y$100</f>
        <v>0.61982665291605865</v>
      </c>
      <c r="O105" s="66" t="str">
        <f>IF(_book!$V$100=0,"—",_book!$AA$100)</f>
        <v>—</v>
      </c>
      <c r="P105" s="67">
        <f>_book!$AC$100</f>
        <v>0</v>
      </c>
      <c r="Q105" s="67">
        <f>_book!$AD$100</f>
        <v>0</v>
      </c>
    </row>
    <row r="106" spans="1:17" x14ac:dyDescent="0.3">
      <c r="A106" s="61" t="str">
        <f>_book!$A$101</f>
        <v>General Liability</v>
      </c>
      <c r="B106" s="61" t="str">
        <f>_book!$B$101</f>
        <v>MM</v>
      </c>
      <c r="C106" s="61" t="str">
        <f>_book!$C$101</f>
        <v>PA</v>
      </c>
      <c r="D106" s="62">
        <f>_book!$F$101</f>
        <v>59500</v>
      </c>
      <c r="E106" s="63">
        <f>_book!$N$101</f>
        <v>0.64</v>
      </c>
      <c r="F106" s="64">
        <f>_book!$K$101</f>
        <v>0.99999999999999978</v>
      </c>
      <c r="G106" s="64">
        <f>_book!$L$101</f>
        <v>1.009566543114361</v>
      </c>
      <c r="H106" s="64">
        <f>_book!$M$101</f>
        <v>1</v>
      </c>
      <c r="I106" s="63">
        <f>_book!$O$101</f>
        <v>0.64612258759319086</v>
      </c>
      <c r="J106" s="63">
        <f>_book!$P$101</f>
        <v>0.64384396658433085</v>
      </c>
      <c r="K106" s="65">
        <f>_book!$T$101</f>
        <v>0</v>
      </c>
      <c r="L106" s="65">
        <f>_book!$U$101</f>
        <v>0</v>
      </c>
      <c r="M106" s="65" t="str">
        <f>IF(_book!$V$101=0,"—",_book!$W$101)</f>
        <v>—</v>
      </c>
      <c r="N106" s="63">
        <f>_book!$Y$101</f>
        <v>0.64612258759319086</v>
      </c>
      <c r="O106" s="66" t="str">
        <f>IF(_book!$V$101=0,"—",_book!$AA$101)</f>
        <v>—</v>
      </c>
      <c r="P106" s="67">
        <f>_book!$AC$101</f>
        <v>1</v>
      </c>
      <c r="Q106" s="67">
        <f>_book!$AD$101</f>
        <v>0</v>
      </c>
    </row>
    <row r="107" spans="1:17" x14ac:dyDescent="0.3">
      <c r="A107" s="61" t="str">
        <f>_book!$A$102</f>
        <v>General Liability</v>
      </c>
      <c r="B107" s="61" t="str">
        <f>_book!$B$102</f>
        <v>MM</v>
      </c>
      <c r="C107" s="61" t="str">
        <f>_book!$C$102</f>
        <v>SC</v>
      </c>
      <c r="D107" s="62">
        <f>_book!$F$102</f>
        <v>45500</v>
      </c>
      <c r="E107" s="63">
        <f>_book!$N$102</f>
        <v>0.624</v>
      </c>
      <c r="F107" s="64">
        <f>_book!$K$102</f>
        <v>0.99667243444695852</v>
      </c>
      <c r="G107" s="64">
        <f>_book!$L$102</f>
        <v>1.0063648743927289</v>
      </c>
      <c r="H107" s="64">
        <f>_book!$M$102</f>
        <v>1</v>
      </c>
      <c r="I107" s="63">
        <f>_book!$O$102</f>
        <v>0.62588206468501506</v>
      </c>
      <c r="J107" s="63">
        <f>_book!$P$102</f>
        <v>0.59933867926800821</v>
      </c>
      <c r="K107" s="65">
        <f>_book!$T$102</f>
        <v>3.3386752136752569E-3</v>
      </c>
      <c r="L107" s="65">
        <f>_book!$U$102</f>
        <v>2.9756422201517641E-2</v>
      </c>
      <c r="M107" s="65" t="str">
        <f>IF(_book!$V$102=0,"—",_book!$W$102)</f>
        <v>—</v>
      </c>
      <c r="N107" s="63">
        <f>_book!$Y$102</f>
        <v>0.62588206468501506</v>
      </c>
      <c r="O107" s="66" t="str">
        <f>IF(_book!$V$102=0,"—",_book!$AA$102)</f>
        <v>—</v>
      </c>
      <c r="P107" s="67">
        <f>_book!$AC$102</f>
        <v>1</v>
      </c>
      <c r="Q107" s="67">
        <f>_book!$AD$102</f>
        <v>1</v>
      </c>
    </row>
    <row r="108" spans="1:17" x14ac:dyDescent="0.3">
      <c r="A108" s="61" t="str">
        <f>_book!$A$103</f>
        <v>General Liability</v>
      </c>
      <c r="B108" s="61" t="str">
        <f>_book!$B$103</f>
        <v>MM</v>
      </c>
      <c r="C108" s="61" t="str">
        <f>_book!$C$103</f>
        <v>TN</v>
      </c>
      <c r="D108" s="62">
        <f>_book!$F$103</f>
        <v>31500</v>
      </c>
      <c r="E108" s="63">
        <f>_book!$N$103</f>
        <v>0.60799999999999998</v>
      </c>
      <c r="F108" s="64">
        <f>_book!$K$103</f>
        <v>1</v>
      </c>
      <c r="G108" s="64">
        <f>_book!$L$103</f>
        <v>1.0106382978723401</v>
      </c>
      <c r="H108" s="64">
        <f>_book!$M$103</f>
        <v>1</v>
      </c>
      <c r="I108" s="63">
        <f>_book!$O$103</f>
        <v>0.61446808510638296</v>
      </c>
      <c r="J108" s="63">
        <f>_book!$P$103</f>
        <v>0.61446808510638296</v>
      </c>
      <c r="K108" s="65">
        <f>_book!$T$103</f>
        <v>0</v>
      </c>
      <c r="L108" s="65">
        <f>_book!$U$103</f>
        <v>0</v>
      </c>
      <c r="M108" s="65" t="str">
        <f>IF(_book!$V$103=0,"—",_book!$W$103)</f>
        <v>—</v>
      </c>
      <c r="N108" s="63">
        <f>_book!$Y$103</f>
        <v>0.61446808510638296</v>
      </c>
      <c r="O108" s="66" t="str">
        <f>IF(_book!$V$103=0,"—",_book!$AA$103)</f>
        <v>—</v>
      </c>
      <c r="P108" s="67">
        <f>_book!$AC$103</f>
        <v>0</v>
      </c>
      <c r="Q108" s="67">
        <f>_book!$AD$103</f>
        <v>0</v>
      </c>
    </row>
    <row r="109" spans="1:17" x14ac:dyDescent="0.3">
      <c r="A109" s="61" t="str">
        <f>_book!$A$104</f>
        <v>General Liability</v>
      </c>
      <c r="B109" s="61" t="str">
        <f>_book!$B$104</f>
        <v>MM</v>
      </c>
      <c r="C109" s="61" t="str">
        <f>_book!$C$104</f>
        <v>VA</v>
      </c>
      <c r="D109" s="62">
        <f>_book!$F$104</f>
        <v>77000</v>
      </c>
      <c r="E109" s="63">
        <f>_book!$N$104</f>
        <v>0.63600000000000001</v>
      </c>
      <c r="F109" s="64">
        <f>_book!$K$104</f>
        <v>1.0017720023626699</v>
      </c>
      <c r="G109" s="64">
        <f>_book!$L$104</f>
        <v>1.007429838568157</v>
      </c>
      <c r="H109" s="64">
        <f>_book!$M$104</f>
        <v>1</v>
      </c>
      <c r="I109" s="63">
        <f>_book!$O$104</f>
        <v>0.64186074421179817</v>
      </c>
      <c r="J109" s="63">
        <f>_book!$P$104</f>
        <v>0.63400819015608645</v>
      </c>
      <c r="K109" s="65">
        <f>_book!$T$104</f>
        <v>-1.768867924528128E-3</v>
      </c>
      <c r="L109" s="65">
        <f>_book!$U$104</f>
        <v>1.7720023626699439E-3</v>
      </c>
      <c r="M109" s="65" t="str">
        <f>IF(_book!$V$104=0,"—",_book!$W$104)</f>
        <v>—</v>
      </c>
      <c r="N109" s="63">
        <f>_book!$Y$104</f>
        <v>0.64186074421179817</v>
      </c>
      <c r="O109" s="66" t="str">
        <f>IF(_book!$V$104=0,"—",_book!$AA$104)</f>
        <v>—</v>
      </c>
      <c r="P109" s="67">
        <f>_book!$AC$104</f>
        <v>1</v>
      </c>
      <c r="Q109" s="67">
        <f>_book!$AD$104</f>
        <v>0</v>
      </c>
    </row>
    <row r="110" spans="1:17" x14ac:dyDescent="0.3">
      <c r="A110" s="61" t="str">
        <f>_book!$A$105</f>
        <v>General Liability</v>
      </c>
      <c r="B110" s="61" t="str">
        <f>_book!$B$105</f>
        <v>MM</v>
      </c>
      <c r="C110" s="61" t="str">
        <f>_book!$C$105</f>
        <v>WV</v>
      </c>
      <c r="D110" s="62">
        <f>_book!$F$105</f>
        <v>63000</v>
      </c>
      <c r="E110" s="63">
        <f>_book!$N$105</f>
        <v>0.62</v>
      </c>
      <c r="F110" s="64">
        <f>_book!$K$105</f>
        <v>1.001090512540894</v>
      </c>
      <c r="G110" s="64">
        <f>_book!$L$105</f>
        <v>1.0117123305960061</v>
      </c>
      <c r="H110" s="64">
        <f>_book!$M$105</f>
        <v>1</v>
      </c>
      <c r="I110" s="63">
        <f>_book!$O$105</f>
        <v>0.62794568165978493</v>
      </c>
      <c r="J110" s="63">
        <f>_book!$P$105</f>
        <v>0.62949421609970324</v>
      </c>
      <c r="K110" s="65">
        <f>_book!$T$105</f>
        <v>-1.089324618736343E-3</v>
      </c>
      <c r="L110" s="65">
        <f>_book!$U$105</f>
        <v>1.090512540893984E-3</v>
      </c>
      <c r="M110" s="65" t="str">
        <f>IF(_book!$V$105=0,"—",_book!$W$105)</f>
        <v>—</v>
      </c>
      <c r="N110" s="63">
        <f>_book!$Y$105</f>
        <v>0.62794568165978493</v>
      </c>
      <c r="O110" s="66" t="str">
        <f>IF(_book!$V$105=0,"—",_book!$AA$105)</f>
        <v>—</v>
      </c>
      <c r="P110" s="67">
        <f>_book!$AC$105</f>
        <v>1</v>
      </c>
      <c r="Q110" s="67">
        <f>_book!$AD$105</f>
        <v>0</v>
      </c>
    </row>
    <row r="111" spans="1:17" x14ac:dyDescent="0.3">
      <c r="A111" s="61" t="str">
        <f>_book!$A$106</f>
        <v>General Liability</v>
      </c>
      <c r="B111" s="61" t="str">
        <f>_book!$B$106</f>
        <v>MM</v>
      </c>
      <c r="C111" s="61" t="str">
        <f>_book!$C$106</f>
        <v>WI</v>
      </c>
      <c r="D111" s="62">
        <f>_book!$F$106</f>
        <v>49000</v>
      </c>
      <c r="E111" s="63">
        <f>_book!$N$106</f>
        <v>0.60399999999999998</v>
      </c>
      <c r="F111" s="64">
        <f>_book!$K$106</f>
        <v>0.98347220325092199</v>
      </c>
      <c r="G111" s="64">
        <f>_book!$L$106</f>
        <v>1.008497059082581</v>
      </c>
      <c r="H111" s="64">
        <f>_book!$M$106</f>
        <v>1</v>
      </c>
      <c r="I111" s="63">
        <f>_book!$O$106</f>
        <v>0.59906461009948475</v>
      </c>
      <c r="J111" s="63">
        <f>_book!$P$106</f>
        <v>0.58166949218290265</v>
      </c>
      <c r="K111" s="65">
        <f>_book!$T$106</f>
        <v>1.6805555555555522E-2</v>
      </c>
      <c r="L111" s="65">
        <f>_book!$U$106</f>
        <v>2.2674498019396468E-2</v>
      </c>
      <c r="M111" s="65" t="str">
        <f>IF(_book!$V$106=0,"—",_book!$W$106)</f>
        <v>—</v>
      </c>
      <c r="N111" s="63">
        <f>_book!$Y$106</f>
        <v>0.59906461009948475</v>
      </c>
      <c r="O111" s="66" t="str">
        <f>IF(_book!$V$106=0,"—",_book!$AA$106)</f>
        <v>—</v>
      </c>
      <c r="P111" s="67">
        <f>_book!$AC$106</f>
        <v>0</v>
      </c>
      <c r="Q111" s="67">
        <f>_book!$AD$106</f>
        <v>1</v>
      </c>
    </row>
    <row r="112" spans="1:17" x14ac:dyDescent="0.3">
      <c r="A112" s="61" t="str">
        <f>_book!$A$107</f>
        <v>General Liability</v>
      </c>
      <c r="B112" s="61" t="str">
        <f>_book!$B$107</f>
        <v>SBA</v>
      </c>
      <c r="C112" s="61" t="str">
        <f>_book!$C$107</f>
        <v>AZ</v>
      </c>
      <c r="D112" s="62">
        <f>_book!$F$107</f>
        <v>35000</v>
      </c>
      <c r="E112" s="63">
        <f>_book!$N$107</f>
        <v>0.63200000000000001</v>
      </c>
      <c r="F112" s="64">
        <f>_book!$K$107</f>
        <v>1.0048309178743959</v>
      </c>
      <c r="G112" s="64">
        <f>_book!$L$107</f>
        <v>1.012788648555651</v>
      </c>
      <c r="H112" s="64">
        <f>_book!$M$107</f>
        <v>1</v>
      </c>
      <c r="I112" s="63">
        <f>_book!$O$107</f>
        <v>0.64317461151947686</v>
      </c>
      <c r="J112" s="63">
        <f>_book!$P$107</f>
        <v>0.64466000719123795</v>
      </c>
      <c r="K112" s="65">
        <f>_book!$T$107</f>
        <v>-4.8076923076921796E-3</v>
      </c>
      <c r="L112" s="65">
        <f>_book!$U$107</f>
        <v>4.8309178743961567E-3</v>
      </c>
      <c r="M112" s="65" t="str">
        <f>IF(_book!$V$107=0,"—",_book!$W$107)</f>
        <v>—</v>
      </c>
      <c r="N112" s="63">
        <f>_book!$Y$107</f>
        <v>0.64317461151947686</v>
      </c>
      <c r="O112" s="66" t="str">
        <f>IF(_book!$V$107=0,"—",_book!$AA$107)</f>
        <v>—</v>
      </c>
      <c r="P112" s="67">
        <f>_book!$AC$107</f>
        <v>1</v>
      </c>
      <c r="Q112" s="67">
        <f>_book!$AD$107</f>
        <v>0</v>
      </c>
    </row>
    <row r="113" spans="1:17" x14ac:dyDescent="0.3">
      <c r="A113" s="61" t="str">
        <f>_book!$A$108</f>
        <v>General Liability</v>
      </c>
      <c r="B113" s="61" t="str">
        <f>_book!$B$108</f>
        <v>SBA</v>
      </c>
      <c r="C113" s="61" t="str">
        <f>_book!$C$108</f>
        <v>CO</v>
      </c>
      <c r="D113" s="62">
        <f>_book!$F$108</f>
        <v>80500</v>
      </c>
      <c r="E113" s="63">
        <f>_book!$N$108</f>
        <v>0.61599999999999999</v>
      </c>
      <c r="F113" s="64">
        <f>_book!$K$108</f>
        <v>1.0081680280046681</v>
      </c>
      <c r="G113" s="64">
        <f>_book!$L$108</f>
        <v>1.009566543114361</v>
      </c>
      <c r="H113" s="64">
        <f>_book!$M$108</f>
        <v>1</v>
      </c>
      <c r="I113" s="63">
        <f>_book!$O$108</f>
        <v>0.62697262992123415</v>
      </c>
      <c r="J113" s="63">
        <f>_book!$P$108</f>
        <v>0.61969981783741845</v>
      </c>
      <c r="K113" s="65">
        <f>_book!$T$108</f>
        <v>-8.1018518518519711E-3</v>
      </c>
      <c r="L113" s="65">
        <f>_book!$U$108</f>
        <v>8.168028004667649E-3</v>
      </c>
      <c r="M113" s="65" t="str">
        <f>IF(_book!$V$108=0,"—",_book!$W$108)</f>
        <v>—</v>
      </c>
      <c r="N113" s="63">
        <f>_book!$Y$108</f>
        <v>0.62697262992123415</v>
      </c>
      <c r="O113" s="66" t="str">
        <f>IF(_book!$V$108=0,"—",_book!$AA$108)</f>
        <v>—</v>
      </c>
      <c r="P113" s="67">
        <f>_book!$AC$108</f>
        <v>1</v>
      </c>
      <c r="Q113" s="67">
        <f>_book!$AD$108</f>
        <v>0</v>
      </c>
    </row>
    <row r="114" spans="1:17" x14ac:dyDescent="0.3">
      <c r="A114" s="61" t="str">
        <f>_book!$A$109</f>
        <v>General Liability</v>
      </c>
      <c r="B114" s="61" t="str">
        <f>_book!$B$109</f>
        <v>SBA</v>
      </c>
      <c r="C114" s="61" t="str">
        <f>_book!$C$109</f>
        <v>DE</v>
      </c>
      <c r="D114" s="62">
        <f>_book!$F$109</f>
        <v>66500</v>
      </c>
      <c r="E114" s="63">
        <f>_book!$N$109</f>
        <v>0.6</v>
      </c>
      <c r="F114" s="64">
        <f>_book!$K$109</f>
        <v>1</v>
      </c>
      <c r="G114" s="64">
        <f>_book!$L$109</f>
        <v>1.0063648743927289</v>
      </c>
      <c r="H114" s="64">
        <f>_book!$M$109</f>
        <v>1</v>
      </c>
      <c r="I114" s="63">
        <f>_book!$O$109</f>
        <v>0.60381892463563736</v>
      </c>
      <c r="J114" s="63">
        <f>_book!$P$109</f>
        <v>0.59541672476959318</v>
      </c>
      <c r="K114" s="65">
        <f>_book!$T$109</f>
        <v>0</v>
      </c>
      <c r="L114" s="65">
        <f>_book!$U$109</f>
        <v>0</v>
      </c>
      <c r="M114" s="65" t="str">
        <f>IF(_book!$V$109=0,"—",_book!$W$109)</f>
        <v>—</v>
      </c>
      <c r="N114" s="63">
        <f>_book!$Y$109</f>
        <v>0.60381892463563736</v>
      </c>
      <c r="O114" s="66" t="str">
        <f>IF(_book!$V$109=0,"—",_book!$AA$109)</f>
        <v>—</v>
      </c>
      <c r="P114" s="67">
        <f>_book!$AC$109</f>
        <v>0</v>
      </c>
      <c r="Q114" s="67">
        <f>_book!$AD$109</f>
        <v>0</v>
      </c>
    </row>
    <row r="115" spans="1:17" x14ac:dyDescent="0.3">
      <c r="A115" s="61" t="str">
        <f>_book!$A$110</f>
        <v>General Liability</v>
      </c>
      <c r="B115" s="61" t="str">
        <f>_book!$B$110</f>
        <v>SBA</v>
      </c>
      <c r="C115" s="61" t="str">
        <f>_book!$C$110</f>
        <v>FL</v>
      </c>
      <c r="D115" s="62">
        <f>_book!$F$110</f>
        <v>52500</v>
      </c>
      <c r="E115" s="63">
        <f>_book!$N$110</f>
        <v>0.628</v>
      </c>
      <c r="F115" s="64">
        <f>_book!$K$110</f>
        <v>0.99871081447151555</v>
      </c>
      <c r="G115" s="64">
        <f>_book!$L$110</f>
        <v>1.0106382978723401</v>
      </c>
      <c r="H115" s="64">
        <f>_book!$M$110</f>
        <v>1</v>
      </c>
      <c r="I115" s="63">
        <f>_book!$O$110</f>
        <v>0.63386262969543217</v>
      </c>
      <c r="J115" s="63">
        <f>_book!$P$110</f>
        <v>0.61231436790293092</v>
      </c>
      <c r="K115" s="65">
        <f>_book!$T$110</f>
        <v>1.290849673202477E-3</v>
      </c>
      <c r="L115" s="65">
        <f>_book!$U$110</f>
        <v>3.5191501166794703E-2</v>
      </c>
      <c r="M115" s="65" t="str">
        <f>IF(_book!$V$110=0,"—",_book!$W$110)</f>
        <v>—</v>
      </c>
      <c r="N115" s="63">
        <f>_book!$Y$110</f>
        <v>0.63386262969543217</v>
      </c>
      <c r="O115" s="66" t="str">
        <f>IF(_book!$V$110=0,"—",_book!$AA$110)</f>
        <v>—</v>
      </c>
      <c r="P115" s="67">
        <f>_book!$AC$110</f>
        <v>1</v>
      </c>
      <c r="Q115" s="67">
        <f>_book!$AD$110</f>
        <v>1</v>
      </c>
    </row>
    <row r="116" spans="1:17" x14ac:dyDescent="0.3">
      <c r="A116" s="61" t="str">
        <f>_book!$A$111</f>
        <v>General Liability</v>
      </c>
      <c r="B116" s="61" t="str">
        <f>_book!$B$111</f>
        <v>SBA</v>
      </c>
      <c r="C116" s="61" t="str">
        <f>_book!$C$111</f>
        <v>GA</v>
      </c>
      <c r="D116" s="62">
        <f>_book!$F$111</f>
        <v>38500</v>
      </c>
      <c r="E116" s="63">
        <f>_book!$N$111</f>
        <v>0.61199999999999999</v>
      </c>
      <c r="F116" s="64">
        <f>_book!$K$111</f>
        <v>1</v>
      </c>
      <c r="G116" s="64">
        <f>_book!$L$111</f>
        <v>1.007429838568157</v>
      </c>
      <c r="H116" s="64">
        <f>_book!$M$111</f>
        <v>1</v>
      </c>
      <c r="I116" s="63">
        <f>_book!$O$111</f>
        <v>0.61654706120371228</v>
      </c>
      <c r="J116" s="63">
        <f>_book!$P$111</f>
        <v>0.61008335279170589</v>
      </c>
      <c r="K116" s="65">
        <f>_book!$T$111</f>
        <v>0</v>
      </c>
      <c r="L116" s="65">
        <f>_book!$U$111</f>
        <v>0</v>
      </c>
      <c r="M116" s="65" t="str">
        <f>IF(_book!$V$111=0,"—",_book!$W$111)</f>
        <v>—</v>
      </c>
      <c r="N116" s="63">
        <f>_book!$Y$111</f>
        <v>0.61654706120371228</v>
      </c>
      <c r="O116" s="66" t="str">
        <f>IF(_book!$V$111=0,"—",_book!$AA$111)</f>
        <v>—</v>
      </c>
      <c r="P116" s="67">
        <f>_book!$AC$111</f>
        <v>0</v>
      </c>
      <c r="Q116" s="67">
        <f>_book!$AD$111</f>
        <v>0</v>
      </c>
    </row>
    <row r="117" spans="1:17" x14ac:dyDescent="0.3">
      <c r="A117" s="61" t="str">
        <f>_book!$A$112</f>
        <v>General Liability</v>
      </c>
      <c r="B117" s="61" t="str">
        <f>_book!$B$112</f>
        <v>SBA</v>
      </c>
      <c r="C117" s="61" t="str">
        <f>_book!$C$112</f>
        <v>IA</v>
      </c>
      <c r="D117" s="62">
        <f>_book!$F$112</f>
        <v>84000</v>
      </c>
      <c r="E117" s="63">
        <f>_book!$N$112</f>
        <v>0.64</v>
      </c>
      <c r="F117" s="64">
        <f>_book!$K$112</f>
        <v>1</v>
      </c>
      <c r="G117" s="64">
        <f>_book!$L$112</f>
        <v>1.0117123305960061</v>
      </c>
      <c r="H117" s="64">
        <f>_book!$M$112</f>
        <v>1</v>
      </c>
      <c r="I117" s="63">
        <f>_book!$O$112</f>
        <v>0.64749589158144394</v>
      </c>
      <c r="J117" s="63">
        <f>_book!$P$112</f>
        <v>0.64980048113517741</v>
      </c>
      <c r="K117" s="65">
        <f>_book!$T$112</f>
        <v>0</v>
      </c>
      <c r="L117" s="65">
        <f>_book!$U$112</f>
        <v>0</v>
      </c>
      <c r="M117" s="65" t="str">
        <f>IF(_book!$V$112=0,"—",_book!$W$112)</f>
        <v>—</v>
      </c>
      <c r="N117" s="63">
        <f>_book!$Y$112</f>
        <v>0.64749589158144394</v>
      </c>
      <c r="O117" s="66" t="str">
        <f>IF(_book!$V$112=0,"—",_book!$AA$112)</f>
        <v>—</v>
      </c>
      <c r="P117" s="67">
        <f>_book!$AC$112</f>
        <v>0</v>
      </c>
      <c r="Q117" s="67">
        <f>_book!$AD$112</f>
        <v>0</v>
      </c>
    </row>
    <row r="118" spans="1:17" x14ac:dyDescent="0.3">
      <c r="A118" s="61" t="str">
        <f>_book!$A$113</f>
        <v>General Liability</v>
      </c>
      <c r="B118" s="61" t="str">
        <f>_book!$B$113</f>
        <v>SBA</v>
      </c>
      <c r="C118" s="61" t="str">
        <f>_book!$C$113</f>
        <v>IL</v>
      </c>
      <c r="D118" s="62">
        <f>_book!$F$113</f>
        <v>70000</v>
      </c>
      <c r="E118" s="63">
        <f>_book!$N$113</f>
        <v>0.624</v>
      </c>
      <c r="F118" s="64">
        <f>_book!$K$113</f>
        <v>0.94618568894145472</v>
      </c>
      <c r="G118" s="64">
        <f>_book!$L$113</f>
        <v>1.0037425882576909</v>
      </c>
      <c r="H118" s="64">
        <f>_book!$M$113</f>
        <v>1</v>
      </c>
      <c r="I118" s="63">
        <f>_book!$O$113</f>
        <v>0.59262956837166114</v>
      </c>
      <c r="J118" s="63">
        <f>_book!$P$113</f>
        <v>0.57794892332517467</v>
      </c>
      <c r="K118" s="65">
        <f>_book!$T$113</f>
        <v>5.6875000000000009E-2</v>
      </c>
      <c r="L118" s="65">
        <f>_book!$U$113</f>
        <v>7.6877587226491517E-3</v>
      </c>
      <c r="M118" s="65" t="str">
        <f>IF(_book!$V$113=0,"—",_book!$W$113)</f>
        <v>—</v>
      </c>
      <c r="N118" s="63">
        <f>_book!$Y$113</f>
        <v>0.59262956837166114</v>
      </c>
      <c r="O118" s="66" t="str">
        <f>IF(_book!$V$113=0,"—",_book!$AA$113)</f>
        <v>—</v>
      </c>
      <c r="P118" s="67">
        <f>_book!$AC$113</f>
        <v>0</v>
      </c>
      <c r="Q118" s="67">
        <f>_book!$AD$113</f>
        <v>1</v>
      </c>
    </row>
    <row r="119" spans="1:17" x14ac:dyDescent="0.3">
      <c r="A119" s="61" t="str">
        <f>_book!$A$114</f>
        <v>General Liability</v>
      </c>
      <c r="B119" s="61" t="str">
        <f>_book!$B$114</f>
        <v>SBA</v>
      </c>
      <c r="C119" s="61" t="str">
        <f>_book!$C$114</f>
        <v>IN</v>
      </c>
      <c r="D119" s="62">
        <f>_book!$F$114</f>
        <v>56000</v>
      </c>
      <c r="E119" s="63">
        <f>_book!$N$114</f>
        <v>0.60799999999999998</v>
      </c>
      <c r="F119" s="64">
        <f>_book!$K$114</f>
        <v>0.99894764948874615</v>
      </c>
      <c r="G119" s="64">
        <f>_book!$L$114</f>
        <v>1.012788648555651</v>
      </c>
      <c r="H119" s="64">
        <f>_book!$M$114</f>
        <v>1</v>
      </c>
      <c r="I119" s="63">
        <f>_book!$O$114</f>
        <v>0.61512748666135941</v>
      </c>
      <c r="J119" s="63">
        <f>_book!$P$114</f>
        <v>0.60284738510277724</v>
      </c>
      <c r="K119" s="65">
        <f>_book!$T$114</f>
        <v>1.0534591194968359E-3</v>
      </c>
      <c r="L119" s="65">
        <f>_book!$U$114</f>
        <v>2.7667394411547749E-2</v>
      </c>
      <c r="M119" s="65" t="str">
        <f>IF(_book!$V$114=0,"—",_book!$W$114)</f>
        <v>—</v>
      </c>
      <c r="N119" s="63">
        <f>_book!$Y$114</f>
        <v>0.61512748666135941</v>
      </c>
      <c r="O119" s="66" t="str">
        <f>IF(_book!$V$114=0,"—",_book!$AA$114)</f>
        <v>—</v>
      </c>
      <c r="P119" s="67">
        <f>_book!$AC$114</f>
        <v>1</v>
      </c>
      <c r="Q119" s="67">
        <f>_book!$AD$114</f>
        <v>1</v>
      </c>
    </row>
    <row r="120" spans="1:17" x14ac:dyDescent="0.3">
      <c r="A120" s="61" t="str">
        <f>_book!$A$115</f>
        <v>General Liability</v>
      </c>
      <c r="B120" s="61" t="str">
        <f>_book!$B$115</f>
        <v>SBA</v>
      </c>
      <c r="C120" s="61" t="str">
        <f>_book!$C$115</f>
        <v>KY</v>
      </c>
      <c r="D120" s="62">
        <f>_book!$F$115</f>
        <v>42000</v>
      </c>
      <c r="E120" s="63">
        <f>_book!$N$115</f>
        <v>0.63600000000000001</v>
      </c>
      <c r="F120" s="64">
        <f>_book!$K$115</f>
        <v>0.94085060353178396</v>
      </c>
      <c r="G120" s="64">
        <f>_book!$L$115</f>
        <v>1</v>
      </c>
      <c r="H120" s="64">
        <f>_book!$M$115</f>
        <v>1</v>
      </c>
      <c r="I120" s="63">
        <f>_book!$O$115</f>
        <v>0.59838098384621463</v>
      </c>
      <c r="J120" s="63">
        <f>_book!$P$115</f>
        <v>0.54398271258746766</v>
      </c>
      <c r="K120" s="65">
        <f>_book!$T$115</f>
        <v>6.2868000770982979E-2</v>
      </c>
      <c r="L120" s="65">
        <f>_book!$U$115</f>
        <v>0.1000000000000003</v>
      </c>
      <c r="M120" s="65">
        <f>IF(_book!$V$115=0,"—",_book!$W$115)</f>
        <v>0.1</v>
      </c>
      <c r="N120" s="63">
        <f>_book!$Y$115</f>
        <v>0.59219213412103611</v>
      </c>
      <c r="O120" s="66">
        <f>IF(_book!$V$115=0,"—",_book!$AA$115)</f>
        <v>-0.61888497251785246</v>
      </c>
      <c r="P120" s="67">
        <f>_book!$AC$115</f>
        <v>1</v>
      </c>
      <c r="Q120" s="67">
        <f>_book!$AD$115</f>
        <v>1</v>
      </c>
    </row>
    <row r="121" spans="1:17" x14ac:dyDescent="0.3">
      <c r="A121" s="61" t="str">
        <f>_book!$A$116</f>
        <v>General Liability</v>
      </c>
      <c r="B121" s="61" t="str">
        <f>_book!$B$116</f>
        <v>SBA</v>
      </c>
      <c r="C121" s="61" t="str">
        <f>_book!$C$116</f>
        <v>MD</v>
      </c>
      <c r="D121" s="62">
        <f>_book!$F$116</f>
        <v>28000</v>
      </c>
      <c r="E121" s="63">
        <f>_book!$N$116</f>
        <v>0.62</v>
      </c>
      <c r="F121" s="64">
        <f>_book!$K$116</f>
        <v>1.000911023382933</v>
      </c>
      <c r="G121" s="64">
        <f>_book!$L$116</f>
        <v>1.0063648743927289</v>
      </c>
      <c r="H121" s="64">
        <f>_book!$M$116</f>
        <v>1</v>
      </c>
      <c r="I121" s="63">
        <f>_book!$O$116</f>
        <v>0.6245146517215393</v>
      </c>
      <c r="J121" s="63">
        <f>_book!$P$116</f>
        <v>0.6152639489285795</v>
      </c>
      <c r="K121" s="65">
        <f>_book!$T$116</f>
        <v>-9.1019417475712849E-4</v>
      </c>
      <c r="L121" s="65">
        <f>_book!$U$116</f>
        <v>9.1102338293347351E-4</v>
      </c>
      <c r="M121" s="65" t="str">
        <f>IF(_book!$V$116=0,"—",_book!$W$116)</f>
        <v>—</v>
      </c>
      <c r="N121" s="63">
        <f>_book!$Y$116</f>
        <v>0.6245146517215393</v>
      </c>
      <c r="O121" s="66" t="str">
        <f>IF(_book!$V$116=0,"—",_book!$AA$116)</f>
        <v>—</v>
      </c>
      <c r="P121" s="67">
        <f>_book!$AC$116</f>
        <v>1</v>
      </c>
      <c r="Q121" s="67">
        <f>_book!$AD$116</f>
        <v>0</v>
      </c>
    </row>
    <row r="122" spans="1:17" x14ac:dyDescent="0.3">
      <c r="A122" s="61" t="str">
        <f>_book!$A$117</f>
        <v>General Liability</v>
      </c>
      <c r="B122" s="61" t="str">
        <f>_book!$B$117</f>
        <v>SBA</v>
      </c>
      <c r="C122" s="61" t="str">
        <f>_book!$C$117</f>
        <v>MI</v>
      </c>
      <c r="D122" s="62">
        <f>_book!$F$117</f>
        <v>73500</v>
      </c>
      <c r="E122" s="63">
        <f>_book!$N$117</f>
        <v>0.60399999999999998</v>
      </c>
      <c r="F122" s="64">
        <f>_book!$K$117</f>
        <v>1.0021413276231259</v>
      </c>
      <c r="G122" s="64">
        <f>_book!$L$117</f>
        <v>1.0106382978723401</v>
      </c>
      <c r="H122" s="64">
        <f>_book!$M$117</f>
        <v>1</v>
      </c>
      <c r="I122" s="63">
        <f>_book!$O$117</f>
        <v>0.61173265296824464</v>
      </c>
      <c r="J122" s="63">
        <f>_book!$P$117</f>
        <v>0.61042553191489357</v>
      </c>
      <c r="K122" s="65">
        <f>_book!$T$117</f>
        <v>-2.1367521367520181E-3</v>
      </c>
      <c r="L122" s="65">
        <f>_book!$U$117</f>
        <v>2.1413276231263541E-3</v>
      </c>
      <c r="M122" s="65" t="str">
        <f>IF(_book!$V$117=0,"—",_book!$W$117)</f>
        <v>—</v>
      </c>
      <c r="N122" s="63">
        <f>_book!$Y$117</f>
        <v>0.61173265296824464</v>
      </c>
      <c r="O122" s="66" t="str">
        <f>IF(_book!$V$117=0,"—",_book!$AA$117)</f>
        <v>—</v>
      </c>
      <c r="P122" s="67">
        <f>_book!$AC$117</f>
        <v>1</v>
      </c>
      <c r="Q122" s="67">
        <f>_book!$AD$117</f>
        <v>0</v>
      </c>
    </row>
    <row r="123" spans="1:17" x14ac:dyDescent="0.3">
      <c r="A123" s="61" t="str">
        <f>_book!$A$118</f>
        <v>General Liability</v>
      </c>
      <c r="B123" s="61" t="str">
        <f>_book!$B$118</f>
        <v>SBA</v>
      </c>
      <c r="C123" s="61" t="str">
        <f>_book!$C$118</f>
        <v>MN</v>
      </c>
      <c r="D123" s="62">
        <f>_book!$F$118</f>
        <v>59500</v>
      </c>
      <c r="E123" s="63">
        <f>_book!$N$118</f>
        <v>0.63200000000000001</v>
      </c>
      <c r="F123" s="64">
        <f>_book!$K$118</f>
        <v>0.9888751545117429</v>
      </c>
      <c r="G123" s="64">
        <f>_book!$L$118</f>
        <v>1.007429838568157</v>
      </c>
      <c r="H123" s="64">
        <f>_book!$M$118</f>
        <v>1</v>
      </c>
      <c r="I123" s="63">
        <f>_book!$O$118</f>
        <v>0.62961251715705846</v>
      </c>
      <c r="J123" s="63">
        <f>_book!$P$118</f>
        <v>0.60651813936175503</v>
      </c>
      <c r="K123" s="65">
        <f>_book!$T$118</f>
        <v>1.1249999999999981E-2</v>
      </c>
      <c r="L123" s="65">
        <f>_book!$U$118</f>
        <v>2.7194066749073102E-2</v>
      </c>
      <c r="M123" s="65" t="str">
        <f>IF(_book!$V$118=0,"—",_book!$W$118)</f>
        <v>—</v>
      </c>
      <c r="N123" s="63">
        <f>_book!$Y$118</f>
        <v>0.62961251715705846</v>
      </c>
      <c r="O123" s="66" t="str">
        <f>IF(_book!$V$118=0,"—",_book!$AA$118)</f>
        <v>—</v>
      </c>
      <c r="P123" s="67">
        <f>_book!$AC$118</f>
        <v>0</v>
      </c>
      <c r="Q123" s="67">
        <f>_book!$AD$118</f>
        <v>1</v>
      </c>
    </row>
    <row r="124" spans="1:17" x14ac:dyDescent="0.3">
      <c r="A124" s="61" t="str">
        <f>_book!$A$119</f>
        <v>General Liability</v>
      </c>
      <c r="B124" s="61" t="str">
        <f>_book!$B$119</f>
        <v>SBA</v>
      </c>
      <c r="C124" s="61" t="str">
        <f>_book!$C$119</f>
        <v>NM</v>
      </c>
      <c r="D124" s="62">
        <f>_book!$F$119</f>
        <v>45500</v>
      </c>
      <c r="E124" s="63">
        <f>_book!$N$119</f>
        <v>0.61599999999999999</v>
      </c>
      <c r="F124" s="64">
        <f>_book!$K$119</f>
        <v>1.0071258907363421</v>
      </c>
      <c r="G124" s="64">
        <f>_book!$L$119</f>
        <v>1.0117123305960061</v>
      </c>
      <c r="H124" s="64">
        <f>_book!$M$119</f>
        <v>1</v>
      </c>
      <c r="I124" s="63">
        <f>_book!$O$119</f>
        <v>0.62765575618619285</v>
      </c>
      <c r="J124" s="63">
        <f>_book!$P$119</f>
        <v>0.6254329630926081</v>
      </c>
      <c r="K124" s="65">
        <f>_book!$T$119</f>
        <v>-7.0754716981130672E-3</v>
      </c>
      <c r="L124" s="65">
        <f>_book!$U$119</f>
        <v>7.1258907363420656E-3</v>
      </c>
      <c r="M124" s="65" t="str">
        <f>IF(_book!$V$119=0,"—",_book!$W$119)</f>
        <v>—</v>
      </c>
      <c r="N124" s="63">
        <f>_book!$Y$119</f>
        <v>0.62765575618619285</v>
      </c>
      <c r="O124" s="66" t="str">
        <f>IF(_book!$V$119=0,"—",_book!$AA$119)</f>
        <v>—</v>
      </c>
      <c r="P124" s="67">
        <f>_book!$AC$119</f>
        <v>1</v>
      </c>
      <c r="Q124" s="67">
        <f>_book!$AD$119</f>
        <v>0</v>
      </c>
    </row>
    <row r="125" spans="1:17" x14ac:dyDescent="0.3">
      <c r="A125" s="61" t="str">
        <f>_book!$A$120</f>
        <v>General Liability</v>
      </c>
      <c r="B125" s="61" t="str">
        <f>_book!$B$120</f>
        <v>SBA</v>
      </c>
      <c r="C125" s="61" t="str">
        <f>_book!$C$120</f>
        <v>NC</v>
      </c>
      <c r="D125" s="62">
        <f>_book!$F$120</f>
        <v>31500</v>
      </c>
      <c r="E125" s="63">
        <f>_book!$N$120</f>
        <v>0.6</v>
      </c>
      <c r="F125" s="64">
        <f>_book!$K$120</f>
        <v>1.0033472231709819</v>
      </c>
      <c r="G125" s="64">
        <f>_book!$L$120</f>
        <v>1.008497059082581</v>
      </c>
      <c r="H125" s="64">
        <f>_book!$M$120</f>
        <v>1</v>
      </c>
      <c r="I125" s="63">
        <f>_book!$O$120</f>
        <v>0.60712363428396543</v>
      </c>
      <c r="J125" s="63">
        <f>_book!$P$120</f>
        <v>0.60084981898087664</v>
      </c>
      <c r="K125" s="65">
        <f>_book!$T$120</f>
        <v>-3.336056644880236E-3</v>
      </c>
      <c r="L125" s="65">
        <f>_book!$U$120</f>
        <v>3.3472231709814611E-3</v>
      </c>
      <c r="M125" s="65" t="str">
        <f>IF(_book!$V$120=0,"—",_book!$W$120)</f>
        <v>—</v>
      </c>
      <c r="N125" s="63">
        <f>_book!$Y$120</f>
        <v>0.60712363428396543</v>
      </c>
      <c r="O125" s="66" t="str">
        <f>IF(_book!$V$120=0,"—",_book!$AA$120)</f>
        <v>—</v>
      </c>
      <c r="P125" s="67">
        <f>_book!$AC$120</f>
        <v>1</v>
      </c>
      <c r="Q125" s="67">
        <f>_book!$AD$120</f>
        <v>0</v>
      </c>
    </row>
    <row r="126" spans="1:17" x14ac:dyDescent="0.3">
      <c r="A126" s="61" t="str">
        <f>_book!$A$121</f>
        <v>General Liability</v>
      </c>
      <c r="B126" s="61" t="str">
        <f>_book!$B$121</f>
        <v>SBA</v>
      </c>
      <c r="C126" s="61" t="str">
        <f>_book!$C$121</f>
        <v>OH</v>
      </c>
      <c r="D126" s="62">
        <f>_book!$F$121</f>
        <v>77000</v>
      </c>
      <c r="E126" s="63">
        <f>_book!$N$121</f>
        <v>0.628</v>
      </c>
      <c r="F126" s="64">
        <f>_book!$K$121</f>
        <v>1</v>
      </c>
      <c r="G126" s="64">
        <f>_book!$L$121</f>
        <v>1.012788648555651</v>
      </c>
      <c r="H126" s="64">
        <f>_book!$M$121</f>
        <v>1</v>
      </c>
      <c r="I126" s="63">
        <f>_book!$O$121</f>
        <v>0.63603127129294912</v>
      </c>
      <c r="J126" s="63">
        <f>_book!$P$121</f>
        <v>0.6405798805634455</v>
      </c>
      <c r="K126" s="65">
        <f>_book!$T$121</f>
        <v>0</v>
      </c>
      <c r="L126" s="65">
        <f>_book!$U$121</f>
        <v>0</v>
      </c>
      <c r="M126" s="65" t="str">
        <f>IF(_book!$V$121=0,"—",_book!$W$121)</f>
        <v>—</v>
      </c>
      <c r="N126" s="63">
        <f>_book!$Y$121</f>
        <v>0.63603127129294912</v>
      </c>
      <c r="O126" s="66" t="str">
        <f>IF(_book!$V$121=0,"—",_book!$AA$121)</f>
        <v>—</v>
      </c>
      <c r="P126" s="67">
        <f>_book!$AC$121</f>
        <v>0</v>
      </c>
      <c r="Q126" s="67">
        <f>_book!$AD$121</f>
        <v>0</v>
      </c>
    </row>
    <row r="127" spans="1:17" x14ac:dyDescent="0.3">
      <c r="A127" s="61" t="str">
        <f>_book!$A$122</f>
        <v>General Liability</v>
      </c>
      <c r="B127" s="61" t="str">
        <f>_book!$B$122</f>
        <v>SBA</v>
      </c>
      <c r="C127" s="61" t="str">
        <f>_book!$C$122</f>
        <v>PA</v>
      </c>
      <c r="D127" s="62">
        <f>_book!$F$122</f>
        <v>63000</v>
      </c>
      <c r="E127" s="63">
        <f>_book!$N$122</f>
        <v>0.61199999999999999</v>
      </c>
      <c r="F127" s="64">
        <f>_book!$K$122</f>
        <v>1.0073994349522399</v>
      </c>
      <c r="G127" s="64">
        <f>_book!$L$122</f>
        <v>1.009566543114361</v>
      </c>
      <c r="H127" s="64">
        <f>_book!$M$122</f>
        <v>1</v>
      </c>
      <c r="I127" s="63">
        <f>_book!$O$122</f>
        <v>0.62242650022901713</v>
      </c>
      <c r="J127" s="63">
        <f>_book!$P$122</f>
        <v>0.59589537705781925</v>
      </c>
      <c r="K127" s="65">
        <f>_book!$T$122</f>
        <v>-7.3450854700855004E-3</v>
      </c>
      <c r="L127" s="65">
        <f>_book!$U$122</f>
        <v>4.0839499529127243E-2</v>
      </c>
      <c r="M127" s="65" t="str">
        <f>IF(_book!$V$122=0,"—",_book!$W$122)</f>
        <v>—</v>
      </c>
      <c r="N127" s="63">
        <f>_book!$Y$122</f>
        <v>0.62242650022901713</v>
      </c>
      <c r="O127" s="66" t="str">
        <f>IF(_book!$V$122=0,"—",_book!$AA$122)</f>
        <v>—</v>
      </c>
      <c r="P127" s="67">
        <f>_book!$AC$122</f>
        <v>1</v>
      </c>
      <c r="Q127" s="67">
        <f>_book!$AD$122</f>
        <v>1</v>
      </c>
    </row>
    <row r="128" spans="1:17" x14ac:dyDescent="0.3">
      <c r="A128" s="61" t="str">
        <f>_book!$A$123</f>
        <v>General Liability</v>
      </c>
      <c r="B128" s="61" t="str">
        <f>_book!$B$123</f>
        <v>SBA</v>
      </c>
      <c r="C128" s="61" t="str">
        <f>_book!$C$123</f>
        <v>SC</v>
      </c>
      <c r="D128" s="62">
        <f>_book!$F$123</f>
        <v>49000</v>
      </c>
      <c r="E128" s="63">
        <f>_book!$N$123</f>
        <v>0.64</v>
      </c>
      <c r="F128" s="64">
        <f>_book!$K$123</f>
        <v>1.0168123739071959</v>
      </c>
      <c r="G128" s="64">
        <f>_book!$L$123</f>
        <v>1.0063648743927289</v>
      </c>
      <c r="H128" s="64">
        <f>_book!$M$123</f>
        <v>1</v>
      </c>
      <c r="I128" s="63">
        <f>_book!$O$123</f>
        <v>0.65490192444677608</v>
      </c>
      <c r="J128" s="63">
        <f>_book!$P$123</f>
        <v>0.63511117308756615</v>
      </c>
      <c r="K128" s="65">
        <f>_book!$T$123</f>
        <v>-1.653439153439162E-2</v>
      </c>
      <c r="L128" s="65">
        <f>_book!$U$123</f>
        <v>1.6812373907195699E-2</v>
      </c>
      <c r="M128" s="65" t="str">
        <f>IF(_book!$V$123=0,"—",_book!$W$123)</f>
        <v>—</v>
      </c>
      <c r="N128" s="63">
        <f>_book!$Y$123</f>
        <v>0.65490192444677608</v>
      </c>
      <c r="O128" s="66" t="str">
        <f>IF(_book!$V$123=0,"—",_book!$AA$123)</f>
        <v>—</v>
      </c>
      <c r="P128" s="67">
        <f>_book!$AC$123</f>
        <v>1</v>
      </c>
      <c r="Q128" s="67">
        <f>_book!$AD$123</f>
        <v>0</v>
      </c>
    </row>
    <row r="129" spans="1:17" x14ac:dyDescent="0.3">
      <c r="A129" s="61" t="str">
        <f>_book!$A$124</f>
        <v>General Liability</v>
      </c>
      <c r="B129" s="61" t="str">
        <f>_book!$B$124</f>
        <v>SBA</v>
      </c>
      <c r="C129" s="61" t="str">
        <f>_book!$C$124</f>
        <v>TN</v>
      </c>
      <c r="D129" s="62">
        <f>_book!$F$124</f>
        <v>35000</v>
      </c>
      <c r="E129" s="63">
        <f>_book!$N$124</f>
        <v>0.624</v>
      </c>
      <c r="F129" s="64">
        <f>_book!$K$124</f>
        <v>1</v>
      </c>
      <c r="G129" s="64">
        <f>_book!$L$124</f>
        <v>1.0106382978723401</v>
      </c>
      <c r="H129" s="64">
        <f>_book!$M$124</f>
        <v>1</v>
      </c>
      <c r="I129" s="63">
        <f>_book!$O$124</f>
        <v>0.63063829787234049</v>
      </c>
      <c r="J129" s="63">
        <f>_book!$P$124</f>
        <v>0.63063829787234049</v>
      </c>
      <c r="K129" s="65">
        <f>_book!$T$124</f>
        <v>0</v>
      </c>
      <c r="L129" s="65">
        <f>_book!$U$124</f>
        <v>0</v>
      </c>
      <c r="M129" s="65" t="str">
        <f>IF(_book!$V$124=0,"—",_book!$W$124)</f>
        <v>—</v>
      </c>
      <c r="N129" s="63">
        <f>_book!$Y$124</f>
        <v>0.63063829787234049</v>
      </c>
      <c r="O129" s="66" t="str">
        <f>IF(_book!$V$124=0,"—",_book!$AA$124)</f>
        <v>—</v>
      </c>
      <c r="P129" s="67">
        <f>_book!$AC$124</f>
        <v>0</v>
      </c>
      <c r="Q129" s="67">
        <f>_book!$AD$124</f>
        <v>0</v>
      </c>
    </row>
    <row r="130" spans="1:17" x14ac:dyDescent="0.3">
      <c r="A130" s="61" t="str">
        <f>_book!$A$125</f>
        <v>General Liability</v>
      </c>
      <c r="B130" s="61" t="str">
        <f>_book!$B$125</f>
        <v>SBA</v>
      </c>
      <c r="C130" s="61" t="str">
        <f>_book!$C$125</f>
        <v>VA</v>
      </c>
      <c r="D130" s="62">
        <f>_book!$F$125</f>
        <v>80500</v>
      </c>
      <c r="E130" s="63">
        <f>_book!$N$125</f>
        <v>0.60799999999999998</v>
      </c>
      <c r="F130" s="64">
        <f>_book!$K$125</f>
        <v>1</v>
      </c>
      <c r="G130" s="64">
        <f>_book!$L$125</f>
        <v>1.007429838568157</v>
      </c>
      <c r="H130" s="64">
        <f>_book!$M$125</f>
        <v>1</v>
      </c>
      <c r="I130" s="63">
        <f>_book!$O$125</f>
        <v>0.61251734184943973</v>
      </c>
      <c r="J130" s="63">
        <f>_book!$P$125</f>
        <v>0.60609587989764258</v>
      </c>
      <c r="K130" s="65">
        <f>_book!$T$125</f>
        <v>0</v>
      </c>
      <c r="L130" s="65">
        <f>_book!$U$125</f>
        <v>0</v>
      </c>
      <c r="M130" s="65" t="str">
        <f>IF(_book!$V$125=0,"—",_book!$W$125)</f>
        <v>—</v>
      </c>
      <c r="N130" s="63">
        <f>_book!$Y$125</f>
        <v>0.61251734184943973</v>
      </c>
      <c r="O130" s="66" t="str">
        <f>IF(_book!$V$125=0,"—",_book!$AA$125)</f>
        <v>—</v>
      </c>
      <c r="P130" s="67">
        <f>_book!$AC$125</f>
        <v>1</v>
      </c>
      <c r="Q130" s="67">
        <f>_book!$AD$125</f>
        <v>0</v>
      </c>
    </row>
    <row r="131" spans="1:17" x14ac:dyDescent="0.3">
      <c r="A131" s="61" t="str">
        <f>_book!$A$126</f>
        <v>General Liability</v>
      </c>
      <c r="B131" s="61" t="str">
        <f>_book!$B$126</f>
        <v>SBA</v>
      </c>
      <c r="C131" s="61" t="str">
        <f>_book!$C$126</f>
        <v>WV</v>
      </c>
      <c r="D131" s="62">
        <f>_book!$F$126</f>
        <v>66500</v>
      </c>
      <c r="E131" s="63">
        <f>_book!$N$126</f>
        <v>0.63600000000000001</v>
      </c>
      <c r="F131" s="64">
        <f>_book!$K$126</f>
        <v>0.98357003029225942</v>
      </c>
      <c r="G131" s="64">
        <f>_book!$L$126</f>
        <v>1.0117123305960061</v>
      </c>
      <c r="H131" s="64">
        <f>_book!$M$126</f>
        <v>1</v>
      </c>
      <c r="I131" s="63">
        <f>_book!$O$126</f>
        <v>0.63287719398626885</v>
      </c>
      <c r="J131" s="63">
        <f>_book!$P$126</f>
        <v>0.62098603479660663</v>
      </c>
      <c r="K131" s="65">
        <f>_book!$T$126</f>
        <v>1.6704422869471269E-2</v>
      </c>
      <c r="L131" s="65">
        <f>_book!$U$126</f>
        <v>2.277622455529826E-2</v>
      </c>
      <c r="M131" s="65" t="str">
        <f>IF(_book!$V$126=0,"—",_book!$W$126)</f>
        <v>—</v>
      </c>
      <c r="N131" s="63">
        <f>_book!$Y$126</f>
        <v>0.63287719398626885</v>
      </c>
      <c r="O131" s="66" t="str">
        <f>IF(_book!$V$126=0,"—",_book!$AA$126)</f>
        <v>—</v>
      </c>
      <c r="P131" s="67">
        <f>_book!$AC$126</f>
        <v>1</v>
      </c>
      <c r="Q131" s="67">
        <f>_book!$AD$126</f>
        <v>1</v>
      </c>
    </row>
    <row r="132" spans="1:17" x14ac:dyDescent="0.3">
      <c r="A132" s="61" t="str">
        <f>_book!$A$127</f>
        <v>General Liability</v>
      </c>
      <c r="B132" s="61" t="str">
        <f>_book!$B$127</f>
        <v>SBA</v>
      </c>
      <c r="C132" s="61" t="str">
        <f>_book!$C$127</f>
        <v>WI</v>
      </c>
      <c r="D132" s="62">
        <f>_book!$F$127</f>
        <v>52500</v>
      </c>
      <c r="E132" s="63">
        <f>_book!$N$127</f>
        <v>0.62</v>
      </c>
      <c r="F132" s="64">
        <f>_book!$K$127</f>
        <v>1</v>
      </c>
      <c r="G132" s="64">
        <f>_book!$L$127</f>
        <v>1.008497059082581</v>
      </c>
      <c r="H132" s="64">
        <f>_book!$M$127</f>
        <v>1</v>
      </c>
      <c r="I132" s="63">
        <f>_book!$O$127</f>
        <v>0.62526817663120027</v>
      </c>
      <c r="J132" s="63">
        <f>_book!$P$127</f>
        <v>0.62087814628023907</v>
      </c>
      <c r="K132" s="65">
        <f>_book!$T$127</f>
        <v>0</v>
      </c>
      <c r="L132" s="65">
        <f>_book!$U$127</f>
        <v>0</v>
      </c>
      <c r="M132" s="65" t="str">
        <f>IF(_book!$V$127=0,"—",_book!$W$127)</f>
        <v>—</v>
      </c>
      <c r="N132" s="63">
        <f>_book!$Y$127</f>
        <v>0.62526817663120027</v>
      </c>
      <c r="O132" s="66" t="str">
        <f>IF(_book!$V$127=0,"—",_book!$AA$127)</f>
        <v>—</v>
      </c>
      <c r="P132" s="67">
        <f>_book!$AC$127</f>
        <v>0</v>
      </c>
      <c r="Q132" s="67">
        <f>_book!$AD$127</f>
        <v>0</v>
      </c>
    </row>
    <row r="133" spans="1:17" x14ac:dyDescent="0.3">
      <c r="A133" s="61" t="str">
        <f>_book!$A$128</f>
        <v>Commercial Auto</v>
      </c>
      <c r="B133" s="61" t="str">
        <f>_book!$B$128</f>
        <v>ABD</v>
      </c>
      <c r="C133" s="61" t="str">
        <f>_book!$C$128</f>
        <v>AZ</v>
      </c>
      <c r="D133" s="62">
        <f>_book!$F$128</f>
        <v>32000</v>
      </c>
      <c r="E133" s="63">
        <f>_book!$N$128</f>
        <v>0.65</v>
      </c>
      <c r="F133" s="64">
        <f>_book!$K$128</f>
        <v>0.99306145153262859</v>
      </c>
      <c r="G133" s="64">
        <f>_book!$L$128</f>
        <v>0.98153851013092008</v>
      </c>
      <c r="H133" s="64">
        <f>_book!$M$128</f>
        <v>1</v>
      </c>
      <c r="I133" s="63">
        <f>_book!$O$128</f>
        <v>0.63357323744376037</v>
      </c>
      <c r="J133" s="63">
        <f>_book!$P$128</f>
        <v>0.59480029614224839</v>
      </c>
      <c r="K133" s="65">
        <f>_book!$T$128</f>
        <v>6.9870283018869106E-3</v>
      </c>
      <c r="L133" s="65">
        <f>_book!$U$128</f>
        <v>4.1162865591240383E-2</v>
      </c>
      <c r="M133" s="65" t="str">
        <f>IF(_book!$V$128=0,"—",_book!$W$128)</f>
        <v>—</v>
      </c>
      <c r="N133" s="63">
        <f>_book!$Y$128</f>
        <v>0.63357323744376037</v>
      </c>
      <c r="O133" s="66" t="str">
        <f>IF(_book!$V$128=0,"—",_book!$AA$128)</f>
        <v>—</v>
      </c>
      <c r="P133" s="67">
        <f>_book!$AC$128</f>
        <v>2</v>
      </c>
      <c r="Q133" s="67">
        <f>_book!$AD$128</f>
        <v>1</v>
      </c>
    </row>
    <row r="134" spans="1:17" x14ac:dyDescent="0.3">
      <c r="A134" s="61" t="str">
        <f>_book!$A$129</f>
        <v>Commercial Auto</v>
      </c>
      <c r="B134" s="61" t="str">
        <f>_book!$B$129</f>
        <v>ABD</v>
      </c>
      <c r="C134" s="61" t="str">
        <f>_book!$C$129</f>
        <v>CO</v>
      </c>
      <c r="D134" s="62">
        <f>_book!$F$129</f>
        <v>84000</v>
      </c>
      <c r="E134" s="63">
        <f>_book!$N$129</f>
        <v>0.68799999999999994</v>
      </c>
      <c r="F134" s="64">
        <f>_book!$K$129</f>
        <v>0.98357003029225942</v>
      </c>
      <c r="G134" s="64">
        <f>_book!$L$129</f>
        <v>1.009083870896514</v>
      </c>
      <c r="H134" s="64">
        <f>_book!$M$129</f>
        <v>1</v>
      </c>
      <c r="I134" s="63">
        <f>_book!$O$129</f>
        <v>0.68284320158399892</v>
      </c>
      <c r="J134" s="63">
        <f>_book!$P$129</f>
        <v>0.66540085490558076</v>
      </c>
      <c r="K134" s="65">
        <f>_book!$T$129</f>
        <v>1.6704422869471269E-2</v>
      </c>
      <c r="L134" s="65">
        <f>_book!$U$129</f>
        <v>2.277622455529826E-2</v>
      </c>
      <c r="M134" s="65" t="str">
        <f>IF(_book!$V$129=0,"—",_book!$W$129)</f>
        <v>—</v>
      </c>
      <c r="N134" s="63">
        <f>_book!$Y$129</f>
        <v>0.68284320158399892</v>
      </c>
      <c r="O134" s="66" t="str">
        <f>IF(_book!$V$129=0,"—",_book!$AA$129)</f>
        <v>—</v>
      </c>
      <c r="P134" s="67">
        <f>_book!$AC$129</f>
        <v>1</v>
      </c>
      <c r="Q134" s="67">
        <f>_book!$AD$129</f>
        <v>1</v>
      </c>
    </row>
    <row r="135" spans="1:17" x14ac:dyDescent="0.3">
      <c r="A135" s="61" t="str">
        <f>_book!$A$130</f>
        <v>Commercial Auto</v>
      </c>
      <c r="B135" s="61" t="str">
        <f>_book!$B$130</f>
        <v>ABD</v>
      </c>
      <c r="C135" s="61" t="str">
        <f>_book!$C$130</f>
        <v>DE</v>
      </c>
      <c r="D135" s="62">
        <f>_book!$F$130</f>
        <v>68000</v>
      </c>
      <c r="E135" s="63">
        <f>_book!$N$130</f>
        <v>0.67200000000000004</v>
      </c>
      <c r="F135" s="64">
        <f>_book!$K$130</f>
        <v>1</v>
      </c>
      <c r="G135" s="64">
        <f>_book!$L$130</f>
        <v>1.006044706983058</v>
      </c>
      <c r="H135" s="64">
        <f>_book!$M$130</f>
        <v>1</v>
      </c>
      <c r="I135" s="63">
        <f>_book!$O$130</f>
        <v>0.67606204309261531</v>
      </c>
      <c r="J135" s="63">
        <f>_book!$P$130</f>
        <v>0.66712153187467016</v>
      </c>
      <c r="K135" s="65">
        <f>_book!$T$130</f>
        <v>0</v>
      </c>
      <c r="L135" s="65">
        <f>_book!$U$130</f>
        <v>0</v>
      </c>
      <c r="M135" s="65" t="str">
        <f>IF(_book!$V$130=0,"—",_book!$W$130)</f>
        <v>—</v>
      </c>
      <c r="N135" s="63">
        <f>_book!$Y$130</f>
        <v>0.67606204309261531</v>
      </c>
      <c r="O135" s="66" t="str">
        <f>IF(_book!$V$130=0,"—",_book!$AA$130)</f>
        <v>—</v>
      </c>
      <c r="P135" s="67">
        <f>_book!$AC$130</f>
        <v>0</v>
      </c>
      <c r="Q135" s="67">
        <f>_book!$AD$130</f>
        <v>0</v>
      </c>
    </row>
    <row r="136" spans="1:17" x14ac:dyDescent="0.3">
      <c r="A136" s="61" t="str">
        <f>_book!$A$131</f>
        <v>Commercial Auto</v>
      </c>
      <c r="B136" s="61" t="str">
        <f>_book!$B$131</f>
        <v>ABD</v>
      </c>
      <c r="C136" s="61" t="str">
        <f>_book!$C$131</f>
        <v>FL</v>
      </c>
      <c r="D136" s="62">
        <f>_book!$F$131</f>
        <v>52000</v>
      </c>
      <c r="E136" s="63">
        <f>_book!$N$131</f>
        <v>0.7</v>
      </c>
      <c r="F136" s="64">
        <f>_book!$K$131</f>
        <v>1.0014903129657231</v>
      </c>
      <c r="G136" s="64">
        <f>_book!$L$131</f>
        <v>1</v>
      </c>
      <c r="H136" s="64">
        <f>_book!$M$131</f>
        <v>1</v>
      </c>
      <c r="I136" s="63">
        <f>_book!$O$131</f>
        <v>0.70104321907600597</v>
      </c>
      <c r="J136" s="63">
        <f>_book!$P$131</f>
        <v>0.7</v>
      </c>
      <c r="K136" s="65">
        <f>_book!$T$131</f>
        <v>-1.488095238095344E-3</v>
      </c>
      <c r="L136" s="65">
        <f>_book!$U$131</f>
        <v>1.490312965722884E-3</v>
      </c>
      <c r="M136" s="65" t="str">
        <f>IF(_book!$V$131=0,"—",_book!$W$131)</f>
        <v>—</v>
      </c>
      <c r="N136" s="63">
        <f>_book!$Y$131</f>
        <v>0.70104321907600597</v>
      </c>
      <c r="O136" s="66" t="str">
        <f>IF(_book!$V$131=0,"—",_book!$AA$131)</f>
        <v>—</v>
      </c>
      <c r="P136" s="67">
        <f>_book!$AC$131</f>
        <v>1</v>
      </c>
      <c r="Q136" s="67">
        <f>_book!$AD$131</f>
        <v>0</v>
      </c>
    </row>
    <row r="137" spans="1:17" x14ac:dyDescent="0.3">
      <c r="A137" s="61" t="str">
        <f>_book!$A$132</f>
        <v>Commercial Auto</v>
      </c>
      <c r="B137" s="61" t="str">
        <f>_book!$B$132</f>
        <v>ABD</v>
      </c>
      <c r="C137" s="61" t="str">
        <f>_book!$C$132</f>
        <v>GA</v>
      </c>
      <c r="D137" s="62">
        <f>_book!$F$132</f>
        <v>36000</v>
      </c>
      <c r="E137" s="63">
        <f>_book!$N$132</f>
        <v>0.68400000000000005</v>
      </c>
      <c r="F137" s="64">
        <f>_book!$K$132</f>
        <v>1.0031545741324921</v>
      </c>
      <c r="G137" s="64">
        <f>_book!$L$132</f>
        <v>1.007055725494679</v>
      </c>
      <c r="H137" s="64">
        <f>_book!$M$132</f>
        <v>1</v>
      </c>
      <c r="I137" s="63">
        <f>_book!$O$132</f>
        <v>0.69099906928643107</v>
      </c>
      <c r="J137" s="63">
        <f>_book!$P$132</f>
        <v>0.68196465292800068</v>
      </c>
      <c r="K137" s="65">
        <f>_book!$T$132</f>
        <v>-3.1446540880502032E-3</v>
      </c>
      <c r="L137" s="65">
        <f>_book!$U$132</f>
        <v>3.154574132492094E-3</v>
      </c>
      <c r="M137" s="65" t="str">
        <f>IF(_book!$V$132=0,"—",_book!$W$132)</f>
        <v>—</v>
      </c>
      <c r="N137" s="63">
        <f>_book!$Y$132</f>
        <v>0.69099906928643107</v>
      </c>
      <c r="O137" s="66" t="str">
        <f>IF(_book!$V$132=0,"—",_book!$AA$132)</f>
        <v>—</v>
      </c>
      <c r="P137" s="67">
        <f>_book!$AC$132</f>
        <v>1</v>
      </c>
      <c r="Q137" s="67">
        <f>_book!$AD$132</f>
        <v>0</v>
      </c>
    </row>
    <row r="138" spans="1:17" x14ac:dyDescent="0.3">
      <c r="A138" s="61" t="str">
        <f>_book!$A$133</f>
        <v>Commercial Auto</v>
      </c>
      <c r="B138" s="61" t="str">
        <f>_book!$B$133</f>
        <v>ABD</v>
      </c>
      <c r="C138" s="61" t="str">
        <f>_book!$C$133</f>
        <v>IA</v>
      </c>
      <c r="D138" s="62">
        <f>_book!$F$133</f>
        <v>88000</v>
      </c>
      <c r="E138" s="63">
        <f>_book!$N$133</f>
        <v>0.66800000000000004</v>
      </c>
      <c r="F138" s="64">
        <f>_book!$K$133</f>
        <v>0.99694186360817705</v>
      </c>
      <c r="G138" s="64">
        <f>_book!$L$133</f>
        <v>1.012136019383969</v>
      </c>
      <c r="H138" s="64">
        <f>_book!$M$133</f>
        <v>1</v>
      </c>
      <c r="I138" s="63">
        <f>_book!$O$133</f>
        <v>0.67403923395226362</v>
      </c>
      <c r="J138" s="63">
        <f>_book!$P$133</f>
        <v>0.65327521131815269</v>
      </c>
      <c r="K138" s="65">
        <f>_book!$T$133</f>
        <v>3.0675172780434412E-3</v>
      </c>
      <c r="L138" s="65">
        <f>_book!$U$133</f>
        <v>3.3357934459420369E-2</v>
      </c>
      <c r="M138" s="65" t="str">
        <f>IF(_book!$V$133=0,"—",_book!$W$133)</f>
        <v>—</v>
      </c>
      <c r="N138" s="63">
        <f>_book!$Y$133</f>
        <v>0.67403923395226362</v>
      </c>
      <c r="O138" s="66" t="str">
        <f>IF(_book!$V$133=0,"—",_book!$AA$133)</f>
        <v>—</v>
      </c>
      <c r="P138" s="67">
        <f>_book!$AC$133</f>
        <v>1</v>
      </c>
      <c r="Q138" s="67">
        <f>_book!$AD$133</f>
        <v>1</v>
      </c>
    </row>
    <row r="139" spans="1:17" x14ac:dyDescent="0.3">
      <c r="A139" s="61" t="str">
        <f>_book!$A$134</f>
        <v>Commercial Auto</v>
      </c>
      <c r="B139" s="61" t="str">
        <f>_book!$B$134</f>
        <v>ABD</v>
      </c>
      <c r="C139" s="61" t="str">
        <f>_book!$C$134</f>
        <v>IL</v>
      </c>
      <c r="D139" s="62">
        <f>_book!$F$134</f>
        <v>72000</v>
      </c>
      <c r="E139" s="63">
        <f>_book!$N$134</f>
        <v>0.69599999999999995</v>
      </c>
      <c r="F139" s="64">
        <f>_book!$K$134</f>
        <v>1.003654080389768</v>
      </c>
      <c r="G139" s="64">
        <f>_book!$L$134</f>
        <v>1.008068778084247</v>
      </c>
      <c r="H139" s="64">
        <f>_book!$M$134</f>
        <v>1</v>
      </c>
      <c r="I139" s="63">
        <f>_book!$O$134</f>
        <v>0.70417963033669628</v>
      </c>
      <c r="J139" s="63">
        <f>_book!$P$134</f>
        <v>0.69693643420029583</v>
      </c>
      <c r="K139" s="65">
        <f>_book!$T$134</f>
        <v>-3.640776699028847E-3</v>
      </c>
      <c r="L139" s="65">
        <f>_book!$U$134</f>
        <v>3.6540803897684442E-3</v>
      </c>
      <c r="M139" s="65" t="str">
        <f>IF(_book!$V$134=0,"—",_book!$W$134)</f>
        <v>—</v>
      </c>
      <c r="N139" s="63">
        <f>_book!$Y$134</f>
        <v>0.70417963033669628</v>
      </c>
      <c r="O139" s="66" t="str">
        <f>IF(_book!$V$134=0,"—",_book!$AA$134)</f>
        <v>—</v>
      </c>
      <c r="P139" s="67">
        <f>_book!$AC$134</f>
        <v>1</v>
      </c>
      <c r="Q139" s="67">
        <f>_book!$AD$134</f>
        <v>0</v>
      </c>
    </row>
    <row r="140" spans="1:17" x14ac:dyDescent="0.3">
      <c r="A140" s="61" t="str">
        <f>_book!$A$135</f>
        <v>Commercial Auto</v>
      </c>
      <c r="B140" s="61" t="str">
        <f>_book!$B$135</f>
        <v>ABD</v>
      </c>
      <c r="C140" s="61" t="str">
        <f>_book!$C$135</f>
        <v>IN</v>
      </c>
      <c r="D140" s="62">
        <f>_book!$F$135</f>
        <v>56000</v>
      </c>
      <c r="E140" s="63">
        <f>_book!$N$135</f>
        <v>0.68</v>
      </c>
      <c r="F140" s="64">
        <f>_book!$K$135</f>
        <v>1.006586906842317</v>
      </c>
      <c r="G140" s="64">
        <f>_book!$L$135</f>
        <v>1.012141452489427</v>
      </c>
      <c r="H140" s="64">
        <f>_book!$M$135</f>
        <v>1</v>
      </c>
      <c r="I140" s="63">
        <f>_book!$O$135</f>
        <v>0.69278966708479151</v>
      </c>
      <c r="J140" s="63">
        <f>_book!$P$135</f>
        <v>0.69292750242382473</v>
      </c>
      <c r="K140" s="65">
        <f>_book!$T$135</f>
        <v>-6.54380341880334E-3</v>
      </c>
      <c r="L140" s="65">
        <f>_book!$U$135</f>
        <v>6.5869068423176644E-3</v>
      </c>
      <c r="M140" s="65" t="str">
        <f>IF(_book!$V$135=0,"—",_book!$W$135)</f>
        <v>—</v>
      </c>
      <c r="N140" s="63">
        <f>_book!$Y$135</f>
        <v>0.69278966708479151</v>
      </c>
      <c r="O140" s="66" t="str">
        <f>IF(_book!$V$135=0,"—",_book!$AA$135)</f>
        <v>—</v>
      </c>
      <c r="P140" s="67">
        <f>_book!$AC$135</f>
        <v>1</v>
      </c>
      <c r="Q140" s="67">
        <f>_book!$AD$135</f>
        <v>0</v>
      </c>
    </row>
    <row r="141" spans="1:17" x14ac:dyDescent="0.3">
      <c r="A141" s="61" t="str">
        <f>_book!$A$136</f>
        <v>Commercial Auto</v>
      </c>
      <c r="B141" s="61" t="str">
        <f>_book!$B$136</f>
        <v>ABD</v>
      </c>
      <c r="C141" s="61" t="str">
        <f>_book!$C$136</f>
        <v>KY</v>
      </c>
      <c r="D141" s="62">
        <f>_book!$F$136</f>
        <v>40000</v>
      </c>
      <c r="E141" s="63">
        <f>_book!$N$136</f>
        <v>0.66400000000000003</v>
      </c>
      <c r="F141" s="64">
        <f>_book!$K$136</f>
        <v>1</v>
      </c>
      <c r="G141" s="64">
        <f>_book!$L$136</f>
        <v>1.009083870896514</v>
      </c>
      <c r="H141" s="64">
        <f>_book!$M$136</f>
        <v>1</v>
      </c>
      <c r="I141" s="63">
        <f>_book!$O$136</f>
        <v>0.67003169027528542</v>
      </c>
      <c r="J141" s="63">
        <f>_book!$P$136</f>
        <v>0.66778757211931683</v>
      </c>
      <c r="K141" s="65">
        <f>_book!$T$136</f>
        <v>0</v>
      </c>
      <c r="L141" s="65">
        <f>_book!$U$136</f>
        <v>0</v>
      </c>
      <c r="M141" s="65" t="str">
        <f>IF(_book!$V$136=0,"—",_book!$W$136)</f>
        <v>—</v>
      </c>
      <c r="N141" s="63">
        <f>_book!$Y$136</f>
        <v>0.67003169027528542</v>
      </c>
      <c r="O141" s="66" t="str">
        <f>IF(_book!$V$136=0,"—",_book!$AA$136)</f>
        <v>—</v>
      </c>
      <c r="P141" s="67">
        <f>_book!$AC$136</f>
        <v>0</v>
      </c>
      <c r="Q141" s="67">
        <f>_book!$AD$136</f>
        <v>0</v>
      </c>
    </row>
    <row r="142" spans="1:17" x14ac:dyDescent="0.3">
      <c r="A142" s="61" t="str">
        <f>_book!$A$137</f>
        <v>Commercial Auto</v>
      </c>
      <c r="B142" s="61" t="str">
        <f>_book!$B$137</f>
        <v>ABD</v>
      </c>
      <c r="C142" s="61" t="str">
        <f>_book!$C$137</f>
        <v>MD</v>
      </c>
      <c r="D142" s="62">
        <f>_book!$F$137</f>
        <v>92000</v>
      </c>
      <c r="E142" s="63">
        <f>_book!$N$137</f>
        <v>0.69199999999999995</v>
      </c>
      <c r="F142" s="64">
        <f>_book!$K$137</f>
        <v>1.0148882186796879</v>
      </c>
      <c r="G142" s="64">
        <f>_book!$L$137</f>
        <v>1.006044706983058</v>
      </c>
      <c r="H142" s="64">
        <f>_book!$M$137</f>
        <v>1</v>
      </c>
      <c r="I142" s="63">
        <f>_book!$O$137</f>
        <v>0.70654786104285794</v>
      </c>
      <c r="J142" s="63">
        <f>_book!$P$137</f>
        <v>0.66777772964368387</v>
      </c>
      <c r="K142" s="65">
        <f>_book!$T$137</f>
        <v>-1.466981132075462E-2</v>
      </c>
      <c r="L142" s="65">
        <f>_book!$U$137</f>
        <v>4.4066254966729002E-2</v>
      </c>
      <c r="M142" s="65" t="str">
        <f>IF(_book!$V$137=0,"—",_book!$W$137)</f>
        <v>—</v>
      </c>
      <c r="N142" s="63">
        <f>_book!$Y$137</f>
        <v>0.70654786104285794</v>
      </c>
      <c r="O142" s="66" t="str">
        <f>IF(_book!$V$137=0,"—",_book!$AA$137)</f>
        <v>—</v>
      </c>
      <c r="P142" s="67">
        <f>_book!$AC$137</f>
        <v>1</v>
      </c>
      <c r="Q142" s="67">
        <f>_book!$AD$137</f>
        <v>1</v>
      </c>
    </row>
    <row r="143" spans="1:17" x14ac:dyDescent="0.3">
      <c r="A143" s="61" t="str">
        <f>_book!$A$138</f>
        <v>Commercial Auto</v>
      </c>
      <c r="B143" s="61" t="str">
        <f>_book!$B$138</f>
        <v>ABD</v>
      </c>
      <c r="C143" s="61" t="str">
        <f>_book!$C$138</f>
        <v>MI</v>
      </c>
      <c r="D143" s="62">
        <f>_book!$F$138</f>
        <v>76000</v>
      </c>
      <c r="E143" s="63">
        <f>_book!$N$138</f>
        <v>0.67600000000000005</v>
      </c>
      <c r="F143" s="64">
        <f>_book!$K$138</f>
        <v>1.0068549492733749</v>
      </c>
      <c r="G143" s="64">
        <f>_book!$L$138</f>
        <v>1.0101010101010099</v>
      </c>
      <c r="H143" s="64">
        <f>_book!$M$138</f>
        <v>1</v>
      </c>
      <c r="I143" s="63">
        <f>_book!$O$138</f>
        <v>0.68750903606949665</v>
      </c>
      <c r="J143" s="63">
        <f>_book!$P$138</f>
        <v>0.6828282828282829</v>
      </c>
      <c r="K143" s="65">
        <f>_book!$T$138</f>
        <v>-6.8082788671023353E-3</v>
      </c>
      <c r="L143" s="65">
        <f>_book!$U$138</f>
        <v>6.8549492733751549E-3</v>
      </c>
      <c r="M143" s="65" t="str">
        <f>IF(_book!$V$138=0,"—",_book!$W$138)</f>
        <v>—</v>
      </c>
      <c r="N143" s="63">
        <f>_book!$Y$138</f>
        <v>0.68750903606949665</v>
      </c>
      <c r="O143" s="66" t="str">
        <f>IF(_book!$V$138=0,"—",_book!$AA$138)</f>
        <v>—</v>
      </c>
      <c r="P143" s="67">
        <f>_book!$AC$138</f>
        <v>1</v>
      </c>
      <c r="Q143" s="67">
        <f>_book!$AD$138</f>
        <v>0</v>
      </c>
    </row>
    <row r="144" spans="1:17" x14ac:dyDescent="0.3">
      <c r="A144" s="61" t="str">
        <f>_book!$A$139</f>
        <v>Commercial Auto</v>
      </c>
      <c r="B144" s="61" t="str">
        <f>_book!$B$139</f>
        <v>ABD</v>
      </c>
      <c r="C144" s="61" t="str">
        <f>_book!$C$139</f>
        <v>MN</v>
      </c>
      <c r="D144" s="62">
        <f>_book!$F$139</f>
        <v>60000</v>
      </c>
      <c r="E144" s="63">
        <f>_book!$N$139</f>
        <v>0.66</v>
      </c>
      <c r="F144" s="64">
        <f>_book!$K$139</f>
        <v>1</v>
      </c>
      <c r="G144" s="64">
        <f>_book!$L$139</f>
        <v>1.007055725494679</v>
      </c>
      <c r="H144" s="64">
        <f>_book!$M$139</f>
        <v>1</v>
      </c>
      <c r="I144" s="63">
        <f>_book!$O$139</f>
        <v>0.66465677882648833</v>
      </c>
      <c r="J144" s="63">
        <f>_book!$P$139</f>
        <v>0.65803606861473762</v>
      </c>
      <c r="K144" s="65">
        <f>_book!$T$139</f>
        <v>0</v>
      </c>
      <c r="L144" s="65">
        <f>_book!$U$139</f>
        <v>0</v>
      </c>
      <c r="M144" s="65" t="str">
        <f>IF(_book!$V$139=0,"—",_book!$W$139)</f>
        <v>—</v>
      </c>
      <c r="N144" s="63">
        <f>_book!$Y$139</f>
        <v>0.66465677882648833</v>
      </c>
      <c r="O144" s="66" t="str">
        <f>IF(_book!$V$139=0,"—",_book!$AA$139)</f>
        <v>—</v>
      </c>
      <c r="P144" s="67">
        <f>_book!$AC$139</f>
        <v>0</v>
      </c>
      <c r="Q144" s="67">
        <f>_book!$AD$139</f>
        <v>0</v>
      </c>
    </row>
    <row r="145" spans="1:17" x14ac:dyDescent="0.3">
      <c r="A145" s="61" t="str">
        <f>_book!$A$140</f>
        <v>Commercial Auto</v>
      </c>
      <c r="B145" s="61" t="str">
        <f>_book!$B$140</f>
        <v>ABD</v>
      </c>
      <c r="C145" s="61" t="str">
        <f>_book!$C$140</f>
        <v>NM</v>
      </c>
      <c r="D145" s="62">
        <f>_book!$F$140</f>
        <v>44000</v>
      </c>
      <c r="E145" s="63">
        <f>_book!$N$140</f>
        <v>0.68799999999999994</v>
      </c>
      <c r="F145" s="64">
        <f>_book!$K$140</f>
        <v>0.99999999999999978</v>
      </c>
      <c r="G145" s="64">
        <f>_book!$L$140</f>
        <v>1.011120201892163</v>
      </c>
      <c r="H145" s="64">
        <f>_book!$M$140</f>
        <v>1</v>
      </c>
      <c r="I145" s="63">
        <f>_book!$O$140</f>
        <v>0.69565069890180797</v>
      </c>
      <c r="J145" s="63">
        <f>_book!$P$140</f>
        <v>0.69800108390350857</v>
      </c>
      <c r="K145" s="65">
        <f>_book!$T$140</f>
        <v>0</v>
      </c>
      <c r="L145" s="65">
        <f>_book!$U$140</f>
        <v>0</v>
      </c>
      <c r="M145" s="65" t="str">
        <f>IF(_book!$V$140=0,"—",_book!$W$140)</f>
        <v>—</v>
      </c>
      <c r="N145" s="63">
        <f>_book!$Y$140</f>
        <v>0.69565069890180797</v>
      </c>
      <c r="O145" s="66" t="str">
        <f>IF(_book!$V$140=0,"—",_book!$AA$140)</f>
        <v>—</v>
      </c>
      <c r="P145" s="67">
        <f>_book!$AC$140</f>
        <v>1</v>
      </c>
      <c r="Q145" s="67">
        <f>_book!$AD$140</f>
        <v>0</v>
      </c>
    </row>
    <row r="146" spans="1:17" x14ac:dyDescent="0.3">
      <c r="A146" s="61" t="str">
        <f>_book!$A$141</f>
        <v>Commercial Auto</v>
      </c>
      <c r="B146" s="61" t="str">
        <f>_book!$B$141</f>
        <v>ABD</v>
      </c>
      <c r="C146" s="61" t="str">
        <f>_book!$C$141</f>
        <v>NC</v>
      </c>
      <c r="D146" s="62">
        <f>_book!$F$141</f>
        <v>96000</v>
      </c>
      <c r="E146" s="63">
        <f>_book!$N$141</f>
        <v>0.67200000000000004</v>
      </c>
      <c r="F146" s="64">
        <f>_book!$K$141</f>
        <v>0.9890368664800232</v>
      </c>
      <c r="G146" s="64">
        <f>_book!$L$141</f>
        <v>1.008068778084247</v>
      </c>
      <c r="H146" s="64">
        <f>_book!$M$141</f>
        <v>1</v>
      </c>
      <c r="I146" s="63">
        <f>_book!$O$141</f>
        <v>0.66999554863771449</v>
      </c>
      <c r="J146" s="63">
        <f>_book!$P$141</f>
        <v>0.64780182273482856</v>
      </c>
      <c r="K146" s="65">
        <f>_book!$T$141</f>
        <v>1.108465608465603E-2</v>
      </c>
      <c r="L146" s="65">
        <f>_book!$U$141</f>
        <v>2.7362045056124051E-2</v>
      </c>
      <c r="M146" s="65" t="str">
        <f>IF(_book!$V$141=0,"—",_book!$W$141)</f>
        <v>—</v>
      </c>
      <c r="N146" s="63">
        <f>_book!$Y$141</f>
        <v>0.66999554863771449</v>
      </c>
      <c r="O146" s="66" t="str">
        <f>IF(_book!$V$141=0,"—",_book!$AA$141)</f>
        <v>—</v>
      </c>
      <c r="P146" s="67">
        <f>_book!$AC$141</f>
        <v>1</v>
      </c>
      <c r="Q146" s="67">
        <f>_book!$AD$141</f>
        <v>1</v>
      </c>
    </row>
    <row r="147" spans="1:17" x14ac:dyDescent="0.3">
      <c r="A147" s="61" t="str">
        <f>_book!$A$142</f>
        <v>Commercial Auto</v>
      </c>
      <c r="B147" s="61" t="str">
        <f>_book!$B$142</f>
        <v>ABD</v>
      </c>
      <c r="C147" s="61" t="str">
        <f>_book!$C$142</f>
        <v>OH</v>
      </c>
      <c r="D147" s="62">
        <f>_book!$F$142</f>
        <v>80000</v>
      </c>
      <c r="E147" s="63">
        <f>_book!$N$142</f>
        <v>0.7</v>
      </c>
      <c r="F147" s="64">
        <f>_book!$K$142</f>
        <v>1</v>
      </c>
      <c r="G147" s="64">
        <f>_book!$L$142</f>
        <v>1.012141452489427</v>
      </c>
      <c r="H147" s="64">
        <f>_book!$M$142</f>
        <v>1</v>
      </c>
      <c r="I147" s="63">
        <f>_book!$O$142</f>
        <v>0.70849901674259885</v>
      </c>
      <c r="J147" s="63">
        <f>_book!$P$142</f>
        <v>0.713307723083349</v>
      </c>
      <c r="K147" s="65">
        <f>_book!$T$142</f>
        <v>0</v>
      </c>
      <c r="L147" s="65">
        <f>_book!$U$142</f>
        <v>0</v>
      </c>
      <c r="M147" s="65" t="str">
        <f>IF(_book!$V$142=0,"—",_book!$W$142)</f>
        <v>—</v>
      </c>
      <c r="N147" s="63">
        <f>_book!$Y$142</f>
        <v>0.70849901674259885</v>
      </c>
      <c r="O147" s="66" t="str">
        <f>IF(_book!$V$142=0,"—",_book!$AA$142)</f>
        <v>—</v>
      </c>
      <c r="P147" s="67">
        <f>_book!$AC$142</f>
        <v>0</v>
      </c>
      <c r="Q147" s="67">
        <f>_book!$AD$142</f>
        <v>0</v>
      </c>
    </row>
    <row r="148" spans="1:17" x14ac:dyDescent="0.3">
      <c r="A148" s="61" t="str">
        <f>_book!$A$143</f>
        <v>Commercial Auto</v>
      </c>
      <c r="B148" s="61" t="str">
        <f>_book!$B$143</f>
        <v>ABD</v>
      </c>
      <c r="C148" s="61" t="str">
        <f>_book!$C$143</f>
        <v>PA</v>
      </c>
      <c r="D148" s="62">
        <f>_book!$F$143</f>
        <v>64000</v>
      </c>
      <c r="E148" s="63">
        <f>_book!$N$143</f>
        <v>0.68400000000000005</v>
      </c>
      <c r="F148" s="64">
        <f>_book!$K$143</f>
        <v>1.000613120784795</v>
      </c>
      <c r="G148" s="64">
        <f>_book!$L$143</f>
        <v>1.009083870896514</v>
      </c>
      <c r="H148" s="64">
        <f>_book!$M$143</f>
        <v>1</v>
      </c>
      <c r="I148" s="63">
        <f>_book!$O$143</f>
        <v>0.6906365518548917</v>
      </c>
      <c r="J148" s="63">
        <f>_book!$P$143</f>
        <v>0.68790165561688676</v>
      </c>
      <c r="K148" s="65">
        <f>_book!$T$143</f>
        <v>-6.1274509803932453E-4</v>
      </c>
      <c r="L148" s="65">
        <f>_book!$U$143</f>
        <v>6.1312078479458521E-4</v>
      </c>
      <c r="M148" s="65" t="str">
        <f>IF(_book!$V$143=0,"—",_book!$W$143)</f>
        <v>—</v>
      </c>
      <c r="N148" s="63">
        <f>_book!$Y$143</f>
        <v>0.6906365518548917</v>
      </c>
      <c r="O148" s="66" t="str">
        <f>IF(_book!$V$143=0,"—",_book!$AA$143)</f>
        <v>—</v>
      </c>
      <c r="P148" s="67">
        <f>_book!$AC$143</f>
        <v>1</v>
      </c>
      <c r="Q148" s="67">
        <f>_book!$AD$143</f>
        <v>0</v>
      </c>
    </row>
    <row r="149" spans="1:17" x14ac:dyDescent="0.3">
      <c r="A149" s="61" t="str">
        <f>_book!$A$144</f>
        <v>Commercial Auto</v>
      </c>
      <c r="B149" s="61" t="str">
        <f>_book!$B$144</f>
        <v>ABD</v>
      </c>
      <c r="C149" s="61" t="str">
        <f>_book!$C$144</f>
        <v>SC</v>
      </c>
      <c r="D149" s="62">
        <f>_book!$F$144</f>
        <v>48000</v>
      </c>
      <c r="E149" s="63">
        <f>_book!$N$144</f>
        <v>0.66800000000000004</v>
      </c>
      <c r="F149" s="64">
        <f>_book!$K$144</f>
        <v>1.00162074554295</v>
      </c>
      <c r="G149" s="64">
        <f>_book!$L$144</f>
        <v>1.006044706983058</v>
      </c>
      <c r="H149" s="64">
        <f>_book!$M$144</f>
        <v>1</v>
      </c>
      <c r="I149" s="63">
        <f>_book!$O$144</f>
        <v>0.67312706663788335</v>
      </c>
      <c r="J149" s="63">
        <f>_book!$P$144</f>
        <v>0.66315057037541603</v>
      </c>
      <c r="K149" s="65">
        <f>_book!$T$144</f>
        <v>-1.618122977346093E-3</v>
      </c>
      <c r="L149" s="65">
        <f>_book!$U$144</f>
        <v>1.620745542949775E-3</v>
      </c>
      <c r="M149" s="65" t="str">
        <f>IF(_book!$V$144=0,"—",_book!$W$144)</f>
        <v>—</v>
      </c>
      <c r="N149" s="63">
        <f>_book!$Y$144</f>
        <v>0.67312706663788335</v>
      </c>
      <c r="O149" s="66" t="str">
        <f>IF(_book!$V$144=0,"—",_book!$AA$144)</f>
        <v>—</v>
      </c>
      <c r="P149" s="67">
        <f>_book!$AC$144</f>
        <v>1</v>
      </c>
      <c r="Q149" s="67">
        <f>_book!$AD$144</f>
        <v>0</v>
      </c>
    </row>
    <row r="150" spans="1:17" x14ac:dyDescent="0.3">
      <c r="A150" s="61" t="str">
        <f>_book!$A$145</f>
        <v>Commercial Auto</v>
      </c>
      <c r="B150" s="61" t="str">
        <f>_book!$B$145</f>
        <v>ABD</v>
      </c>
      <c r="C150" s="61" t="str">
        <f>_book!$C$145</f>
        <v>TN</v>
      </c>
      <c r="D150" s="62">
        <f>_book!$F$145</f>
        <v>32000</v>
      </c>
      <c r="E150" s="63">
        <f>_book!$N$145</f>
        <v>0.69599999999999995</v>
      </c>
      <c r="F150" s="64">
        <f>_book!$K$145</f>
        <v>0.9965397923875432</v>
      </c>
      <c r="G150" s="64">
        <f>_book!$L$145</f>
        <v>1.0101010101010099</v>
      </c>
      <c r="H150" s="64">
        <f>_book!$M$145</f>
        <v>1</v>
      </c>
      <c r="I150" s="63">
        <f>_book!$O$145</f>
        <v>0.70059767222396963</v>
      </c>
      <c r="J150" s="63">
        <f>_book!$P$145</f>
        <v>0.68044336359970159</v>
      </c>
      <c r="K150" s="65">
        <f>_book!$T$145</f>
        <v>3.4722222222223209E-3</v>
      </c>
      <c r="L150" s="65">
        <f>_book!$U$145</f>
        <v>2.9619377162629631E-2</v>
      </c>
      <c r="M150" s="65" t="str">
        <f>IF(_book!$V$145=0,"—",_book!$W$145)</f>
        <v>—</v>
      </c>
      <c r="N150" s="63">
        <f>_book!$Y$145</f>
        <v>0.70059767222396963</v>
      </c>
      <c r="O150" s="66" t="str">
        <f>IF(_book!$V$145=0,"—",_book!$AA$145)</f>
        <v>—</v>
      </c>
      <c r="P150" s="67">
        <f>_book!$AC$145</f>
        <v>0</v>
      </c>
      <c r="Q150" s="67">
        <f>_book!$AD$145</f>
        <v>1</v>
      </c>
    </row>
    <row r="151" spans="1:17" x14ac:dyDescent="0.3">
      <c r="A151" s="61" t="str">
        <f>_book!$A$146</f>
        <v>Commercial Auto</v>
      </c>
      <c r="B151" s="61" t="str">
        <f>_book!$B$146</f>
        <v>ABD</v>
      </c>
      <c r="C151" s="61" t="str">
        <f>_book!$C$146</f>
        <v>VA</v>
      </c>
      <c r="D151" s="62">
        <f>_book!$F$146</f>
        <v>84000</v>
      </c>
      <c r="E151" s="63">
        <f>_book!$N$146</f>
        <v>0.68</v>
      </c>
      <c r="F151" s="64">
        <f>_book!$K$146</f>
        <v>1.005988023952096</v>
      </c>
      <c r="G151" s="64">
        <f>_book!$L$146</f>
        <v>1.007055725494679</v>
      </c>
      <c r="H151" s="64">
        <f>_book!$M$146</f>
        <v>1</v>
      </c>
      <c r="I151" s="63">
        <f>_book!$O$146</f>
        <v>0.68889847952402505</v>
      </c>
      <c r="J151" s="63">
        <f>_book!$P$146</f>
        <v>0.67797655554245695</v>
      </c>
      <c r="K151" s="65">
        <f>_book!$T$146</f>
        <v>-5.9523809523810423E-3</v>
      </c>
      <c r="L151" s="65">
        <f>_book!$U$146</f>
        <v>5.9880239520959666E-3</v>
      </c>
      <c r="M151" s="65" t="str">
        <f>IF(_book!$V$146=0,"—",_book!$W$146)</f>
        <v>—</v>
      </c>
      <c r="N151" s="63">
        <f>_book!$Y$146</f>
        <v>0.68889847952402505</v>
      </c>
      <c r="O151" s="66" t="str">
        <f>IF(_book!$V$146=0,"—",_book!$AA$146)</f>
        <v>—</v>
      </c>
      <c r="P151" s="67">
        <f>_book!$AC$146</f>
        <v>1</v>
      </c>
      <c r="Q151" s="67">
        <f>_book!$AD$146</f>
        <v>0</v>
      </c>
    </row>
    <row r="152" spans="1:17" x14ac:dyDescent="0.3">
      <c r="A152" s="61" t="str">
        <f>_book!$A$147</f>
        <v>Commercial Auto</v>
      </c>
      <c r="B152" s="61" t="str">
        <f>_book!$B$147</f>
        <v>ABD</v>
      </c>
      <c r="C152" s="61" t="str">
        <f>_book!$C$147</f>
        <v>WV</v>
      </c>
      <c r="D152" s="62">
        <f>_book!$F$147</f>
        <v>68000</v>
      </c>
      <c r="E152" s="63">
        <f>_book!$N$147</f>
        <v>0.66400000000000003</v>
      </c>
      <c r="F152" s="64">
        <f>_book!$K$147</f>
        <v>1.009724151617384</v>
      </c>
      <c r="G152" s="64">
        <f>_book!$L$147</f>
        <v>1.011120201892163</v>
      </c>
      <c r="H152" s="64">
        <f>_book!$M$147</f>
        <v>1</v>
      </c>
      <c r="I152" s="63">
        <f>_book!$O$147</f>
        <v>0.67791245205773853</v>
      </c>
      <c r="J152" s="63">
        <f>_book!$P$147</f>
        <v>0.67365220888361887</v>
      </c>
      <c r="K152" s="65">
        <f>_book!$T$147</f>
        <v>-9.630503144654079E-3</v>
      </c>
      <c r="L152" s="65">
        <f>_book!$U$147</f>
        <v>9.7241516173847131E-3</v>
      </c>
      <c r="M152" s="65" t="str">
        <f>IF(_book!$V$147=0,"—",_book!$W$147)</f>
        <v>—</v>
      </c>
      <c r="N152" s="63">
        <f>_book!$Y$147</f>
        <v>0.67791245205773853</v>
      </c>
      <c r="O152" s="66" t="str">
        <f>IF(_book!$V$147=0,"—",_book!$AA$147)</f>
        <v>—</v>
      </c>
      <c r="P152" s="67">
        <f>_book!$AC$147</f>
        <v>1</v>
      </c>
      <c r="Q152" s="67">
        <f>_book!$AD$147</f>
        <v>0</v>
      </c>
    </row>
    <row r="153" spans="1:17" x14ac:dyDescent="0.3">
      <c r="A153" s="61" t="str">
        <f>_book!$A$148</f>
        <v>Commercial Auto</v>
      </c>
      <c r="B153" s="61" t="str">
        <f>_book!$B$148</f>
        <v>ABD</v>
      </c>
      <c r="C153" s="61" t="str">
        <f>_book!$C$148</f>
        <v>WI</v>
      </c>
      <c r="D153" s="62">
        <f>_book!$F$148</f>
        <v>52000</v>
      </c>
      <c r="E153" s="63">
        <f>_book!$N$148</f>
        <v>0.69199999999999995</v>
      </c>
      <c r="F153" s="64">
        <f>_book!$K$148</f>
        <v>1</v>
      </c>
      <c r="G153" s="64">
        <f>_book!$L$148</f>
        <v>1.008068778084247</v>
      </c>
      <c r="H153" s="64">
        <f>_book!$M$148</f>
        <v>1</v>
      </c>
      <c r="I153" s="63">
        <f>_book!$O$148</f>
        <v>0.69758359443429874</v>
      </c>
      <c r="J153" s="63">
        <f>_book!$P$148</f>
        <v>0.69293105239454711</v>
      </c>
      <c r="K153" s="65">
        <f>_book!$T$148</f>
        <v>0</v>
      </c>
      <c r="L153" s="65">
        <f>_book!$U$148</f>
        <v>0</v>
      </c>
      <c r="M153" s="65" t="str">
        <f>IF(_book!$V$148=0,"—",_book!$W$148)</f>
        <v>—</v>
      </c>
      <c r="N153" s="63">
        <f>_book!$Y$148</f>
        <v>0.69758359443429874</v>
      </c>
      <c r="O153" s="66" t="str">
        <f>IF(_book!$V$148=0,"—",_book!$AA$148)</f>
        <v>—</v>
      </c>
      <c r="P153" s="67">
        <f>_book!$AC$148</f>
        <v>0</v>
      </c>
      <c r="Q153" s="67">
        <f>_book!$AD$148</f>
        <v>0</v>
      </c>
    </row>
    <row r="154" spans="1:17" x14ac:dyDescent="0.3">
      <c r="A154" s="61" t="str">
        <f>_book!$A$149</f>
        <v>Commercial Auto</v>
      </c>
      <c r="B154" s="61" t="str">
        <f>_book!$B$149</f>
        <v>MM</v>
      </c>
      <c r="C154" s="61" t="str">
        <f>_book!$C$149</f>
        <v>AZ</v>
      </c>
      <c r="D154" s="62">
        <f>_book!$F$149</f>
        <v>36000</v>
      </c>
      <c r="E154" s="63">
        <f>_book!$N$149</f>
        <v>0.67600000000000005</v>
      </c>
      <c r="F154" s="64">
        <f>_book!$K$149</f>
        <v>0.99145975603886694</v>
      </c>
      <c r="G154" s="64">
        <f>_book!$L$149</f>
        <v>1.012141452489427</v>
      </c>
      <c r="H154" s="64">
        <f>_book!$M$149</f>
        <v>1</v>
      </c>
      <c r="I154" s="63">
        <f>_book!$O$149</f>
        <v>0.67836432187190643</v>
      </c>
      <c r="J154" s="63">
        <f>_book!$P$149</f>
        <v>0.66244563906796095</v>
      </c>
      <c r="K154" s="65">
        <f>_book!$T$149</f>
        <v>8.6138079827400293E-3</v>
      </c>
      <c r="L154" s="65">
        <f>_book!$U$149</f>
        <v>3.098044353652751E-2</v>
      </c>
      <c r="M154" s="65" t="str">
        <f>IF(_book!$V$149=0,"—",_book!$W$149)</f>
        <v>—</v>
      </c>
      <c r="N154" s="63">
        <f>_book!$Y$149</f>
        <v>0.67836432187190643</v>
      </c>
      <c r="O154" s="66" t="str">
        <f>IF(_book!$V$149=0,"—",_book!$AA$149)</f>
        <v>—</v>
      </c>
      <c r="P154" s="67">
        <f>_book!$AC$149</f>
        <v>1</v>
      </c>
      <c r="Q154" s="67">
        <f>_book!$AD$149</f>
        <v>1</v>
      </c>
    </row>
    <row r="155" spans="1:17" x14ac:dyDescent="0.3">
      <c r="A155" s="61" t="str">
        <f>_book!$A$150</f>
        <v>Commercial Auto</v>
      </c>
      <c r="B155" s="61" t="str">
        <f>_book!$B$150</f>
        <v>MM</v>
      </c>
      <c r="C155" s="61" t="str">
        <f>_book!$C$150</f>
        <v>CO</v>
      </c>
      <c r="D155" s="62">
        <f>_book!$F$150</f>
        <v>88000</v>
      </c>
      <c r="E155" s="63">
        <f>_book!$N$150</f>
        <v>0.7128000000000001</v>
      </c>
      <c r="F155" s="64">
        <f>_book!$K$150</f>
        <v>1.013535462912831</v>
      </c>
      <c r="G155" s="64">
        <f>_book!$L$150</f>
        <v>1.009083870896514</v>
      </c>
      <c r="H155" s="64">
        <f>_book!$M$150</f>
        <v>1</v>
      </c>
      <c r="I155" s="63">
        <f>_book!$O$150</f>
        <v>0.72901070303392856</v>
      </c>
      <c r="J155" s="63">
        <f>_book!$P$150</f>
        <v>0.72403459521192093</v>
      </c>
      <c r="K155" s="65">
        <f>_book!$T$150</f>
        <v>-1.3354700854700811E-2</v>
      </c>
      <c r="L155" s="65">
        <f>_book!$U$150</f>
        <v>1.3535462912831701E-2</v>
      </c>
      <c r="M155" s="65" t="str">
        <f>IF(_book!$V$150=0,"—",_book!$W$150)</f>
        <v>—</v>
      </c>
      <c r="N155" s="63">
        <f>_book!$Y$150</f>
        <v>0.72901070303392856</v>
      </c>
      <c r="O155" s="66" t="str">
        <f>IF(_book!$V$150=0,"—",_book!$AA$150)</f>
        <v>—</v>
      </c>
      <c r="P155" s="67">
        <f>_book!$AC$150</f>
        <v>1</v>
      </c>
      <c r="Q155" s="67">
        <f>_book!$AD$150</f>
        <v>0</v>
      </c>
    </row>
    <row r="156" spans="1:17" x14ac:dyDescent="0.3">
      <c r="A156" s="61" t="str">
        <f>_book!$A$151</f>
        <v>Commercial Auto</v>
      </c>
      <c r="B156" s="61" t="str">
        <f>_book!$B$151</f>
        <v>MM</v>
      </c>
      <c r="C156" s="61" t="str">
        <f>_book!$C$151</f>
        <v>DE</v>
      </c>
      <c r="D156" s="62">
        <f>_book!$F$151</f>
        <v>72000</v>
      </c>
      <c r="E156" s="63">
        <f>_book!$N$151</f>
        <v>0.68799999999999994</v>
      </c>
      <c r="F156" s="64">
        <f>_book!$K$151</f>
        <v>0.99554699171046557</v>
      </c>
      <c r="G156" s="64">
        <f>_book!$L$151</f>
        <v>0.99913570688790188</v>
      </c>
      <c r="H156" s="64">
        <f>_book!$M$151</f>
        <v>1.02</v>
      </c>
      <c r="I156" s="63">
        <f>_book!$O$151</f>
        <v>0.69803123143518497</v>
      </c>
      <c r="J156" s="63">
        <f>_book!$P$151</f>
        <v>0.66407688763326544</v>
      </c>
      <c r="K156" s="65">
        <f>_book!$T$151</f>
        <v>4.4729262672811299E-3</v>
      </c>
      <c r="L156" s="65">
        <f>_book!$U$151</f>
        <v>2.3332654725072951E-2</v>
      </c>
      <c r="M156" s="65" t="str">
        <f>IF(_book!$V$151=0,"—",_book!$W$151)</f>
        <v>—</v>
      </c>
      <c r="N156" s="63">
        <f>_book!$Y$151</f>
        <v>0.69803123143518497</v>
      </c>
      <c r="O156" s="66" t="str">
        <f>IF(_book!$V$151=0,"—",_book!$AA$151)</f>
        <v>—</v>
      </c>
      <c r="P156" s="67">
        <f>_book!$AC$151</f>
        <v>1</v>
      </c>
      <c r="Q156" s="67">
        <f>_book!$AD$151</f>
        <v>1</v>
      </c>
    </row>
    <row r="157" spans="1:17" x14ac:dyDescent="0.3">
      <c r="A157" s="61" t="str">
        <f>_book!$A$152</f>
        <v>Commercial Auto</v>
      </c>
      <c r="B157" s="61" t="str">
        <f>_book!$B$152</f>
        <v>MM</v>
      </c>
      <c r="C157" s="61" t="str">
        <f>_book!$C$152</f>
        <v>FL</v>
      </c>
      <c r="D157" s="62">
        <f>_book!$F$152</f>
        <v>56000</v>
      </c>
      <c r="E157" s="63">
        <f>_book!$N$152</f>
        <v>0.67200000000000004</v>
      </c>
      <c r="F157" s="64">
        <f>_book!$K$152</f>
        <v>1.00418410041841</v>
      </c>
      <c r="G157" s="64">
        <f>_book!$L$152</f>
        <v>1.0101010101010099</v>
      </c>
      <c r="H157" s="64">
        <f>_book!$M$152</f>
        <v>1</v>
      </c>
      <c r="I157" s="63">
        <f>_book!$O$152</f>
        <v>0.68162799543552677</v>
      </c>
      <c r="J157" s="63">
        <f>_book!$P$152</f>
        <v>0.64811064174526922</v>
      </c>
      <c r="K157" s="65">
        <f>_book!$T$152</f>
        <v>-4.1666666666666519E-3</v>
      </c>
      <c r="L157" s="65">
        <f>_book!$U$152</f>
        <v>5.1715481171548117E-2</v>
      </c>
      <c r="M157" s="65" t="str">
        <f>IF(_book!$V$152=0,"—",_book!$W$152)</f>
        <v>—</v>
      </c>
      <c r="N157" s="63">
        <f>_book!$Y$152</f>
        <v>0.68162799543552677</v>
      </c>
      <c r="O157" s="66" t="str">
        <f>IF(_book!$V$152=0,"—",_book!$AA$152)</f>
        <v>—</v>
      </c>
      <c r="P157" s="67">
        <f>_book!$AC$152</f>
        <v>1</v>
      </c>
      <c r="Q157" s="67">
        <f>_book!$AD$152</f>
        <v>1</v>
      </c>
    </row>
    <row r="158" spans="1:17" x14ac:dyDescent="0.3">
      <c r="A158" s="61" t="str">
        <f>_book!$A$153</f>
        <v>Commercial Auto</v>
      </c>
      <c r="B158" s="61" t="str">
        <f>_book!$B$153</f>
        <v>MM</v>
      </c>
      <c r="C158" s="61" t="str">
        <f>_book!$C$153</f>
        <v>GA</v>
      </c>
      <c r="D158" s="62">
        <f>_book!$F$153</f>
        <v>40000</v>
      </c>
      <c r="E158" s="63">
        <f>_book!$N$153</f>
        <v>0.7</v>
      </c>
      <c r="F158" s="64">
        <f>_book!$K$153</f>
        <v>0.99330761698144854</v>
      </c>
      <c r="G158" s="64">
        <f>_book!$L$153</f>
        <v>1.007055725494679</v>
      </c>
      <c r="H158" s="64">
        <f>_book!$M$153</f>
        <v>1</v>
      </c>
      <c r="I158" s="63">
        <f>_book!$O$153</f>
        <v>0.70022128600105049</v>
      </c>
      <c r="J158" s="63">
        <f>_book!$P$153</f>
        <v>0.67332208304773777</v>
      </c>
      <c r="K158" s="65">
        <f>_book!$T$153</f>
        <v>6.7374727668845216E-3</v>
      </c>
      <c r="L158" s="65">
        <f>_book!$U$153</f>
        <v>2.9590936879521301E-2</v>
      </c>
      <c r="M158" s="65" t="str">
        <f>IF(_book!$V$153=0,"—",_book!$W$153)</f>
        <v>—</v>
      </c>
      <c r="N158" s="63">
        <f>_book!$Y$153</f>
        <v>0.70022128600105049</v>
      </c>
      <c r="O158" s="66" t="str">
        <f>IF(_book!$V$153=0,"—",_book!$AA$153)</f>
        <v>—</v>
      </c>
      <c r="P158" s="67">
        <f>_book!$AC$153</f>
        <v>1</v>
      </c>
      <c r="Q158" s="67">
        <f>_book!$AD$153</f>
        <v>1</v>
      </c>
    </row>
    <row r="159" spans="1:17" x14ac:dyDescent="0.3">
      <c r="A159" s="61" t="str">
        <f>_book!$A$154</f>
        <v>Commercial Auto</v>
      </c>
      <c r="B159" s="61" t="str">
        <f>_book!$B$154</f>
        <v>MM</v>
      </c>
      <c r="C159" s="61" t="str">
        <f>_book!$C$154</f>
        <v>IA</v>
      </c>
      <c r="D159" s="62">
        <f>_book!$F$154</f>
        <v>92000</v>
      </c>
      <c r="E159" s="63">
        <f>_book!$N$154</f>
        <v>0.68400000000000005</v>
      </c>
      <c r="F159" s="64">
        <f>_book!$K$154</f>
        <v>1</v>
      </c>
      <c r="G159" s="64">
        <f>_book!$L$154</f>
        <v>1.011120201892163</v>
      </c>
      <c r="H159" s="64">
        <f>_book!$M$154</f>
        <v>1</v>
      </c>
      <c r="I159" s="63">
        <f>_book!$O$154</f>
        <v>0.6916062180942395</v>
      </c>
      <c r="J159" s="63">
        <f>_book!$P$154</f>
        <v>0.69394293806686047</v>
      </c>
      <c r="K159" s="65">
        <f>_book!$T$154</f>
        <v>0</v>
      </c>
      <c r="L159" s="65">
        <f>_book!$U$154</f>
        <v>0</v>
      </c>
      <c r="M159" s="65" t="str">
        <f>IF(_book!$V$154=0,"—",_book!$W$154)</f>
        <v>—</v>
      </c>
      <c r="N159" s="63">
        <f>_book!$Y$154</f>
        <v>0.6916062180942395</v>
      </c>
      <c r="O159" s="66" t="str">
        <f>IF(_book!$V$154=0,"—",_book!$AA$154)</f>
        <v>—</v>
      </c>
      <c r="P159" s="67">
        <f>_book!$AC$154</f>
        <v>0</v>
      </c>
      <c r="Q159" s="67">
        <f>_book!$AD$154</f>
        <v>0</v>
      </c>
    </row>
    <row r="160" spans="1:17" x14ac:dyDescent="0.3">
      <c r="A160" s="61" t="str">
        <f>_book!$A$155</f>
        <v>Commercial Auto</v>
      </c>
      <c r="B160" s="61" t="str">
        <f>_book!$B$155</f>
        <v>MM</v>
      </c>
      <c r="C160" s="61" t="str">
        <f>_book!$C$155</f>
        <v>IL</v>
      </c>
      <c r="D160" s="62">
        <f>_book!$F$155</f>
        <v>76000</v>
      </c>
      <c r="E160" s="63">
        <f>_book!$N$155</f>
        <v>0.66800000000000004</v>
      </c>
      <c r="F160" s="64">
        <f>_book!$K$155</f>
        <v>1.001203369434416</v>
      </c>
      <c r="G160" s="64">
        <f>_book!$L$155</f>
        <v>1.008068778084247</v>
      </c>
      <c r="H160" s="64">
        <f>_book!$M$155</f>
        <v>1</v>
      </c>
      <c r="I160" s="63">
        <f>_book!$O$155</f>
        <v>0.6742002806360412</v>
      </c>
      <c r="J160" s="63">
        <f>_book!$P$155</f>
        <v>0.66889876156005412</v>
      </c>
      <c r="K160" s="65">
        <f>_book!$T$155</f>
        <v>-1.2019230769230169E-3</v>
      </c>
      <c r="L160" s="65">
        <f>_book!$U$155</f>
        <v>1.2033694344164569E-3</v>
      </c>
      <c r="M160" s="65" t="str">
        <f>IF(_book!$V$155=0,"—",_book!$W$155)</f>
        <v>—</v>
      </c>
      <c r="N160" s="63">
        <f>_book!$Y$155</f>
        <v>0.6742002806360412</v>
      </c>
      <c r="O160" s="66" t="str">
        <f>IF(_book!$V$155=0,"—",_book!$AA$155)</f>
        <v>—</v>
      </c>
      <c r="P160" s="67">
        <f>_book!$AC$155</f>
        <v>1</v>
      </c>
      <c r="Q160" s="67">
        <f>_book!$AD$155</f>
        <v>0</v>
      </c>
    </row>
    <row r="161" spans="1:17" x14ac:dyDescent="0.3">
      <c r="A161" s="61" t="str">
        <f>_book!$A$156</f>
        <v>Commercial Auto</v>
      </c>
      <c r="B161" s="61" t="str">
        <f>_book!$B$156</f>
        <v>MM</v>
      </c>
      <c r="C161" s="61" t="str">
        <f>_book!$C$156</f>
        <v>IN</v>
      </c>
      <c r="D161" s="62">
        <f>_book!$F$156</f>
        <v>60000</v>
      </c>
      <c r="E161" s="63">
        <f>_book!$N$156</f>
        <v>0.69599999999999995</v>
      </c>
      <c r="F161" s="64">
        <f>_book!$K$156</f>
        <v>1.0026525198938989</v>
      </c>
      <c r="G161" s="64">
        <f>_book!$L$156</f>
        <v>1.012141452489427</v>
      </c>
      <c r="H161" s="64">
        <f>_book!$M$156</f>
        <v>1</v>
      </c>
      <c r="I161" s="63">
        <f>_book!$O$156</f>
        <v>0.70631901976800626</v>
      </c>
      <c r="J161" s="63">
        <f>_book!$P$156</f>
        <v>0.70923167895144423</v>
      </c>
      <c r="K161" s="65">
        <f>_book!$T$156</f>
        <v>-2.6455026455026731E-3</v>
      </c>
      <c r="L161" s="65">
        <f>_book!$U$156</f>
        <v>2.6525198938991408E-3</v>
      </c>
      <c r="M161" s="65" t="str">
        <f>IF(_book!$V$156=0,"—",_book!$W$156)</f>
        <v>—</v>
      </c>
      <c r="N161" s="63">
        <f>_book!$Y$156</f>
        <v>0.70631901976800626</v>
      </c>
      <c r="O161" s="66" t="str">
        <f>IF(_book!$V$156=0,"—",_book!$AA$156)</f>
        <v>—</v>
      </c>
      <c r="P161" s="67">
        <f>_book!$AC$156</f>
        <v>1</v>
      </c>
      <c r="Q161" s="67">
        <f>_book!$AD$156</f>
        <v>0</v>
      </c>
    </row>
    <row r="162" spans="1:17" x14ac:dyDescent="0.3">
      <c r="A162" s="61" t="str">
        <f>_book!$A$157</f>
        <v>Commercial Auto</v>
      </c>
      <c r="B162" s="61" t="str">
        <f>_book!$B$157</f>
        <v>MM</v>
      </c>
      <c r="C162" s="61" t="str">
        <f>_book!$C$157</f>
        <v>KY</v>
      </c>
      <c r="D162" s="62">
        <f>_book!$F$157</f>
        <v>44000</v>
      </c>
      <c r="E162" s="63">
        <f>_book!$N$157</f>
        <v>0.68</v>
      </c>
      <c r="F162" s="64">
        <f>_book!$K$157</f>
        <v>0.99875156054931336</v>
      </c>
      <c r="G162" s="64">
        <f>_book!$L$157</f>
        <v>1.009083870896514</v>
      </c>
      <c r="H162" s="64">
        <f>_book!$M$157</f>
        <v>1</v>
      </c>
      <c r="I162" s="63">
        <f>_book!$O$157</f>
        <v>0.68532038173246401</v>
      </c>
      <c r="J162" s="63">
        <f>_book!$P$157</f>
        <v>0.66476679360133428</v>
      </c>
      <c r="K162" s="65">
        <f>_book!$T$157</f>
        <v>1.2499999999999729E-3</v>
      </c>
      <c r="L162" s="65">
        <f>_book!$U$157</f>
        <v>2.7465667915106181E-2</v>
      </c>
      <c r="M162" s="65" t="str">
        <f>IF(_book!$V$157=0,"—",_book!$W$157)</f>
        <v>—</v>
      </c>
      <c r="N162" s="63">
        <f>_book!$Y$157</f>
        <v>0.68532038173246401</v>
      </c>
      <c r="O162" s="66" t="str">
        <f>IF(_book!$V$157=0,"—",_book!$AA$157)</f>
        <v>—</v>
      </c>
      <c r="P162" s="67">
        <f>_book!$AC$157</f>
        <v>0</v>
      </c>
      <c r="Q162" s="67">
        <f>_book!$AD$157</f>
        <v>1</v>
      </c>
    </row>
    <row r="163" spans="1:17" x14ac:dyDescent="0.3">
      <c r="A163" s="61" t="str">
        <f>_book!$A$158</f>
        <v>Commercial Auto</v>
      </c>
      <c r="B163" s="61" t="str">
        <f>_book!$B$158</f>
        <v>MM</v>
      </c>
      <c r="C163" s="61" t="str">
        <f>_book!$C$158</f>
        <v>MD</v>
      </c>
      <c r="D163" s="62">
        <f>_book!$F$158</f>
        <v>96000</v>
      </c>
      <c r="E163" s="63">
        <f>_book!$N$158</f>
        <v>0.66400000000000003</v>
      </c>
      <c r="F163" s="64">
        <f>_book!$K$158</f>
        <v>1.002457002457003</v>
      </c>
      <c r="G163" s="64">
        <f>_book!$L$158</f>
        <v>1.006044706983058</v>
      </c>
      <c r="H163" s="64">
        <f>_book!$M$158</f>
        <v>1</v>
      </c>
      <c r="I163" s="63">
        <f>_book!$O$158</f>
        <v>0.66965499670318029</v>
      </c>
      <c r="J163" s="63">
        <f>_book!$P$158</f>
        <v>0.65917960887616234</v>
      </c>
      <c r="K163" s="65">
        <f>_book!$T$158</f>
        <v>-2.4509803921570761E-3</v>
      </c>
      <c r="L163" s="65">
        <f>_book!$U$158</f>
        <v>2.4570024570023108E-3</v>
      </c>
      <c r="M163" s="65" t="str">
        <f>IF(_book!$V$158=0,"—",_book!$W$158)</f>
        <v>—</v>
      </c>
      <c r="N163" s="63">
        <f>_book!$Y$158</f>
        <v>0.66965499670318029</v>
      </c>
      <c r="O163" s="66" t="str">
        <f>IF(_book!$V$158=0,"—",_book!$AA$158)</f>
        <v>—</v>
      </c>
      <c r="P163" s="67">
        <f>_book!$AC$158</f>
        <v>1</v>
      </c>
      <c r="Q163" s="67">
        <f>_book!$AD$158</f>
        <v>0</v>
      </c>
    </row>
    <row r="164" spans="1:17" x14ac:dyDescent="0.3">
      <c r="A164" s="61" t="str">
        <f>_book!$A$159</f>
        <v>Commercial Auto</v>
      </c>
      <c r="B164" s="61" t="str">
        <f>_book!$B$159</f>
        <v>MM</v>
      </c>
      <c r="C164" s="61" t="str">
        <f>_book!$C$159</f>
        <v>MI</v>
      </c>
      <c r="D164" s="62">
        <f>_book!$F$159</f>
        <v>80000</v>
      </c>
      <c r="E164" s="63">
        <f>_book!$N$159</f>
        <v>0.69199999999999995</v>
      </c>
      <c r="F164" s="64">
        <f>_book!$K$159</f>
        <v>1.0049801809126939</v>
      </c>
      <c r="G164" s="64">
        <f>_book!$L$159</f>
        <v>1.0101010101010099</v>
      </c>
      <c r="H164" s="64">
        <f>_book!$M$159</f>
        <v>1</v>
      </c>
      <c r="I164" s="63">
        <f>_book!$O$159</f>
        <v>0.70247099514301414</v>
      </c>
      <c r="J164" s="63">
        <f>_book!$P$159</f>
        <v>0.69898989898989872</v>
      </c>
      <c r="K164" s="65">
        <f>_book!$T$159</f>
        <v>-4.9555016181225264E-3</v>
      </c>
      <c r="L164" s="65">
        <f>_book!$U$159</f>
        <v>4.9801809126941432E-3</v>
      </c>
      <c r="M164" s="65" t="str">
        <f>IF(_book!$V$159=0,"—",_book!$W$159)</f>
        <v>—</v>
      </c>
      <c r="N164" s="63">
        <f>_book!$Y$159</f>
        <v>0.70247099514301414</v>
      </c>
      <c r="O164" s="66" t="str">
        <f>IF(_book!$V$159=0,"—",_book!$AA$159)</f>
        <v>—</v>
      </c>
      <c r="P164" s="67">
        <f>_book!$AC$159</f>
        <v>1</v>
      </c>
      <c r="Q164" s="67">
        <f>_book!$AD$159</f>
        <v>0</v>
      </c>
    </row>
    <row r="165" spans="1:17" x14ac:dyDescent="0.3">
      <c r="A165" s="61" t="str">
        <f>_book!$A$160</f>
        <v>Commercial Auto</v>
      </c>
      <c r="B165" s="61" t="str">
        <f>_book!$B$160</f>
        <v>MM</v>
      </c>
      <c r="C165" s="61" t="str">
        <f>_book!$C$160</f>
        <v>MN</v>
      </c>
      <c r="D165" s="62">
        <f>_book!$F$160</f>
        <v>64000</v>
      </c>
      <c r="E165" s="63">
        <f>_book!$N$160</f>
        <v>0.67600000000000005</v>
      </c>
      <c r="F165" s="64">
        <f>_book!$K$160</f>
        <v>1</v>
      </c>
      <c r="G165" s="64">
        <f>_book!$L$160</f>
        <v>1.007055725494679</v>
      </c>
      <c r="H165" s="64">
        <f>_book!$M$160</f>
        <v>1</v>
      </c>
      <c r="I165" s="63">
        <f>_book!$O$160</f>
        <v>0.68076967043440317</v>
      </c>
      <c r="J165" s="63">
        <f>_book!$P$160</f>
        <v>0.67398845815691311</v>
      </c>
      <c r="K165" s="65">
        <f>_book!$T$160</f>
        <v>0</v>
      </c>
      <c r="L165" s="65">
        <f>_book!$U$160</f>
        <v>0</v>
      </c>
      <c r="M165" s="65" t="str">
        <f>IF(_book!$V$160=0,"—",_book!$W$160)</f>
        <v>—</v>
      </c>
      <c r="N165" s="63">
        <f>_book!$Y$160</f>
        <v>0.68076967043440317</v>
      </c>
      <c r="O165" s="66" t="str">
        <f>IF(_book!$V$160=0,"—",_book!$AA$160)</f>
        <v>—</v>
      </c>
      <c r="P165" s="67">
        <f>_book!$AC$160</f>
        <v>0</v>
      </c>
      <c r="Q165" s="67">
        <f>_book!$AD$160</f>
        <v>0</v>
      </c>
    </row>
    <row r="166" spans="1:17" x14ac:dyDescent="0.3">
      <c r="A166" s="61" t="str">
        <f>_book!$A$161</f>
        <v>Commercial Auto</v>
      </c>
      <c r="B166" s="61" t="str">
        <f>_book!$B$161</f>
        <v>MM</v>
      </c>
      <c r="C166" s="61" t="str">
        <f>_book!$C$161</f>
        <v>NM</v>
      </c>
      <c r="D166" s="62">
        <f>_book!$F$161</f>
        <v>48000</v>
      </c>
      <c r="E166" s="63">
        <f>_book!$N$161</f>
        <v>0.66</v>
      </c>
      <c r="F166" s="64">
        <f>_book!$K$161</f>
        <v>1.002147458840372</v>
      </c>
      <c r="G166" s="64">
        <f>_book!$L$161</f>
        <v>1.011120201892163</v>
      </c>
      <c r="H166" s="64">
        <f>_book!$M$161</f>
        <v>1</v>
      </c>
      <c r="I166" s="63">
        <f>_book!$O$161</f>
        <v>0.66877241699954093</v>
      </c>
      <c r="J166" s="63">
        <f>_book!$P$161</f>
        <v>0.6446152231499116</v>
      </c>
      <c r="K166" s="65">
        <f>_book!$T$161</f>
        <v>-2.1428571428572241E-3</v>
      </c>
      <c r="L166" s="65">
        <f>_book!$U$161</f>
        <v>4.0980672870436718E-2</v>
      </c>
      <c r="M166" s="65" t="str">
        <f>IF(_book!$V$161=0,"—",_book!$W$161)</f>
        <v>—</v>
      </c>
      <c r="N166" s="63">
        <f>_book!$Y$161</f>
        <v>0.66877241699954093</v>
      </c>
      <c r="O166" s="66" t="str">
        <f>IF(_book!$V$161=0,"—",_book!$AA$161)</f>
        <v>—</v>
      </c>
      <c r="P166" s="67">
        <f>_book!$AC$161</f>
        <v>1</v>
      </c>
      <c r="Q166" s="67">
        <f>_book!$AD$161</f>
        <v>1</v>
      </c>
    </row>
    <row r="167" spans="1:17" x14ac:dyDescent="0.3">
      <c r="A167" s="61" t="str">
        <f>_book!$A$162</f>
        <v>Commercial Auto</v>
      </c>
      <c r="B167" s="61" t="str">
        <f>_book!$B$162</f>
        <v>MM</v>
      </c>
      <c r="C167" s="61" t="str">
        <f>_book!$C$162</f>
        <v>NC</v>
      </c>
      <c r="D167" s="62">
        <f>_book!$F$162</f>
        <v>32000</v>
      </c>
      <c r="E167" s="63">
        <f>_book!$N$162</f>
        <v>0.68799999999999994</v>
      </c>
      <c r="F167" s="64">
        <f>_book!$K$162</f>
        <v>1.020048115477145</v>
      </c>
      <c r="G167" s="64">
        <f>_book!$L$162</f>
        <v>1.008068778084247</v>
      </c>
      <c r="H167" s="64">
        <f>_book!$M$162</f>
        <v>1</v>
      </c>
      <c r="I167" s="63">
        <f>_book!$O$162</f>
        <v>0.70745571626105475</v>
      </c>
      <c r="J167" s="63">
        <f>_book!$P$162</f>
        <v>0.68892567058879817</v>
      </c>
      <c r="K167" s="65">
        <f>_book!$T$162</f>
        <v>-1.965408805031443E-2</v>
      </c>
      <c r="L167" s="65">
        <f>_book!$U$162</f>
        <v>2.0048115477145249E-2</v>
      </c>
      <c r="M167" s="65" t="str">
        <f>IF(_book!$V$162=0,"—",_book!$W$162)</f>
        <v>—</v>
      </c>
      <c r="N167" s="63">
        <f>_book!$Y$162</f>
        <v>0.70745571626105475</v>
      </c>
      <c r="O167" s="66" t="str">
        <f>IF(_book!$V$162=0,"—",_book!$AA$162)</f>
        <v>—</v>
      </c>
      <c r="P167" s="67">
        <f>_book!$AC$162</f>
        <v>1</v>
      </c>
      <c r="Q167" s="67">
        <f>_book!$AD$162</f>
        <v>0</v>
      </c>
    </row>
    <row r="168" spans="1:17" x14ac:dyDescent="0.3">
      <c r="A168" s="61" t="str">
        <f>_book!$A$163</f>
        <v>Commercial Auto</v>
      </c>
      <c r="B168" s="61" t="str">
        <f>_book!$B$163</f>
        <v>MM</v>
      </c>
      <c r="C168" s="61" t="str">
        <f>_book!$C$163</f>
        <v>OH</v>
      </c>
      <c r="D168" s="62">
        <f>_book!$F$163</f>
        <v>84000</v>
      </c>
      <c r="E168" s="63">
        <f>_book!$N$163</f>
        <v>0.67200000000000004</v>
      </c>
      <c r="F168" s="64">
        <f>_book!$K$163</f>
        <v>1</v>
      </c>
      <c r="G168" s="64">
        <f>_book!$L$163</f>
        <v>1.012141452489427</v>
      </c>
      <c r="H168" s="64">
        <f>_book!$M$163</f>
        <v>1</v>
      </c>
      <c r="I168" s="63">
        <f>_book!$O$163</f>
        <v>0.68015905607289495</v>
      </c>
      <c r="J168" s="63">
        <f>_book!$P$163</f>
        <v>0.68477541416001519</v>
      </c>
      <c r="K168" s="65">
        <f>_book!$T$163</f>
        <v>0</v>
      </c>
      <c r="L168" s="65">
        <f>_book!$U$163</f>
        <v>0</v>
      </c>
      <c r="M168" s="65" t="str">
        <f>IF(_book!$V$163=0,"—",_book!$W$163)</f>
        <v>—</v>
      </c>
      <c r="N168" s="63">
        <f>_book!$Y$163</f>
        <v>0.68015905607289495</v>
      </c>
      <c r="O168" s="66" t="str">
        <f>IF(_book!$V$163=0,"—",_book!$AA$163)</f>
        <v>—</v>
      </c>
      <c r="P168" s="67">
        <f>_book!$AC$163</f>
        <v>0</v>
      </c>
      <c r="Q168" s="67">
        <f>_book!$AD$163</f>
        <v>0</v>
      </c>
    </row>
    <row r="169" spans="1:17" x14ac:dyDescent="0.3">
      <c r="A169" s="61" t="str">
        <f>_book!$A$164</f>
        <v>Commercial Auto</v>
      </c>
      <c r="B169" s="61" t="str">
        <f>_book!$B$164</f>
        <v>MM</v>
      </c>
      <c r="C169" s="61" t="str">
        <f>_book!$C$164</f>
        <v>PA</v>
      </c>
      <c r="D169" s="62">
        <f>_book!$F$164</f>
        <v>68000</v>
      </c>
      <c r="E169" s="63">
        <f>_book!$N$164</f>
        <v>0.7</v>
      </c>
      <c r="F169" s="64">
        <f>_book!$K$164</f>
        <v>0.99999999999999978</v>
      </c>
      <c r="G169" s="64">
        <f>_book!$L$164</f>
        <v>1.009083870896514</v>
      </c>
      <c r="H169" s="64">
        <f>_book!$M$164</f>
        <v>1</v>
      </c>
      <c r="I169" s="63">
        <f>_book!$O$164</f>
        <v>0.70635870962755976</v>
      </c>
      <c r="J169" s="63">
        <f>_book!$P$164</f>
        <v>0.70399292241494227</v>
      </c>
      <c r="K169" s="65">
        <f>_book!$T$164</f>
        <v>0</v>
      </c>
      <c r="L169" s="65">
        <f>_book!$U$164</f>
        <v>0</v>
      </c>
      <c r="M169" s="65" t="str">
        <f>IF(_book!$V$164=0,"—",_book!$W$164)</f>
        <v>—</v>
      </c>
      <c r="N169" s="63">
        <f>_book!$Y$164</f>
        <v>0.70635870962755976</v>
      </c>
      <c r="O169" s="66" t="str">
        <f>IF(_book!$V$164=0,"—",_book!$AA$164)</f>
        <v>—</v>
      </c>
      <c r="P169" s="67">
        <f>_book!$AC$164</f>
        <v>1</v>
      </c>
      <c r="Q169" s="67">
        <f>_book!$AD$164</f>
        <v>0</v>
      </c>
    </row>
    <row r="170" spans="1:17" x14ac:dyDescent="0.3">
      <c r="A170" s="61" t="str">
        <f>_book!$A$165</f>
        <v>Commercial Auto</v>
      </c>
      <c r="B170" s="61" t="str">
        <f>_book!$B$165</f>
        <v>MM</v>
      </c>
      <c r="C170" s="61" t="str">
        <f>_book!$C$165</f>
        <v>SC</v>
      </c>
      <c r="D170" s="62">
        <f>_book!$F$165</f>
        <v>52000</v>
      </c>
      <c r="E170" s="63">
        <f>_book!$N$165</f>
        <v>0.68400000000000005</v>
      </c>
      <c r="F170" s="64">
        <f>_book!$K$165</f>
        <v>0.99667243444695852</v>
      </c>
      <c r="G170" s="64">
        <f>_book!$L$165</f>
        <v>1.006044706983058</v>
      </c>
      <c r="H170" s="64">
        <f>_book!$M$165</f>
        <v>1</v>
      </c>
      <c r="I170" s="63">
        <f>_book!$O$165</f>
        <v>0.68584476665355687</v>
      </c>
      <c r="J170" s="63">
        <f>_book!$P$165</f>
        <v>0.65721841616904275</v>
      </c>
      <c r="K170" s="65">
        <f>_book!$T$165</f>
        <v>3.3386752136752569E-3</v>
      </c>
      <c r="L170" s="65">
        <f>_book!$U$165</f>
        <v>2.9756422201517641E-2</v>
      </c>
      <c r="M170" s="65" t="str">
        <f>IF(_book!$V$165=0,"—",_book!$W$165)</f>
        <v>—</v>
      </c>
      <c r="N170" s="63">
        <f>_book!$Y$165</f>
        <v>0.68584476665355687</v>
      </c>
      <c r="O170" s="66" t="str">
        <f>IF(_book!$V$165=0,"—",_book!$AA$165)</f>
        <v>—</v>
      </c>
      <c r="P170" s="67">
        <f>_book!$AC$165</f>
        <v>1</v>
      </c>
      <c r="Q170" s="67">
        <f>_book!$AD$165</f>
        <v>1</v>
      </c>
    </row>
    <row r="171" spans="1:17" x14ac:dyDescent="0.3">
      <c r="A171" s="61" t="str">
        <f>_book!$A$166</f>
        <v>Commercial Auto</v>
      </c>
      <c r="B171" s="61" t="str">
        <f>_book!$B$166</f>
        <v>MM</v>
      </c>
      <c r="C171" s="61" t="str">
        <f>_book!$C$166</f>
        <v>TN</v>
      </c>
      <c r="D171" s="62">
        <f>_book!$F$166</f>
        <v>36000</v>
      </c>
      <c r="E171" s="63">
        <f>_book!$N$166</f>
        <v>0.66800000000000004</v>
      </c>
      <c r="F171" s="64">
        <f>_book!$K$166</f>
        <v>1</v>
      </c>
      <c r="G171" s="64">
        <f>_book!$L$166</f>
        <v>1.0101010101010099</v>
      </c>
      <c r="H171" s="64">
        <f>_book!$M$166</f>
        <v>1</v>
      </c>
      <c r="I171" s="63">
        <f>_book!$O$166</f>
        <v>0.67474747474747465</v>
      </c>
      <c r="J171" s="63">
        <f>_book!$P$166</f>
        <v>0.67474747474747465</v>
      </c>
      <c r="K171" s="65">
        <f>_book!$T$166</f>
        <v>0</v>
      </c>
      <c r="L171" s="65">
        <f>_book!$U$166</f>
        <v>0</v>
      </c>
      <c r="M171" s="65" t="str">
        <f>IF(_book!$V$166=0,"—",_book!$W$166)</f>
        <v>—</v>
      </c>
      <c r="N171" s="63">
        <f>_book!$Y$166</f>
        <v>0.67474747474747465</v>
      </c>
      <c r="O171" s="66" t="str">
        <f>IF(_book!$V$166=0,"—",_book!$AA$166)</f>
        <v>—</v>
      </c>
      <c r="P171" s="67">
        <f>_book!$AC$166</f>
        <v>0</v>
      </c>
      <c r="Q171" s="67">
        <f>_book!$AD$166</f>
        <v>0</v>
      </c>
    </row>
    <row r="172" spans="1:17" x14ac:dyDescent="0.3">
      <c r="A172" s="61" t="str">
        <f>_book!$A$167</f>
        <v>Commercial Auto</v>
      </c>
      <c r="B172" s="61" t="str">
        <f>_book!$B$167</f>
        <v>MM</v>
      </c>
      <c r="C172" s="61" t="str">
        <f>_book!$C$167</f>
        <v>VA</v>
      </c>
      <c r="D172" s="62">
        <f>_book!$F$167</f>
        <v>88000</v>
      </c>
      <c r="E172" s="63">
        <f>_book!$N$167</f>
        <v>0.69599999999999995</v>
      </c>
      <c r="F172" s="64">
        <f>_book!$K$167</f>
        <v>1.0017720023626699</v>
      </c>
      <c r="G172" s="64">
        <f>_book!$L$167</f>
        <v>1.007055725494679</v>
      </c>
      <c r="H172" s="64">
        <f>_book!$M$167</f>
        <v>1</v>
      </c>
      <c r="I172" s="63">
        <f>_book!$O$167</f>
        <v>0.70215280051123874</v>
      </c>
      <c r="J172" s="63">
        <f>_book!$P$167</f>
        <v>0.69392894508463221</v>
      </c>
      <c r="K172" s="65">
        <f>_book!$T$167</f>
        <v>-1.768867924528128E-3</v>
      </c>
      <c r="L172" s="65">
        <f>_book!$U$167</f>
        <v>1.7720023626699439E-3</v>
      </c>
      <c r="M172" s="65" t="str">
        <f>IF(_book!$V$167=0,"—",_book!$W$167)</f>
        <v>—</v>
      </c>
      <c r="N172" s="63">
        <f>_book!$Y$167</f>
        <v>0.70215280051123874</v>
      </c>
      <c r="O172" s="66" t="str">
        <f>IF(_book!$V$167=0,"—",_book!$AA$167)</f>
        <v>—</v>
      </c>
      <c r="P172" s="67">
        <f>_book!$AC$167</f>
        <v>1</v>
      </c>
      <c r="Q172" s="67">
        <f>_book!$AD$167</f>
        <v>0</v>
      </c>
    </row>
    <row r="173" spans="1:17" x14ac:dyDescent="0.3">
      <c r="A173" s="61" t="str">
        <f>_book!$A$168</f>
        <v>Commercial Auto</v>
      </c>
      <c r="B173" s="61" t="str">
        <f>_book!$B$168</f>
        <v>MM</v>
      </c>
      <c r="C173" s="61" t="str">
        <f>_book!$C$168</f>
        <v>WV</v>
      </c>
      <c r="D173" s="62">
        <f>_book!$F$168</f>
        <v>72000</v>
      </c>
      <c r="E173" s="63">
        <f>_book!$N$168</f>
        <v>0.68</v>
      </c>
      <c r="F173" s="64">
        <f>_book!$K$168</f>
        <v>1.001090512540894</v>
      </c>
      <c r="G173" s="64">
        <f>_book!$L$168</f>
        <v>1.011120201892163</v>
      </c>
      <c r="H173" s="64">
        <f>_book!$M$168</f>
        <v>1</v>
      </c>
      <c r="I173" s="63">
        <f>_book!$O$168</f>
        <v>0.688311531983821</v>
      </c>
      <c r="J173" s="63">
        <f>_book!$P$168</f>
        <v>0.68988479223021226</v>
      </c>
      <c r="K173" s="65">
        <f>_book!$T$168</f>
        <v>-1.089324618736343E-3</v>
      </c>
      <c r="L173" s="65">
        <f>_book!$U$168</f>
        <v>1.090512540893984E-3</v>
      </c>
      <c r="M173" s="65" t="str">
        <f>IF(_book!$V$168=0,"—",_book!$W$168)</f>
        <v>—</v>
      </c>
      <c r="N173" s="63">
        <f>_book!$Y$168</f>
        <v>0.688311531983821</v>
      </c>
      <c r="O173" s="66" t="str">
        <f>IF(_book!$V$168=0,"—",_book!$AA$168)</f>
        <v>—</v>
      </c>
      <c r="P173" s="67">
        <f>_book!$AC$168</f>
        <v>1</v>
      </c>
      <c r="Q173" s="67">
        <f>_book!$AD$168</f>
        <v>0</v>
      </c>
    </row>
    <row r="174" spans="1:17" x14ac:dyDescent="0.3">
      <c r="A174" s="61" t="str">
        <f>_book!$A$169</f>
        <v>Commercial Auto</v>
      </c>
      <c r="B174" s="61" t="str">
        <f>_book!$B$169</f>
        <v>MM</v>
      </c>
      <c r="C174" s="61" t="str">
        <f>_book!$C$169</f>
        <v>WI</v>
      </c>
      <c r="D174" s="62">
        <f>_book!$F$169</f>
        <v>56000</v>
      </c>
      <c r="E174" s="63">
        <f>_book!$N$169</f>
        <v>0.66400000000000003</v>
      </c>
      <c r="F174" s="64">
        <f>_book!$K$169</f>
        <v>0.98347220325092199</v>
      </c>
      <c r="G174" s="64">
        <f>_book!$L$169</f>
        <v>1.008068778084247</v>
      </c>
      <c r="H174" s="64">
        <f>_book!$M$169</f>
        <v>1</v>
      </c>
      <c r="I174" s="63">
        <f>_book!$O$169</f>
        <v>0.6582946611480901</v>
      </c>
      <c r="J174" s="63">
        <f>_book!$P$169</f>
        <v>0.63940594820769303</v>
      </c>
      <c r="K174" s="65">
        <f>_book!$T$169</f>
        <v>1.6805555555555522E-2</v>
      </c>
      <c r="L174" s="65">
        <f>_book!$U$169</f>
        <v>2.2674498019396468E-2</v>
      </c>
      <c r="M174" s="65" t="str">
        <f>IF(_book!$V$169=0,"—",_book!$W$169)</f>
        <v>—</v>
      </c>
      <c r="N174" s="63">
        <f>_book!$Y$169</f>
        <v>0.6582946611480901</v>
      </c>
      <c r="O174" s="66" t="str">
        <f>IF(_book!$V$169=0,"—",_book!$AA$169)</f>
        <v>—</v>
      </c>
      <c r="P174" s="67">
        <f>_book!$AC$169</f>
        <v>0</v>
      </c>
      <c r="Q174" s="67">
        <f>_book!$AD$169</f>
        <v>1</v>
      </c>
    </row>
    <row r="175" spans="1:17" x14ac:dyDescent="0.3">
      <c r="A175" s="61" t="str">
        <f>_book!$A$170</f>
        <v>Commercial Auto</v>
      </c>
      <c r="B175" s="61" t="str">
        <f>_book!$B$170</f>
        <v>SBA</v>
      </c>
      <c r="C175" s="61" t="str">
        <f>_book!$C$170</f>
        <v>AZ</v>
      </c>
      <c r="D175" s="62">
        <f>_book!$F$170</f>
        <v>40000</v>
      </c>
      <c r="E175" s="63">
        <f>_book!$N$170</f>
        <v>0.69199999999999995</v>
      </c>
      <c r="F175" s="64">
        <f>_book!$K$170</f>
        <v>1.0048309178743959</v>
      </c>
      <c r="G175" s="64">
        <f>_book!$L$170</f>
        <v>1.012141452489427</v>
      </c>
      <c r="H175" s="64">
        <f>_book!$M$170</f>
        <v>1</v>
      </c>
      <c r="I175" s="63">
        <f>_book!$O$170</f>
        <v>0.70378546910878326</v>
      </c>
      <c r="J175" s="63">
        <f>_book!$P$170</f>
        <v>0.70515563481953925</v>
      </c>
      <c r="K175" s="65">
        <f>_book!$T$170</f>
        <v>-4.8076923076921796E-3</v>
      </c>
      <c r="L175" s="65">
        <f>_book!$U$170</f>
        <v>4.8309178743961567E-3</v>
      </c>
      <c r="M175" s="65" t="str">
        <f>IF(_book!$V$170=0,"—",_book!$W$170)</f>
        <v>—</v>
      </c>
      <c r="N175" s="63">
        <f>_book!$Y$170</f>
        <v>0.70378546910878326</v>
      </c>
      <c r="O175" s="66" t="str">
        <f>IF(_book!$V$170=0,"—",_book!$AA$170)</f>
        <v>—</v>
      </c>
      <c r="P175" s="67">
        <f>_book!$AC$170</f>
        <v>1</v>
      </c>
      <c r="Q175" s="67">
        <f>_book!$AD$170</f>
        <v>0</v>
      </c>
    </row>
    <row r="176" spans="1:17" x14ac:dyDescent="0.3">
      <c r="A176" s="61" t="str">
        <f>_book!$A$171</f>
        <v>Commercial Auto</v>
      </c>
      <c r="B176" s="61" t="str">
        <f>_book!$B$171</f>
        <v>SBA</v>
      </c>
      <c r="C176" s="61" t="str">
        <f>_book!$C$171</f>
        <v>CO</v>
      </c>
      <c r="D176" s="62">
        <f>_book!$F$171</f>
        <v>92000</v>
      </c>
      <c r="E176" s="63">
        <f>_book!$N$171</f>
        <v>0.67600000000000005</v>
      </c>
      <c r="F176" s="64">
        <f>_book!$K$171</f>
        <v>1.0081680280046681</v>
      </c>
      <c r="G176" s="64">
        <f>_book!$L$171</f>
        <v>1.009083870896514</v>
      </c>
      <c r="H176" s="64">
        <f>_book!$M$171</f>
        <v>1</v>
      </c>
      <c r="I176" s="63">
        <f>_book!$O$171</f>
        <v>0.68771244104002549</v>
      </c>
      <c r="J176" s="63">
        <f>_book!$P$171</f>
        <v>0.67985602221785868</v>
      </c>
      <c r="K176" s="65">
        <f>_book!$T$171</f>
        <v>-8.1018518518519711E-3</v>
      </c>
      <c r="L176" s="65">
        <f>_book!$U$171</f>
        <v>8.168028004667649E-3</v>
      </c>
      <c r="M176" s="65" t="str">
        <f>IF(_book!$V$171=0,"—",_book!$W$171)</f>
        <v>—</v>
      </c>
      <c r="N176" s="63">
        <f>_book!$Y$171</f>
        <v>0.68771244104002549</v>
      </c>
      <c r="O176" s="66" t="str">
        <f>IF(_book!$V$171=0,"—",_book!$AA$171)</f>
        <v>—</v>
      </c>
      <c r="P176" s="67">
        <f>_book!$AC$171</f>
        <v>1</v>
      </c>
      <c r="Q176" s="67">
        <f>_book!$AD$171</f>
        <v>0</v>
      </c>
    </row>
    <row r="177" spans="1:17" x14ac:dyDescent="0.3">
      <c r="A177" s="61" t="str">
        <f>_book!$A$172</f>
        <v>Commercial Auto</v>
      </c>
      <c r="B177" s="61" t="str">
        <f>_book!$B$172</f>
        <v>SBA</v>
      </c>
      <c r="C177" s="61" t="str">
        <f>_book!$C$172</f>
        <v>DE</v>
      </c>
      <c r="D177" s="62">
        <f>_book!$F$172</f>
        <v>76000</v>
      </c>
      <c r="E177" s="63">
        <f>_book!$N$172</f>
        <v>0.66</v>
      </c>
      <c r="F177" s="64">
        <f>_book!$K$172</f>
        <v>1</v>
      </c>
      <c r="G177" s="64">
        <f>_book!$L$172</f>
        <v>1.006044706983058</v>
      </c>
      <c r="H177" s="64">
        <f>_book!$M$172</f>
        <v>1</v>
      </c>
      <c r="I177" s="63">
        <f>_book!$O$172</f>
        <v>0.66398950660881861</v>
      </c>
      <c r="J177" s="63">
        <f>_book!$P$172</f>
        <v>0.6552086473769082</v>
      </c>
      <c r="K177" s="65">
        <f>_book!$T$172</f>
        <v>0</v>
      </c>
      <c r="L177" s="65">
        <f>_book!$U$172</f>
        <v>0</v>
      </c>
      <c r="M177" s="65" t="str">
        <f>IF(_book!$V$172=0,"—",_book!$W$172)</f>
        <v>—</v>
      </c>
      <c r="N177" s="63">
        <f>_book!$Y$172</f>
        <v>0.66398950660881861</v>
      </c>
      <c r="O177" s="66" t="str">
        <f>IF(_book!$V$172=0,"—",_book!$AA$172)</f>
        <v>—</v>
      </c>
      <c r="P177" s="67">
        <f>_book!$AC$172</f>
        <v>0</v>
      </c>
      <c r="Q177" s="67">
        <f>_book!$AD$172</f>
        <v>0</v>
      </c>
    </row>
    <row r="178" spans="1:17" x14ac:dyDescent="0.3">
      <c r="A178" s="61" t="str">
        <f>_book!$A$173</f>
        <v>Commercial Auto</v>
      </c>
      <c r="B178" s="61" t="str">
        <f>_book!$B$173</f>
        <v>SBA</v>
      </c>
      <c r="C178" s="61" t="str">
        <f>_book!$C$173</f>
        <v>FL</v>
      </c>
      <c r="D178" s="62">
        <f>_book!$F$173</f>
        <v>60000</v>
      </c>
      <c r="E178" s="63">
        <f>_book!$N$173</f>
        <v>0.68799999999999994</v>
      </c>
      <c r="F178" s="64">
        <f>_book!$K$173</f>
        <v>0.99871081447151555</v>
      </c>
      <c r="G178" s="64">
        <f>_book!$L$173</f>
        <v>1.0101010101010099</v>
      </c>
      <c r="H178" s="64">
        <f>_book!$M$173</f>
        <v>1</v>
      </c>
      <c r="I178" s="63">
        <f>_book!$O$173</f>
        <v>0.69405357611757834</v>
      </c>
      <c r="J178" s="63">
        <f>_book!$P$173</f>
        <v>0.6704591134445077</v>
      </c>
      <c r="K178" s="65">
        <f>_book!$T$173</f>
        <v>1.290849673202477E-3</v>
      </c>
      <c r="L178" s="65">
        <f>_book!$U$173</f>
        <v>3.5191501166794703E-2</v>
      </c>
      <c r="M178" s="65" t="str">
        <f>IF(_book!$V$173=0,"—",_book!$W$173)</f>
        <v>—</v>
      </c>
      <c r="N178" s="63">
        <f>_book!$Y$173</f>
        <v>0.69405357611757834</v>
      </c>
      <c r="O178" s="66" t="str">
        <f>IF(_book!$V$173=0,"—",_book!$AA$173)</f>
        <v>—</v>
      </c>
      <c r="P178" s="67">
        <f>_book!$AC$173</f>
        <v>1</v>
      </c>
      <c r="Q178" s="67">
        <f>_book!$AD$173</f>
        <v>1</v>
      </c>
    </row>
    <row r="179" spans="1:17" x14ac:dyDescent="0.3">
      <c r="A179" s="61" t="str">
        <f>_book!$A$174</f>
        <v>Commercial Auto</v>
      </c>
      <c r="B179" s="61" t="str">
        <f>_book!$B$174</f>
        <v>SBA</v>
      </c>
      <c r="C179" s="61" t="str">
        <f>_book!$C$174</f>
        <v>GA</v>
      </c>
      <c r="D179" s="62">
        <f>_book!$F$174</f>
        <v>44000</v>
      </c>
      <c r="E179" s="63">
        <f>_book!$N$174</f>
        <v>0.67200000000000004</v>
      </c>
      <c r="F179" s="64">
        <f>_book!$K$174</f>
        <v>1</v>
      </c>
      <c r="G179" s="64">
        <f>_book!$L$174</f>
        <v>1.007055725494679</v>
      </c>
      <c r="H179" s="64">
        <f>_book!$M$174</f>
        <v>1</v>
      </c>
      <c r="I179" s="63">
        <f>_book!$O$174</f>
        <v>0.67674144753242449</v>
      </c>
      <c r="J179" s="63">
        <f>_book!$P$174</f>
        <v>0.67000036077136926</v>
      </c>
      <c r="K179" s="65">
        <f>_book!$T$174</f>
        <v>0</v>
      </c>
      <c r="L179" s="65">
        <f>_book!$U$174</f>
        <v>0</v>
      </c>
      <c r="M179" s="65" t="str">
        <f>IF(_book!$V$174=0,"—",_book!$W$174)</f>
        <v>—</v>
      </c>
      <c r="N179" s="63">
        <f>_book!$Y$174</f>
        <v>0.67674144753242449</v>
      </c>
      <c r="O179" s="66" t="str">
        <f>IF(_book!$V$174=0,"—",_book!$AA$174)</f>
        <v>—</v>
      </c>
      <c r="P179" s="67">
        <f>_book!$AC$174</f>
        <v>0</v>
      </c>
      <c r="Q179" s="67">
        <f>_book!$AD$174</f>
        <v>0</v>
      </c>
    </row>
    <row r="180" spans="1:17" x14ac:dyDescent="0.3">
      <c r="A180" s="61" t="str">
        <f>_book!$A$175</f>
        <v>Commercial Auto</v>
      </c>
      <c r="B180" s="61" t="str">
        <f>_book!$B$175</f>
        <v>SBA</v>
      </c>
      <c r="C180" s="61" t="str">
        <f>_book!$C$175</f>
        <v>IA</v>
      </c>
      <c r="D180" s="62">
        <f>_book!$F$175</f>
        <v>96000</v>
      </c>
      <c r="E180" s="63">
        <f>_book!$N$175</f>
        <v>0.7</v>
      </c>
      <c r="F180" s="64">
        <f>_book!$K$175</f>
        <v>1</v>
      </c>
      <c r="G180" s="64">
        <f>_book!$L$175</f>
        <v>1.011120201892163</v>
      </c>
      <c r="H180" s="64">
        <f>_book!$M$175</f>
        <v>1</v>
      </c>
      <c r="I180" s="63">
        <f>_book!$O$175</f>
        <v>0.70778414132451406</v>
      </c>
      <c r="J180" s="63">
        <f>_book!$P$175</f>
        <v>0.71017552141345364</v>
      </c>
      <c r="K180" s="65">
        <f>_book!$T$175</f>
        <v>0</v>
      </c>
      <c r="L180" s="65">
        <f>_book!$U$175</f>
        <v>0</v>
      </c>
      <c r="M180" s="65" t="str">
        <f>IF(_book!$V$175=0,"—",_book!$W$175)</f>
        <v>—</v>
      </c>
      <c r="N180" s="63">
        <f>_book!$Y$175</f>
        <v>0.70778414132451406</v>
      </c>
      <c r="O180" s="66" t="str">
        <f>IF(_book!$V$175=0,"—",_book!$AA$175)</f>
        <v>—</v>
      </c>
      <c r="P180" s="67">
        <f>_book!$AC$175</f>
        <v>0</v>
      </c>
      <c r="Q180" s="67">
        <f>_book!$AD$175</f>
        <v>0</v>
      </c>
    </row>
    <row r="181" spans="1:17" x14ac:dyDescent="0.3">
      <c r="A181" s="61" t="str">
        <f>_book!$A$176</f>
        <v>Commercial Auto</v>
      </c>
      <c r="B181" s="61" t="str">
        <f>_book!$B$176</f>
        <v>SBA</v>
      </c>
      <c r="C181" s="61" t="str">
        <f>_book!$C$176</f>
        <v>IL</v>
      </c>
      <c r="D181" s="62">
        <f>_book!$F$176</f>
        <v>80000</v>
      </c>
      <c r="E181" s="63">
        <f>_book!$N$176</f>
        <v>0.68400000000000005</v>
      </c>
      <c r="F181" s="64">
        <f>_book!$K$176</f>
        <v>0.94618568894145472</v>
      </c>
      <c r="G181" s="64">
        <f>_book!$L$176</f>
        <v>1.0032993480379631</v>
      </c>
      <c r="H181" s="64">
        <f>_book!$M$176</f>
        <v>1</v>
      </c>
      <c r="I181" s="63">
        <f>_book!$O$176</f>
        <v>0.64932631962906395</v>
      </c>
      <c r="J181" s="63">
        <f>_book!$P$176</f>
        <v>0.63335338137876696</v>
      </c>
      <c r="K181" s="65">
        <f>_book!$T$176</f>
        <v>5.6875000000000009E-2</v>
      </c>
      <c r="L181" s="65">
        <f>_book!$U$176</f>
        <v>7.6877587226491517E-3</v>
      </c>
      <c r="M181" s="65" t="str">
        <f>IF(_book!$V$176=0,"—",_book!$W$176)</f>
        <v>—</v>
      </c>
      <c r="N181" s="63">
        <f>_book!$Y$176</f>
        <v>0.64932631962906395</v>
      </c>
      <c r="O181" s="66" t="str">
        <f>IF(_book!$V$176=0,"—",_book!$AA$176)</f>
        <v>—</v>
      </c>
      <c r="P181" s="67">
        <f>_book!$AC$176</f>
        <v>0</v>
      </c>
      <c r="Q181" s="67">
        <f>_book!$AD$176</f>
        <v>1</v>
      </c>
    </row>
    <row r="182" spans="1:17" x14ac:dyDescent="0.3">
      <c r="A182" s="61" t="str">
        <f>_book!$A$177</f>
        <v>Commercial Auto</v>
      </c>
      <c r="B182" s="61" t="str">
        <f>_book!$B$177</f>
        <v>SBA</v>
      </c>
      <c r="C182" s="61" t="str">
        <f>_book!$C$177</f>
        <v>IN</v>
      </c>
      <c r="D182" s="62">
        <f>_book!$F$177</f>
        <v>64000</v>
      </c>
      <c r="E182" s="63">
        <f>_book!$N$177</f>
        <v>0.66800000000000004</v>
      </c>
      <c r="F182" s="64">
        <f>_book!$K$177</f>
        <v>0.99894764948874615</v>
      </c>
      <c r="G182" s="64">
        <f>_book!$L$177</f>
        <v>1.012141452489427</v>
      </c>
      <c r="H182" s="64">
        <f>_book!$M$177</f>
        <v>1</v>
      </c>
      <c r="I182" s="63">
        <f>_book!$O$177</f>
        <v>0.67539898504284501</v>
      </c>
      <c r="J182" s="63">
        <f>_book!$P$177</f>
        <v>0.66167617985721527</v>
      </c>
      <c r="K182" s="65">
        <f>_book!$T$177</f>
        <v>1.0534591194968359E-3</v>
      </c>
      <c r="L182" s="65">
        <f>_book!$U$177</f>
        <v>2.7667394411547749E-2</v>
      </c>
      <c r="M182" s="65" t="str">
        <f>IF(_book!$V$177=0,"—",_book!$W$177)</f>
        <v>—</v>
      </c>
      <c r="N182" s="63">
        <f>_book!$Y$177</f>
        <v>0.67539898504284501</v>
      </c>
      <c r="O182" s="66" t="str">
        <f>IF(_book!$V$177=0,"—",_book!$AA$177)</f>
        <v>—</v>
      </c>
      <c r="P182" s="67">
        <f>_book!$AC$177</f>
        <v>1</v>
      </c>
      <c r="Q182" s="67">
        <f>_book!$AD$177</f>
        <v>1</v>
      </c>
    </row>
    <row r="183" spans="1:17" x14ac:dyDescent="0.3">
      <c r="A183" s="61" t="str">
        <f>_book!$A$178</f>
        <v>Commercial Auto</v>
      </c>
      <c r="B183" s="61" t="str">
        <f>_book!$B$178</f>
        <v>SBA</v>
      </c>
      <c r="C183" s="61" t="str">
        <f>_book!$C$178</f>
        <v>KY</v>
      </c>
      <c r="D183" s="62">
        <f>_book!$F$178</f>
        <v>48000</v>
      </c>
      <c r="E183" s="63">
        <f>_book!$N$178</f>
        <v>0.69599999999999995</v>
      </c>
      <c r="F183" s="64">
        <f>_book!$K$178</f>
        <v>0.94030013234140641</v>
      </c>
      <c r="G183" s="64">
        <f>_book!$L$178</f>
        <v>1</v>
      </c>
      <c r="H183" s="64">
        <f>_book!$M$178</f>
        <v>1</v>
      </c>
      <c r="I183" s="63">
        <f>_book!$O$178</f>
        <v>0.65444889210961887</v>
      </c>
      <c r="J183" s="63">
        <f>_book!$P$178</f>
        <v>0.59495353828147168</v>
      </c>
      <c r="K183" s="65">
        <f>_book!$T$178</f>
        <v>6.3490225732434125E-2</v>
      </c>
      <c r="L183" s="65">
        <f>_book!$U$178</f>
        <v>9.9999999999999867E-2</v>
      </c>
      <c r="M183" s="65">
        <f>IF(_book!$V$178=0,"—",_book!$W$178)</f>
        <v>0.1</v>
      </c>
      <c r="N183" s="63">
        <f>_book!$Y$178</f>
        <v>0.6477494804186984</v>
      </c>
      <c r="O183" s="66">
        <f>IF(_book!$V$178=0,"—",_book!$AA$178)</f>
        <v>-0.66994116909204759</v>
      </c>
      <c r="P183" s="67">
        <f>_book!$AC$178</f>
        <v>1</v>
      </c>
      <c r="Q183" s="67">
        <f>_book!$AD$178</f>
        <v>1</v>
      </c>
    </row>
    <row r="184" spans="1:17" x14ac:dyDescent="0.3">
      <c r="A184" s="61" t="str">
        <f>_book!$A$179</f>
        <v>Commercial Auto</v>
      </c>
      <c r="B184" s="61" t="str">
        <f>_book!$B$179</f>
        <v>SBA</v>
      </c>
      <c r="C184" s="61" t="str">
        <f>_book!$C$179</f>
        <v>MD</v>
      </c>
      <c r="D184" s="62">
        <f>_book!$F$179</f>
        <v>32000</v>
      </c>
      <c r="E184" s="63">
        <f>_book!$N$179</f>
        <v>0.68</v>
      </c>
      <c r="F184" s="64">
        <f>_book!$K$179</f>
        <v>1.000911023382933</v>
      </c>
      <c r="G184" s="64">
        <f>_book!$L$179</f>
        <v>1.006044706983058</v>
      </c>
      <c r="H184" s="64">
        <f>_book!$M$179</f>
        <v>1</v>
      </c>
      <c r="I184" s="63">
        <f>_book!$O$179</f>
        <v>0.68473364132006942</v>
      </c>
      <c r="J184" s="63">
        <f>_book!$P$179</f>
        <v>0.67506345487317798</v>
      </c>
      <c r="K184" s="65">
        <f>_book!$T$179</f>
        <v>-9.1019417475712849E-4</v>
      </c>
      <c r="L184" s="65">
        <f>_book!$U$179</f>
        <v>9.1102338293347351E-4</v>
      </c>
      <c r="M184" s="65" t="str">
        <f>IF(_book!$V$179=0,"—",_book!$W$179)</f>
        <v>—</v>
      </c>
      <c r="N184" s="63">
        <f>_book!$Y$179</f>
        <v>0.68473364132006942</v>
      </c>
      <c r="O184" s="66" t="str">
        <f>IF(_book!$V$179=0,"—",_book!$AA$179)</f>
        <v>—</v>
      </c>
      <c r="P184" s="67">
        <f>_book!$AC$179</f>
        <v>1</v>
      </c>
      <c r="Q184" s="67">
        <f>_book!$AD$179</f>
        <v>0</v>
      </c>
    </row>
    <row r="185" spans="1:17" x14ac:dyDescent="0.3">
      <c r="A185" s="61" t="str">
        <f>_book!$A$180</f>
        <v>Commercial Auto</v>
      </c>
      <c r="B185" s="61" t="str">
        <f>_book!$B$180</f>
        <v>SBA</v>
      </c>
      <c r="C185" s="61" t="str">
        <f>_book!$C$180</f>
        <v>MI</v>
      </c>
      <c r="D185" s="62">
        <f>_book!$F$180</f>
        <v>84000</v>
      </c>
      <c r="E185" s="63">
        <f>_book!$N$180</f>
        <v>0.66400000000000003</v>
      </c>
      <c r="F185" s="64">
        <f>_book!$K$180</f>
        <v>1.0021413276231259</v>
      </c>
      <c r="G185" s="64">
        <f>_book!$L$180</f>
        <v>1.0101010101010099</v>
      </c>
      <c r="H185" s="64">
        <f>_book!$M$180</f>
        <v>1</v>
      </c>
      <c r="I185" s="63">
        <f>_book!$O$180</f>
        <v>0.67214327428460185</v>
      </c>
      <c r="J185" s="63">
        <f>_book!$P$180</f>
        <v>0.67070707070707047</v>
      </c>
      <c r="K185" s="65">
        <f>_book!$T$180</f>
        <v>-2.1367521367520181E-3</v>
      </c>
      <c r="L185" s="65">
        <f>_book!$U$180</f>
        <v>2.1413276231263541E-3</v>
      </c>
      <c r="M185" s="65" t="str">
        <f>IF(_book!$V$180=0,"—",_book!$W$180)</f>
        <v>—</v>
      </c>
      <c r="N185" s="63">
        <f>_book!$Y$180</f>
        <v>0.67214327428460185</v>
      </c>
      <c r="O185" s="66" t="str">
        <f>IF(_book!$V$180=0,"—",_book!$AA$180)</f>
        <v>—</v>
      </c>
      <c r="P185" s="67">
        <f>_book!$AC$180</f>
        <v>1</v>
      </c>
      <c r="Q185" s="67">
        <f>_book!$AD$180</f>
        <v>0</v>
      </c>
    </row>
    <row r="186" spans="1:17" x14ac:dyDescent="0.3">
      <c r="A186" s="61" t="str">
        <f>_book!$A$181</f>
        <v>Commercial Auto</v>
      </c>
      <c r="B186" s="61" t="str">
        <f>_book!$B$181</f>
        <v>SBA</v>
      </c>
      <c r="C186" s="61" t="str">
        <f>_book!$C$181</f>
        <v>MN</v>
      </c>
      <c r="D186" s="62">
        <f>_book!$F$181</f>
        <v>68000</v>
      </c>
      <c r="E186" s="63">
        <f>_book!$N$181</f>
        <v>0.69199999999999995</v>
      </c>
      <c r="F186" s="64">
        <f>_book!$K$181</f>
        <v>0.9888751545117429</v>
      </c>
      <c r="G186" s="64">
        <f>_book!$L$181</f>
        <v>1.007055725494679</v>
      </c>
      <c r="H186" s="64">
        <f>_book!$M$181</f>
        <v>1</v>
      </c>
      <c r="I186" s="63">
        <f>_book!$O$181</f>
        <v>0.68912985121613646</v>
      </c>
      <c r="J186" s="63">
        <f>_book!$P$181</f>
        <v>0.66420298214111995</v>
      </c>
      <c r="K186" s="65">
        <f>_book!$T$181</f>
        <v>1.1249999999999981E-2</v>
      </c>
      <c r="L186" s="65">
        <f>_book!$U$181</f>
        <v>2.7194066749073102E-2</v>
      </c>
      <c r="M186" s="65" t="str">
        <f>IF(_book!$V$181=0,"—",_book!$W$181)</f>
        <v>—</v>
      </c>
      <c r="N186" s="63">
        <f>_book!$Y$181</f>
        <v>0.68912985121613646</v>
      </c>
      <c r="O186" s="66" t="str">
        <f>IF(_book!$V$181=0,"—",_book!$AA$181)</f>
        <v>—</v>
      </c>
      <c r="P186" s="67">
        <f>_book!$AC$181</f>
        <v>0</v>
      </c>
      <c r="Q186" s="67">
        <f>_book!$AD$181</f>
        <v>1</v>
      </c>
    </row>
    <row r="187" spans="1:17" x14ac:dyDescent="0.3">
      <c r="A187" s="61" t="str">
        <f>_book!$A$182</f>
        <v>Commercial Auto</v>
      </c>
      <c r="B187" s="61" t="str">
        <f>_book!$B$182</f>
        <v>SBA</v>
      </c>
      <c r="C187" s="61" t="str">
        <f>_book!$C$182</f>
        <v>NM</v>
      </c>
      <c r="D187" s="62">
        <f>_book!$F$182</f>
        <v>52000</v>
      </c>
      <c r="E187" s="63">
        <f>_book!$N$182</f>
        <v>0.67600000000000005</v>
      </c>
      <c r="F187" s="64">
        <f>_book!$K$182</f>
        <v>1.0071258907363421</v>
      </c>
      <c r="G187" s="64">
        <f>_book!$L$182</f>
        <v>1.011120201892163</v>
      </c>
      <c r="H187" s="64">
        <f>_book!$M$182</f>
        <v>1</v>
      </c>
      <c r="I187" s="63">
        <f>_book!$O$182</f>
        <v>0.68838792576517649</v>
      </c>
      <c r="J187" s="63">
        <f>_book!$P$182</f>
        <v>0.68582664639356372</v>
      </c>
      <c r="K187" s="65">
        <f>_book!$T$182</f>
        <v>-7.0754716981130672E-3</v>
      </c>
      <c r="L187" s="65">
        <f>_book!$U$182</f>
        <v>7.1258907363420656E-3</v>
      </c>
      <c r="M187" s="65" t="str">
        <f>IF(_book!$V$182=0,"—",_book!$W$182)</f>
        <v>—</v>
      </c>
      <c r="N187" s="63">
        <f>_book!$Y$182</f>
        <v>0.68838792576517649</v>
      </c>
      <c r="O187" s="66" t="str">
        <f>IF(_book!$V$182=0,"—",_book!$AA$182)</f>
        <v>—</v>
      </c>
      <c r="P187" s="67">
        <f>_book!$AC$182</f>
        <v>1</v>
      </c>
      <c r="Q187" s="67">
        <f>_book!$AD$182</f>
        <v>0</v>
      </c>
    </row>
    <row r="188" spans="1:17" x14ac:dyDescent="0.3">
      <c r="A188" s="61" t="str">
        <f>_book!$A$183</f>
        <v>Commercial Auto</v>
      </c>
      <c r="B188" s="61" t="str">
        <f>_book!$B$183</f>
        <v>SBA</v>
      </c>
      <c r="C188" s="61" t="str">
        <f>_book!$C$183</f>
        <v>NC</v>
      </c>
      <c r="D188" s="62">
        <f>_book!$F$183</f>
        <v>36000</v>
      </c>
      <c r="E188" s="63">
        <f>_book!$N$183</f>
        <v>0.66</v>
      </c>
      <c r="F188" s="64">
        <f>_book!$K$183</f>
        <v>1.0033472231709819</v>
      </c>
      <c r="G188" s="64">
        <f>_book!$L$183</f>
        <v>1.008068778084247</v>
      </c>
      <c r="H188" s="64">
        <f>_book!$M$183</f>
        <v>1</v>
      </c>
      <c r="I188" s="63">
        <f>_book!$O$183</f>
        <v>0.66755238610908785</v>
      </c>
      <c r="J188" s="63">
        <f>_book!$P$183</f>
        <v>0.66088799794855668</v>
      </c>
      <c r="K188" s="65">
        <f>_book!$T$183</f>
        <v>-3.336056644880236E-3</v>
      </c>
      <c r="L188" s="65">
        <f>_book!$U$183</f>
        <v>3.3472231709814611E-3</v>
      </c>
      <c r="M188" s="65" t="str">
        <f>IF(_book!$V$183=0,"—",_book!$W$183)</f>
        <v>—</v>
      </c>
      <c r="N188" s="63">
        <f>_book!$Y$183</f>
        <v>0.66755238610908785</v>
      </c>
      <c r="O188" s="66" t="str">
        <f>IF(_book!$V$183=0,"—",_book!$AA$183)</f>
        <v>—</v>
      </c>
      <c r="P188" s="67">
        <f>_book!$AC$183</f>
        <v>1</v>
      </c>
      <c r="Q188" s="67">
        <f>_book!$AD$183</f>
        <v>0</v>
      </c>
    </row>
    <row r="189" spans="1:17" x14ac:dyDescent="0.3">
      <c r="A189" s="61" t="str">
        <f>_book!$A$184</f>
        <v>Commercial Auto</v>
      </c>
      <c r="B189" s="61" t="str">
        <f>_book!$B$184</f>
        <v>SBA</v>
      </c>
      <c r="C189" s="61" t="str">
        <f>_book!$C$184</f>
        <v>OH</v>
      </c>
      <c r="D189" s="62">
        <f>_book!$F$184</f>
        <v>88000</v>
      </c>
      <c r="E189" s="63">
        <f>_book!$N$184</f>
        <v>0.68799999999999994</v>
      </c>
      <c r="F189" s="64">
        <f>_book!$K$184</f>
        <v>1</v>
      </c>
      <c r="G189" s="64">
        <f>_book!$L$184</f>
        <v>1.012141452489427</v>
      </c>
      <c r="H189" s="64">
        <f>_book!$M$184</f>
        <v>1</v>
      </c>
      <c r="I189" s="63">
        <f>_book!$O$184</f>
        <v>0.6963533193127257</v>
      </c>
      <c r="J189" s="63">
        <f>_book!$P$184</f>
        <v>0.70107959068763448</v>
      </c>
      <c r="K189" s="65">
        <f>_book!$T$184</f>
        <v>0</v>
      </c>
      <c r="L189" s="65">
        <f>_book!$U$184</f>
        <v>0</v>
      </c>
      <c r="M189" s="65" t="str">
        <f>IF(_book!$V$184=0,"—",_book!$W$184)</f>
        <v>—</v>
      </c>
      <c r="N189" s="63">
        <f>_book!$Y$184</f>
        <v>0.6963533193127257</v>
      </c>
      <c r="O189" s="66" t="str">
        <f>IF(_book!$V$184=0,"—",_book!$AA$184)</f>
        <v>—</v>
      </c>
      <c r="P189" s="67">
        <f>_book!$AC$184</f>
        <v>0</v>
      </c>
      <c r="Q189" s="67">
        <f>_book!$AD$184</f>
        <v>0</v>
      </c>
    </row>
    <row r="190" spans="1:17" x14ac:dyDescent="0.3">
      <c r="A190" s="61" t="str">
        <f>_book!$A$185</f>
        <v>Commercial Auto</v>
      </c>
      <c r="B190" s="61" t="str">
        <f>_book!$B$185</f>
        <v>SBA</v>
      </c>
      <c r="C190" s="61" t="str">
        <f>_book!$C$185</f>
        <v>PA</v>
      </c>
      <c r="D190" s="62">
        <f>_book!$F$185</f>
        <v>72000</v>
      </c>
      <c r="E190" s="63">
        <f>_book!$N$185</f>
        <v>0.67200000000000004</v>
      </c>
      <c r="F190" s="64">
        <f>_book!$K$185</f>
        <v>1.0073994349522399</v>
      </c>
      <c r="G190" s="64">
        <f>_book!$L$185</f>
        <v>1.009083870896514</v>
      </c>
      <c r="H190" s="64">
        <f>_book!$M$185</f>
        <v>1</v>
      </c>
      <c r="I190" s="63">
        <f>_book!$O$185</f>
        <v>0.68312195035430145</v>
      </c>
      <c r="J190" s="63">
        <f>_book!$P$185</f>
        <v>0.65412005373465265</v>
      </c>
      <c r="K190" s="65">
        <f>_book!$T$185</f>
        <v>-7.3450854700855004E-3</v>
      </c>
      <c r="L190" s="65">
        <f>_book!$U$185</f>
        <v>4.0839499529127243E-2</v>
      </c>
      <c r="M190" s="65" t="str">
        <f>IF(_book!$V$185=0,"—",_book!$W$185)</f>
        <v>—</v>
      </c>
      <c r="N190" s="63">
        <f>_book!$Y$185</f>
        <v>0.68312195035430145</v>
      </c>
      <c r="O190" s="66" t="str">
        <f>IF(_book!$V$185=0,"—",_book!$AA$185)</f>
        <v>—</v>
      </c>
      <c r="P190" s="67">
        <f>_book!$AC$185</f>
        <v>1</v>
      </c>
      <c r="Q190" s="67">
        <f>_book!$AD$185</f>
        <v>1</v>
      </c>
    </row>
    <row r="191" spans="1:17" x14ac:dyDescent="0.3">
      <c r="A191" s="61" t="str">
        <f>_book!$A$186</f>
        <v>Commercial Auto</v>
      </c>
      <c r="B191" s="61" t="str">
        <f>_book!$B$186</f>
        <v>SBA</v>
      </c>
      <c r="C191" s="61" t="str">
        <f>_book!$C$186</f>
        <v>SC</v>
      </c>
      <c r="D191" s="62">
        <f>_book!$F$186</f>
        <v>56000</v>
      </c>
      <c r="E191" s="63">
        <f>_book!$N$186</f>
        <v>0.7</v>
      </c>
      <c r="F191" s="64">
        <f>_book!$K$186</f>
        <v>1.0168123739071959</v>
      </c>
      <c r="G191" s="64">
        <f>_book!$L$186</f>
        <v>1.006044706983058</v>
      </c>
      <c r="H191" s="64">
        <f>_book!$M$186</f>
        <v>1</v>
      </c>
      <c r="I191" s="63">
        <f>_book!$O$186</f>
        <v>0.7160710947349489</v>
      </c>
      <c r="J191" s="63">
        <f>_book!$P$186</f>
        <v>0.69491826236944798</v>
      </c>
      <c r="K191" s="65">
        <f>_book!$T$186</f>
        <v>-1.653439153439162E-2</v>
      </c>
      <c r="L191" s="65">
        <f>_book!$U$186</f>
        <v>1.6812373907195699E-2</v>
      </c>
      <c r="M191" s="65" t="str">
        <f>IF(_book!$V$186=0,"—",_book!$W$186)</f>
        <v>—</v>
      </c>
      <c r="N191" s="63">
        <f>_book!$Y$186</f>
        <v>0.7160710947349489</v>
      </c>
      <c r="O191" s="66" t="str">
        <f>IF(_book!$V$186=0,"—",_book!$AA$186)</f>
        <v>—</v>
      </c>
      <c r="P191" s="67">
        <f>_book!$AC$186</f>
        <v>1</v>
      </c>
      <c r="Q191" s="67">
        <f>_book!$AD$186</f>
        <v>0</v>
      </c>
    </row>
    <row r="192" spans="1:17" x14ac:dyDescent="0.3">
      <c r="A192" s="61" t="str">
        <f>_book!$A$187</f>
        <v>Commercial Auto</v>
      </c>
      <c r="B192" s="61" t="str">
        <f>_book!$B$187</f>
        <v>SBA</v>
      </c>
      <c r="C192" s="61" t="str">
        <f>_book!$C$187</f>
        <v>TN</v>
      </c>
      <c r="D192" s="62">
        <f>_book!$F$187</f>
        <v>40000</v>
      </c>
      <c r="E192" s="63">
        <f>_book!$N$187</f>
        <v>0.68400000000000005</v>
      </c>
      <c r="F192" s="64">
        <f>_book!$K$187</f>
        <v>1</v>
      </c>
      <c r="G192" s="64">
        <f>_book!$L$187</f>
        <v>1.0101010101010099</v>
      </c>
      <c r="H192" s="64">
        <f>_book!$M$187</f>
        <v>1</v>
      </c>
      <c r="I192" s="63">
        <f>_book!$O$187</f>
        <v>0.69090909090909081</v>
      </c>
      <c r="J192" s="63">
        <f>_book!$P$187</f>
        <v>0.69090909090909081</v>
      </c>
      <c r="K192" s="65">
        <f>_book!$T$187</f>
        <v>0</v>
      </c>
      <c r="L192" s="65">
        <f>_book!$U$187</f>
        <v>0</v>
      </c>
      <c r="M192" s="65" t="str">
        <f>IF(_book!$V$187=0,"—",_book!$W$187)</f>
        <v>—</v>
      </c>
      <c r="N192" s="63">
        <f>_book!$Y$187</f>
        <v>0.69090909090909081</v>
      </c>
      <c r="O192" s="66" t="str">
        <f>IF(_book!$V$187=0,"—",_book!$AA$187)</f>
        <v>—</v>
      </c>
      <c r="P192" s="67">
        <f>_book!$AC$187</f>
        <v>0</v>
      </c>
      <c r="Q192" s="67">
        <f>_book!$AD$187</f>
        <v>0</v>
      </c>
    </row>
    <row r="193" spans="1:17" x14ac:dyDescent="0.3">
      <c r="A193" s="61" t="str">
        <f>_book!$A$188</f>
        <v>Commercial Auto</v>
      </c>
      <c r="B193" s="61" t="str">
        <f>_book!$B$188</f>
        <v>SBA</v>
      </c>
      <c r="C193" s="61" t="str">
        <f>_book!$C$188</f>
        <v>VA</v>
      </c>
      <c r="D193" s="62">
        <f>_book!$F$188</f>
        <v>92000</v>
      </c>
      <c r="E193" s="63">
        <f>_book!$N$188</f>
        <v>0.66800000000000004</v>
      </c>
      <c r="F193" s="64">
        <f>_book!$K$188</f>
        <v>1</v>
      </c>
      <c r="G193" s="64">
        <f>_book!$L$188</f>
        <v>1.007055725494679</v>
      </c>
      <c r="H193" s="64">
        <f>_book!$M$188</f>
        <v>1</v>
      </c>
      <c r="I193" s="63">
        <f>_book!$O$188</f>
        <v>0.67271322463044592</v>
      </c>
      <c r="J193" s="63">
        <f>_book!$P$188</f>
        <v>0.66601226338582542</v>
      </c>
      <c r="K193" s="65">
        <f>_book!$T$188</f>
        <v>0</v>
      </c>
      <c r="L193" s="65">
        <f>_book!$U$188</f>
        <v>0</v>
      </c>
      <c r="M193" s="65" t="str">
        <f>IF(_book!$V$188=0,"—",_book!$W$188)</f>
        <v>—</v>
      </c>
      <c r="N193" s="63">
        <f>_book!$Y$188</f>
        <v>0.67271322463044592</v>
      </c>
      <c r="O193" s="66" t="str">
        <f>IF(_book!$V$188=0,"—",_book!$AA$188)</f>
        <v>—</v>
      </c>
      <c r="P193" s="67">
        <f>_book!$AC$188</f>
        <v>1</v>
      </c>
      <c r="Q193" s="67">
        <f>_book!$AD$188</f>
        <v>0</v>
      </c>
    </row>
    <row r="194" spans="1:17" x14ac:dyDescent="0.3">
      <c r="A194" s="61" t="str">
        <f>_book!$A$189</f>
        <v>Commercial Auto</v>
      </c>
      <c r="B194" s="61" t="str">
        <f>_book!$B$189</f>
        <v>SBA</v>
      </c>
      <c r="C194" s="61" t="str">
        <f>_book!$C$189</f>
        <v>WV</v>
      </c>
      <c r="D194" s="62">
        <f>_book!$F$189</f>
        <v>76000</v>
      </c>
      <c r="E194" s="63">
        <f>_book!$N$189</f>
        <v>0.69599999999999995</v>
      </c>
      <c r="F194" s="64">
        <f>_book!$K$189</f>
        <v>0.98357003029225942</v>
      </c>
      <c r="G194" s="64">
        <f>_book!$L$189</f>
        <v>1.011120201892163</v>
      </c>
      <c r="H194" s="64">
        <f>_book!$M$189</f>
        <v>1</v>
      </c>
      <c r="I194" s="63">
        <f>_book!$O$189</f>
        <v>0.69217723921251628</v>
      </c>
      <c r="J194" s="63">
        <f>_book!$P$189</f>
        <v>0.67904970003379161</v>
      </c>
      <c r="K194" s="65">
        <f>_book!$T$189</f>
        <v>1.6704422869471269E-2</v>
      </c>
      <c r="L194" s="65">
        <f>_book!$U$189</f>
        <v>2.277622455529826E-2</v>
      </c>
      <c r="M194" s="65" t="str">
        <f>IF(_book!$V$189=0,"—",_book!$W$189)</f>
        <v>—</v>
      </c>
      <c r="N194" s="63">
        <f>_book!$Y$189</f>
        <v>0.69217723921251628</v>
      </c>
      <c r="O194" s="66" t="str">
        <f>IF(_book!$V$189=0,"—",_book!$AA$189)</f>
        <v>—</v>
      </c>
      <c r="P194" s="67">
        <f>_book!$AC$189</f>
        <v>1</v>
      </c>
      <c r="Q194" s="67">
        <f>_book!$AD$189</f>
        <v>1</v>
      </c>
    </row>
    <row r="195" spans="1:17" x14ac:dyDescent="0.3">
      <c r="A195" s="61" t="str">
        <f>_book!$A$190</f>
        <v>Commercial Auto</v>
      </c>
      <c r="B195" s="61" t="str">
        <f>_book!$B$190</f>
        <v>SBA</v>
      </c>
      <c r="C195" s="61" t="str">
        <f>_book!$C$190</f>
        <v>WI</v>
      </c>
      <c r="D195" s="62">
        <f>_book!$F$190</f>
        <v>60000</v>
      </c>
      <c r="E195" s="63">
        <f>_book!$N$190</f>
        <v>0.68</v>
      </c>
      <c r="F195" s="64">
        <f>_book!$K$190</f>
        <v>1</v>
      </c>
      <c r="G195" s="64">
        <f>_book!$L$190</f>
        <v>1.008068778084247</v>
      </c>
      <c r="H195" s="64">
        <f>_book!$M$190</f>
        <v>1</v>
      </c>
      <c r="I195" s="63">
        <f>_book!$O$190</f>
        <v>0.6854867690972879</v>
      </c>
      <c r="J195" s="63">
        <f>_book!$P$190</f>
        <v>0.68091490697730073</v>
      </c>
      <c r="K195" s="65">
        <f>_book!$T$190</f>
        <v>0</v>
      </c>
      <c r="L195" s="65">
        <f>_book!$U$190</f>
        <v>0</v>
      </c>
      <c r="M195" s="65" t="str">
        <f>IF(_book!$V$190=0,"—",_book!$W$190)</f>
        <v>—</v>
      </c>
      <c r="N195" s="63">
        <f>_book!$Y$190</f>
        <v>0.6854867690972879</v>
      </c>
      <c r="O195" s="66" t="str">
        <f>IF(_book!$V$190=0,"—",_book!$AA$190)</f>
        <v>—</v>
      </c>
      <c r="P195" s="67">
        <f>_book!$AC$190</f>
        <v>0</v>
      </c>
      <c r="Q195" s="67">
        <f>_book!$AD$190</f>
        <v>0</v>
      </c>
    </row>
    <row r="196" spans="1:17" x14ac:dyDescent="0.3">
      <c r="A196" s="61" t="str">
        <f>_book!$A$191</f>
        <v>Workers Comp</v>
      </c>
      <c r="B196" s="61" t="str">
        <f>_book!$B$191</f>
        <v>ABD</v>
      </c>
      <c r="C196" s="61" t="str">
        <f>_book!$C$191</f>
        <v>AZ</v>
      </c>
      <c r="D196" s="62">
        <f>_book!$F$191</f>
        <v>24000</v>
      </c>
      <c r="E196" s="63">
        <f>_book!$N$191</f>
        <v>0.65</v>
      </c>
      <c r="F196" s="64">
        <f>_book!$K$191</f>
        <v>0.99306145153262859</v>
      </c>
      <c r="G196" s="64">
        <f>_book!$L$191</f>
        <v>0.98153851013092008</v>
      </c>
      <c r="H196" s="64">
        <f>_book!$M$191</f>
        <v>1</v>
      </c>
      <c r="I196" s="63">
        <f>_book!$O$191</f>
        <v>0.63357323744376037</v>
      </c>
      <c r="J196" s="63">
        <f>_book!$P$191</f>
        <v>0.59480029614224839</v>
      </c>
      <c r="K196" s="65">
        <f>_book!$T$191</f>
        <v>6.9870283018869106E-3</v>
      </c>
      <c r="L196" s="65">
        <f>_book!$U$191</f>
        <v>4.1162865591240383E-2</v>
      </c>
      <c r="M196" s="65" t="str">
        <f>IF(_book!$V$191=0,"—",_book!$W$191)</f>
        <v>—</v>
      </c>
      <c r="N196" s="63">
        <f>_book!$Y$191</f>
        <v>0.63357323744376037</v>
      </c>
      <c r="O196" s="66" t="str">
        <f>IF(_book!$V$191=0,"—",_book!$AA$191)</f>
        <v>—</v>
      </c>
      <c r="P196" s="67">
        <f>_book!$AC$191</f>
        <v>2</v>
      </c>
      <c r="Q196" s="67">
        <f>_book!$AD$191</f>
        <v>1</v>
      </c>
    </row>
    <row r="197" spans="1:17" x14ac:dyDescent="0.3">
      <c r="A197" s="61" t="str">
        <f>_book!$A$192</f>
        <v>Workers Comp</v>
      </c>
      <c r="B197" s="61" t="str">
        <f>_book!$B$192</f>
        <v>ABD</v>
      </c>
      <c r="C197" s="61" t="str">
        <f>_book!$C$192</f>
        <v>CO</v>
      </c>
      <c r="D197" s="62">
        <f>_book!$F$192</f>
        <v>63000</v>
      </c>
      <c r="E197" s="63">
        <f>_book!$N$192</f>
        <v>0.60799999999999998</v>
      </c>
      <c r="F197" s="64">
        <f>_book!$K$192</f>
        <v>0.98357003029225942</v>
      </c>
      <c r="G197" s="64">
        <f>_book!$L$192</f>
        <v>1.010103387425793</v>
      </c>
      <c r="H197" s="64">
        <f>_book!$M$192</f>
        <v>1</v>
      </c>
      <c r="I197" s="63">
        <f>_book!$O$192</f>
        <v>0.60405251097617008</v>
      </c>
      <c r="J197" s="63">
        <f>_book!$P$192</f>
        <v>0.5884015897598962</v>
      </c>
      <c r="K197" s="65">
        <f>_book!$T$192</f>
        <v>1.6704422869471269E-2</v>
      </c>
      <c r="L197" s="65">
        <f>_book!$U$192</f>
        <v>2.277622455529826E-2</v>
      </c>
      <c r="M197" s="65" t="str">
        <f>IF(_book!$V$192=0,"—",_book!$W$192)</f>
        <v>—</v>
      </c>
      <c r="N197" s="63">
        <f>_book!$Y$192</f>
        <v>0.60405251097617008</v>
      </c>
      <c r="O197" s="66" t="str">
        <f>IF(_book!$V$192=0,"—",_book!$AA$192)</f>
        <v>—</v>
      </c>
      <c r="P197" s="67">
        <f>_book!$AC$192</f>
        <v>1</v>
      </c>
      <c r="Q197" s="67">
        <f>_book!$AD$192</f>
        <v>1</v>
      </c>
    </row>
    <row r="198" spans="1:17" x14ac:dyDescent="0.3">
      <c r="A198" s="61" t="str">
        <f>_book!$A$193</f>
        <v>Workers Comp</v>
      </c>
      <c r="B198" s="61" t="str">
        <f>_book!$B$193</f>
        <v>ABD</v>
      </c>
      <c r="C198" s="61" t="str">
        <f>_book!$C$193</f>
        <v>DE</v>
      </c>
      <c r="D198" s="62">
        <f>_book!$F$193</f>
        <v>51000</v>
      </c>
      <c r="E198" s="63">
        <f>_book!$N$193</f>
        <v>0.59199999999999997</v>
      </c>
      <c r="F198" s="64">
        <f>_book!$K$193</f>
        <v>1</v>
      </c>
      <c r="G198" s="64">
        <f>_book!$L$193</f>
        <v>1.00672085504778</v>
      </c>
      <c r="H198" s="64">
        <f>_book!$M$193</f>
        <v>1</v>
      </c>
      <c r="I198" s="63">
        <f>_book!$O$193</f>
        <v>0.59597874618828584</v>
      </c>
      <c r="J198" s="63">
        <f>_book!$P$193</f>
        <v>0.58722862858488922</v>
      </c>
      <c r="K198" s="65">
        <f>_book!$T$193</f>
        <v>0</v>
      </c>
      <c r="L198" s="65">
        <f>_book!$U$193</f>
        <v>0</v>
      </c>
      <c r="M198" s="65" t="str">
        <f>IF(_book!$V$193=0,"—",_book!$W$193)</f>
        <v>—</v>
      </c>
      <c r="N198" s="63">
        <f>_book!$Y$193</f>
        <v>0.59597874618828584</v>
      </c>
      <c r="O198" s="66" t="str">
        <f>IF(_book!$V$193=0,"—",_book!$AA$193)</f>
        <v>—</v>
      </c>
      <c r="P198" s="67">
        <f>_book!$AC$193</f>
        <v>0</v>
      </c>
      <c r="Q198" s="67">
        <f>_book!$AD$193</f>
        <v>0</v>
      </c>
    </row>
    <row r="199" spans="1:17" x14ac:dyDescent="0.3">
      <c r="A199" s="61" t="str">
        <f>_book!$A$194</f>
        <v>Workers Comp</v>
      </c>
      <c r="B199" s="61" t="str">
        <f>_book!$B$194</f>
        <v>ABD</v>
      </c>
      <c r="C199" s="61" t="str">
        <f>_book!$C$194</f>
        <v>FL</v>
      </c>
      <c r="D199" s="62">
        <f>_book!$F$194</f>
        <v>39000</v>
      </c>
      <c r="E199" s="63">
        <f>_book!$N$194</f>
        <v>0.62</v>
      </c>
      <c r="F199" s="64">
        <f>_book!$K$194</f>
        <v>1.0014903129657231</v>
      </c>
      <c r="G199" s="64">
        <f>_book!$L$194</f>
        <v>1</v>
      </c>
      <c r="H199" s="64">
        <f>_book!$M$194</f>
        <v>1</v>
      </c>
      <c r="I199" s="63">
        <f>_book!$O$194</f>
        <v>0.62092399403874821</v>
      </c>
      <c r="J199" s="63">
        <f>_book!$P$194</f>
        <v>0.62</v>
      </c>
      <c r="K199" s="65">
        <f>_book!$T$194</f>
        <v>-1.488095238095344E-3</v>
      </c>
      <c r="L199" s="65">
        <f>_book!$U$194</f>
        <v>1.490312965722884E-3</v>
      </c>
      <c r="M199" s="65" t="str">
        <f>IF(_book!$V$194=0,"—",_book!$W$194)</f>
        <v>—</v>
      </c>
      <c r="N199" s="63">
        <f>_book!$Y$194</f>
        <v>0.62092399403874821</v>
      </c>
      <c r="O199" s="66" t="str">
        <f>IF(_book!$V$194=0,"—",_book!$AA$194)</f>
        <v>—</v>
      </c>
      <c r="P199" s="67">
        <f>_book!$AC$194</f>
        <v>1</v>
      </c>
      <c r="Q199" s="67">
        <f>_book!$AD$194</f>
        <v>0</v>
      </c>
    </row>
    <row r="200" spans="1:17" x14ac:dyDescent="0.3">
      <c r="A200" s="61" t="str">
        <f>_book!$A$195</f>
        <v>Workers Comp</v>
      </c>
      <c r="B200" s="61" t="str">
        <f>_book!$B$195</f>
        <v>ABD</v>
      </c>
      <c r="C200" s="61" t="str">
        <f>_book!$C$195</f>
        <v>GA</v>
      </c>
      <c r="D200" s="62">
        <f>_book!$F$195</f>
        <v>27000</v>
      </c>
      <c r="E200" s="63">
        <f>_book!$N$195</f>
        <v>0.60399999999999998</v>
      </c>
      <c r="F200" s="64">
        <f>_book!$K$195</f>
        <v>1.0031545741324921</v>
      </c>
      <c r="G200" s="64">
        <f>_book!$L$195</f>
        <v>1.0078458458979691</v>
      </c>
      <c r="H200" s="64">
        <f>_book!$M$195</f>
        <v>1</v>
      </c>
      <c r="I200" s="63">
        <f>_book!$O$195</f>
        <v>0.61065920288111863</v>
      </c>
      <c r="J200" s="63">
        <f>_book!$P$195</f>
        <v>0.60200366584113174</v>
      </c>
      <c r="K200" s="65">
        <f>_book!$T$195</f>
        <v>-3.1446540880502032E-3</v>
      </c>
      <c r="L200" s="65">
        <f>_book!$U$195</f>
        <v>3.154574132492094E-3</v>
      </c>
      <c r="M200" s="65" t="str">
        <f>IF(_book!$V$195=0,"—",_book!$W$195)</f>
        <v>—</v>
      </c>
      <c r="N200" s="63">
        <f>_book!$Y$195</f>
        <v>0.61065920288111863</v>
      </c>
      <c r="O200" s="66" t="str">
        <f>IF(_book!$V$195=0,"—",_book!$AA$195)</f>
        <v>—</v>
      </c>
      <c r="P200" s="67">
        <f>_book!$AC$195</f>
        <v>1</v>
      </c>
      <c r="Q200" s="67">
        <f>_book!$AD$195</f>
        <v>0</v>
      </c>
    </row>
    <row r="201" spans="1:17" x14ac:dyDescent="0.3">
      <c r="A201" s="61" t="str">
        <f>_book!$A$196</f>
        <v>Workers Comp</v>
      </c>
      <c r="B201" s="61" t="str">
        <f>_book!$B$196</f>
        <v>ABD</v>
      </c>
      <c r="C201" s="61" t="str">
        <f>_book!$C$196</f>
        <v>IA</v>
      </c>
      <c r="D201" s="62">
        <f>_book!$F$196</f>
        <v>66000</v>
      </c>
      <c r="E201" s="63">
        <f>_book!$N$196</f>
        <v>0.58799999999999997</v>
      </c>
      <c r="F201" s="64">
        <f>_book!$K$196</f>
        <v>0.99694186360817705</v>
      </c>
      <c r="G201" s="64">
        <f>_book!$L$196</f>
        <v>1.0135026736164929</v>
      </c>
      <c r="H201" s="64">
        <f>_book!$M$196</f>
        <v>1</v>
      </c>
      <c r="I201" s="63">
        <f>_book!$O$196</f>
        <v>0.59411710759377256</v>
      </c>
      <c r="J201" s="63">
        <f>_book!$P$196</f>
        <v>0.57591401609255544</v>
      </c>
      <c r="K201" s="65">
        <f>_book!$T$196</f>
        <v>3.0675172780434412E-3</v>
      </c>
      <c r="L201" s="65">
        <f>_book!$U$196</f>
        <v>3.3357934459420369E-2</v>
      </c>
      <c r="M201" s="65" t="str">
        <f>IF(_book!$V$196=0,"—",_book!$W$196)</f>
        <v>—</v>
      </c>
      <c r="N201" s="63">
        <f>_book!$Y$196</f>
        <v>0.59411710759377256</v>
      </c>
      <c r="O201" s="66" t="str">
        <f>IF(_book!$V$196=0,"—",_book!$AA$196)</f>
        <v>—</v>
      </c>
      <c r="P201" s="67">
        <f>_book!$AC$196</f>
        <v>1</v>
      </c>
      <c r="Q201" s="67">
        <f>_book!$AD$196</f>
        <v>1</v>
      </c>
    </row>
    <row r="202" spans="1:17" x14ac:dyDescent="0.3">
      <c r="A202" s="61" t="str">
        <f>_book!$A$197</f>
        <v>Workers Comp</v>
      </c>
      <c r="B202" s="61" t="str">
        <f>_book!$B$197</f>
        <v>ABD</v>
      </c>
      <c r="C202" s="61" t="str">
        <f>_book!$C$197</f>
        <v>IL</v>
      </c>
      <c r="D202" s="62">
        <f>_book!$F$197</f>
        <v>54000</v>
      </c>
      <c r="E202" s="63">
        <f>_book!$N$197</f>
        <v>0.61599999999999999</v>
      </c>
      <c r="F202" s="64">
        <f>_book!$K$197</f>
        <v>1.003654080389768</v>
      </c>
      <c r="G202" s="64">
        <f>_book!$L$197</f>
        <v>1.0089733538715031</v>
      </c>
      <c r="H202" s="64">
        <f>_book!$M$197</f>
        <v>1</v>
      </c>
      <c r="I202" s="63">
        <f>_book!$O$197</f>
        <v>0.62379869774849295</v>
      </c>
      <c r="J202" s="63">
        <f>_book!$P$197</f>
        <v>0.61692102444965136</v>
      </c>
      <c r="K202" s="65">
        <f>_book!$T$197</f>
        <v>-3.640776699028847E-3</v>
      </c>
      <c r="L202" s="65">
        <f>_book!$U$197</f>
        <v>3.6540803897684442E-3</v>
      </c>
      <c r="M202" s="65" t="str">
        <f>IF(_book!$V$197=0,"—",_book!$W$197)</f>
        <v>—</v>
      </c>
      <c r="N202" s="63">
        <f>_book!$Y$197</f>
        <v>0.62379869774849295</v>
      </c>
      <c r="O202" s="66" t="str">
        <f>IF(_book!$V$197=0,"—",_book!$AA$197)</f>
        <v>—</v>
      </c>
      <c r="P202" s="67">
        <f>_book!$AC$197</f>
        <v>1</v>
      </c>
      <c r="Q202" s="67">
        <f>_book!$AD$197</f>
        <v>0</v>
      </c>
    </row>
    <row r="203" spans="1:17" x14ac:dyDescent="0.3">
      <c r="A203" s="61" t="str">
        <f>_book!$A$198</f>
        <v>Workers Comp</v>
      </c>
      <c r="B203" s="61" t="str">
        <f>_book!$B$198</f>
        <v>ABD</v>
      </c>
      <c r="C203" s="61" t="str">
        <f>_book!$C$198</f>
        <v>IN</v>
      </c>
      <c r="D203" s="62">
        <f>_book!$F$198</f>
        <v>42000</v>
      </c>
      <c r="E203" s="63">
        <f>_book!$N$198</f>
        <v>0.6</v>
      </c>
      <c r="F203" s="64">
        <f>_book!$K$198</f>
        <v>1.006586906842317</v>
      </c>
      <c r="G203" s="64">
        <f>_book!$L$198</f>
        <v>1.0135087267175451</v>
      </c>
      <c r="H203" s="64">
        <f>_book!$M$198</f>
        <v>1</v>
      </c>
      <c r="I203" s="63">
        <f>_book!$O$198</f>
        <v>0.61211076857058533</v>
      </c>
      <c r="J203" s="63">
        <f>_book!$P$198</f>
        <v>0.61270085046046741</v>
      </c>
      <c r="K203" s="65">
        <f>_book!$T$198</f>
        <v>-6.54380341880334E-3</v>
      </c>
      <c r="L203" s="65">
        <f>_book!$U$198</f>
        <v>6.5869068423176644E-3</v>
      </c>
      <c r="M203" s="65" t="str">
        <f>IF(_book!$V$198=0,"—",_book!$W$198)</f>
        <v>—</v>
      </c>
      <c r="N203" s="63">
        <f>_book!$Y$198</f>
        <v>0.61211076857058533</v>
      </c>
      <c r="O203" s="66" t="str">
        <f>IF(_book!$V$198=0,"—",_book!$AA$198)</f>
        <v>—</v>
      </c>
      <c r="P203" s="67">
        <f>_book!$AC$198</f>
        <v>1</v>
      </c>
      <c r="Q203" s="67">
        <f>_book!$AD$198</f>
        <v>0</v>
      </c>
    </row>
    <row r="204" spans="1:17" x14ac:dyDescent="0.3">
      <c r="A204" s="61" t="str">
        <f>_book!$A$199</f>
        <v>Workers Comp</v>
      </c>
      <c r="B204" s="61" t="str">
        <f>_book!$B$199</f>
        <v>ABD</v>
      </c>
      <c r="C204" s="61" t="str">
        <f>_book!$C$199</f>
        <v>KY</v>
      </c>
      <c r="D204" s="62">
        <f>_book!$F$199</f>
        <v>30000</v>
      </c>
      <c r="E204" s="63">
        <f>_book!$N$199</f>
        <v>0.58399999999999996</v>
      </c>
      <c r="F204" s="64">
        <f>_book!$K$199</f>
        <v>1</v>
      </c>
      <c r="G204" s="64">
        <f>_book!$L$199</f>
        <v>1.010103387425793</v>
      </c>
      <c r="H204" s="64">
        <f>_book!$M$199</f>
        <v>1</v>
      </c>
      <c r="I204" s="63">
        <f>_book!$O$199</f>
        <v>0.58990037825666297</v>
      </c>
      <c r="J204" s="63">
        <f>_book!$P$199</f>
        <v>0.58770372310829866</v>
      </c>
      <c r="K204" s="65">
        <f>_book!$T$199</f>
        <v>0</v>
      </c>
      <c r="L204" s="65">
        <f>_book!$U$199</f>
        <v>0</v>
      </c>
      <c r="M204" s="65" t="str">
        <f>IF(_book!$V$199=0,"—",_book!$W$199)</f>
        <v>—</v>
      </c>
      <c r="N204" s="63">
        <f>_book!$Y$199</f>
        <v>0.58990037825666297</v>
      </c>
      <c r="O204" s="66" t="str">
        <f>IF(_book!$V$199=0,"—",_book!$AA$199)</f>
        <v>—</v>
      </c>
      <c r="P204" s="67">
        <f>_book!$AC$199</f>
        <v>0</v>
      </c>
      <c r="Q204" s="67">
        <f>_book!$AD$199</f>
        <v>0</v>
      </c>
    </row>
    <row r="205" spans="1:17" x14ac:dyDescent="0.3">
      <c r="A205" s="61" t="str">
        <f>_book!$A$200</f>
        <v>Workers Comp</v>
      </c>
      <c r="B205" s="61" t="str">
        <f>_book!$B$200</f>
        <v>ABD</v>
      </c>
      <c r="C205" s="61" t="str">
        <f>_book!$C$200</f>
        <v>MD</v>
      </c>
      <c r="D205" s="62">
        <f>_book!$F$200</f>
        <v>69000</v>
      </c>
      <c r="E205" s="63">
        <f>_book!$N$200</f>
        <v>0.61199999999999999</v>
      </c>
      <c r="F205" s="64">
        <f>_book!$K$200</f>
        <v>1.0148882186796879</v>
      </c>
      <c r="G205" s="64">
        <f>_book!$L$200</f>
        <v>1.00672085504778</v>
      </c>
      <c r="H205" s="64">
        <f>_book!$M$200</f>
        <v>1</v>
      </c>
      <c r="I205" s="63">
        <f>_book!$O$200</f>
        <v>0.625285990795726</v>
      </c>
      <c r="J205" s="63">
        <f>_book!$P$200</f>
        <v>0.59010200107377775</v>
      </c>
      <c r="K205" s="65">
        <f>_book!$T$200</f>
        <v>-1.466981132075462E-2</v>
      </c>
      <c r="L205" s="65">
        <f>_book!$U$200</f>
        <v>4.4066254966729002E-2</v>
      </c>
      <c r="M205" s="65" t="str">
        <f>IF(_book!$V$200=0,"—",_book!$W$200)</f>
        <v>—</v>
      </c>
      <c r="N205" s="63">
        <f>_book!$Y$200</f>
        <v>0.625285990795726</v>
      </c>
      <c r="O205" s="66" t="str">
        <f>IF(_book!$V$200=0,"—",_book!$AA$200)</f>
        <v>—</v>
      </c>
      <c r="P205" s="67">
        <f>_book!$AC$200</f>
        <v>1</v>
      </c>
      <c r="Q205" s="67">
        <f>_book!$AD$200</f>
        <v>1</v>
      </c>
    </row>
    <row r="206" spans="1:17" x14ac:dyDescent="0.3">
      <c r="A206" s="61" t="str">
        <f>_book!$A$201</f>
        <v>Workers Comp</v>
      </c>
      <c r="B206" s="61" t="str">
        <f>_book!$B$201</f>
        <v>ABD</v>
      </c>
      <c r="C206" s="61" t="str">
        <f>_book!$C$201</f>
        <v>MI</v>
      </c>
      <c r="D206" s="62">
        <f>_book!$F$201</f>
        <v>57000</v>
      </c>
      <c r="E206" s="63">
        <f>_book!$N$201</f>
        <v>0.59599999999999997</v>
      </c>
      <c r="F206" s="64">
        <f>_book!$K$201</f>
        <v>1.0068549492733749</v>
      </c>
      <c r="G206" s="64">
        <f>_book!$L$201</f>
        <v>1.01123595505618</v>
      </c>
      <c r="H206" s="64">
        <f>_book!$M$201</f>
        <v>1</v>
      </c>
      <c r="I206" s="63">
        <f>_book!$O$201</f>
        <v>0.60682808403397581</v>
      </c>
      <c r="J206" s="63">
        <f>_book!$P$201</f>
        <v>0.6026966292134831</v>
      </c>
      <c r="K206" s="65">
        <f>_book!$T$201</f>
        <v>-6.8082788671023353E-3</v>
      </c>
      <c r="L206" s="65">
        <f>_book!$U$201</f>
        <v>6.8549492733751549E-3</v>
      </c>
      <c r="M206" s="65" t="str">
        <f>IF(_book!$V$201=0,"—",_book!$W$201)</f>
        <v>—</v>
      </c>
      <c r="N206" s="63">
        <f>_book!$Y$201</f>
        <v>0.60682808403397581</v>
      </c>
      <c r="O206" s="66" t="str">
        <f>IF(_book!$V$201=0,"—",_book!$AA$201)</f>
        <v>—</v>
      </c>
      <c r="P206" s="67">
        <f>_book!$AC$201</f>
        <v>1</v>
      </c>
      <c r="Q206" s="67">
        <f>_book!$AD$201</f>
        <v>0</v>
      </c>
    </row>
    <row r="207" spans="1:17" x14ac:dyDescent="0.3">
      <c r="A207" s="61" t="str">
        <f>_book!$A$202</f>
        <v>Workers Comp</v>
      </c>
      <c r="B207" s="61" t="str">
        <f>_book!$B$202</f>
        <v>ABD</v>
      </c>
      <c r="C207" s="61" t="str">
        <f>_book!$C$202</f>
        <v>MN</v>
      </c>
      <c r="D207" s="62">
        <f>_book!$F$202</f>
        <v>45000</v>
      </c>
      <c r="E207" s="63">
        <f>_book!$N$202</f>
        <v>0.57999999999999996</v>
      </c>
      <c r="F207" s="64">
        <f>_book!$K$202</f>
        <v>1</v>
      </c>
      <c r="G207" s="64">
        <f>_book!$L$202</f>
        <v>1.0078458458979691</v>
      </c>
      <c r="H207" s="64">
        <f>_book!$M$202</f>
        <v>1</v>
      </c>
      <c r="I207" s="63">
        <f>_book!$O$202</f>
        <v>0.58455059062082193</v>
      </c>
      <c r="J207" s="63">
        <f>_book!$P$202</f>
        <v>0.57808299037724586</v>
      </c>
      <c r="K207" s="65">
        <f>_book!$T$202</f>
        <v>0</v>
      </c>
      <c r="L207" s="65">
        <f>_book!$U$202</f>
        <v>0</v>
      </c>
      <c r="M207" s="65" t="str">
        <f>IF(_book!$V$202=0,"—",_book!$W$202)</f>
        <v>—</v>
      </c>
      <c r="N207" s="63">
        <f>_book!$Y$202</f>
        <v>0.58455059062082193</v>
      </c>
      <c r="O207" s="66" t="str">
        <f>IF(_book!$V$202=0,"—",_book!$AA$202)</f>
        <v>—</v>
      </c>
      <c r="P207" s="67">
        <f>_book!$AC$202</f>
        <v>0</v>
      </c>
      <c r="Q207" s="67">
        <f>_book!$AD$202</f>
        <v>0</v>
      </c>
    </row>
    <row r="208" spans="1:17" x14ac:dyDescent="0.3">
      <c r="A208" s="61" t="str">
        <f>_book!$A$203</f>
        <v>Workers Comp</v>
      </c>
      <c r="B208" s="61" t="str">
        <f>_book!$B$203</f>
        <v>ABD</v>
      </c>
      <c r="C208" s="61" t="str">
        <f>_book!$C$203</f>
        <v>NM</v>
      </c>
      <c r="D208" s="62">
        <f>_book!$F$203</f>
        <v>33000</v>
      </c>
      <c r="E208" s="63">
        <f>_book!$N$203</f>
        <v>0.60799999999999998</v>
      </c>
      <c r="F208" s="64">
        <f>_book!$K$203</f>
        <v>0.99999999999999978</v>
      </c>
      <c r="G208" s="64">
        <f>_book!$L$203</f>
        <v>1.0123710652961491</v>
      </c>
      <c r="H208" s="64">
        <f>_book!$M$203</f>
        <v>1</v>
      </c>
      <c r="I208" s="63">
        <f>_book!$O$203</f>
        <v>0.61552160770005848</v>
      </c>
      <c r="J208" s="63">
        <f>_book!$P$203</f>
        <v>0.61783607259700524</v>
      </c>
      <c r="K208" s="65">
        <f>_book!$T$203</f>
        <v>0</v>
      </c>
      <c r="L208" s="65">
        <f>_book!$U$203</f>
        <v>0</v>
      </c>
      <c r="M208" s="65" t="str">
        <f>IF(_book!$V$203=0,"—",_book!$W$203)</f>
        <v>—</v>
      </c>
      <c r="N208" s="63">
        <f>_book!$Y$203</f>
        <v>0.61552160770005848</v>
      </c>
      <c r="O208" s="66" t="str">
        <f>IF(_book!$V$203=0,"—",_book!$AA$203)</f>
        <v>—</v>
      </c>
      <c r="P208" s="67">
        <f>_book!$AC$203</f>
        <v>1</v>
      </c>
      <c r="Q208" s="67">
        <f>_book!$AD$203</f>
        <v>0</v>
      </c>
    </row>
    <row r="209" spans="1:17" x14ac:dyDescent="0.3">
      <c r="A209" s="61" t="str">
        <f>_book!$A$204</f>
        <v>Workers Comp</v>
      </c>
      <c r="B209" s="61" t="str">
        <f>_book!$B$204</f>
        <v>ABD</v>
      </c>
      <c r="C209" s="61" t="str">
        <f>_book!$C$204</f>
        <v>NC</v>
      </c>
      <c r="D209" s="62">
        <f>_book!$F$204</f>
        <v>72000</v>
      </c>
      <c r="E209" s="63">
        <f>_book!$N$204</f>
        <v>0.59199999999999997</v>
      </c>
      <c r="F209" s="64">
        <f>_book!$K$204</f>
        <v>0.9890368664800232</v>
      </c>
      <c r="G209" s="64">
        <f>_book!$L$204</f>
        <v>1.0089733538715031</v>
      </c>
      <c r="H209" s="64">
        <f>_book!$M$204</f>
        <v>1</v>
      </c>
      <c r="I209" s="63">
        <f>_book!$O$204</f>
        <v>0.59076381181074711</v>
      </c>
      <c r="J209" s="63">
        <f>_book!$P$204</f>
        <v>0.57076788484253627</v>
      </c>
      <c r="K209" s="65">
        <f>_book!$T$204</f>
        <v>1.108465608465603E-2</v>
      </c>
      <c r="L209" s="65">
        <f>_book!$U$204</f>
        <v>2.7362045056124051E-2</v>
      </c>
      <c r="M209" s="65" t="str">
        <f>IF(_book!$V$204=0,"—",_book!$W$204)</f>
        <v>—</v>
      </c>
      <c r="N209" s="63">
        <f>_book!$Y$204</f>
        <v>0.59076381181074711</v>
      </c>
      <c r="O209" s="66" t="str">
        <f>IF(_book!$V$204=0,"—",_book!$AA$204)</f>
        <v>—</v>
      </c>
      <c r="P209" s="67">
        <f>_book!$AC$204</f>
        <v>1</v>
      </c>
      <c r="Q209" s="67">
        <f>_book!$AD$204</f>
        <v>1</v>
      </c>
    </row>
    <row r="210" spans="1:17" x14ac:dyDescent="0.3">
      <c r="A210" s="61" t="str">
        <f>_book!$A$205</f>
        <v>Workers Comp</v>
      </c>
      <c r="B210" s="61" t="str">
        <f>_book!$B$205</f>
        <v>ABD</v>
      </c>
      <c r="C210" s="61" t="str">
        <f>_book!$C$205</f>
        <v>OH</v>
      </c>
      <c r="D210" s="62">
        <f>_book!$F$205</f>
        <v>60000</v>
      </c>
      <c r="E210" s="63">
        <f>_book!$N$205</f>
        <v>0.62</v>
      </c>
      <c r="F210" s="64">
        <f>_book!$K$205</f>
        <v>1</v>
      </c>
      <c r="G210" s="64">
        <f>_book!$L$205</f>
        <v>1.0135087267175451</v>
      </c>
      <c r="H210" s="64">
        <f>_book!$M$205</f>
        <v>1</v>
      </c>
      <c r="I210" s="63">
        <f>_book!$O$205</f>
        <v>0.62837541056487767</v>
      </c>
      <c r="J210" s="63">
        <f>_book!$P$205</f>
        <v>0.63312421214248316</v>
      </c>
      <c r="K210" s="65">
        <f>_book!$T$205</f>
        <v>0</v>
      </c>
      <c r="L210" s="65">
        <f>_book!$U$205</f>
        <v>0</v>
      </c>
      <c r="M210" s="65" t="str">
        <f>IF(_book!$V$205=0,"—",_book!$W$205)</f>
        <v>—</v>
      </c>
      <c r="N210" s="63">
        <f>_book!$Y$205</f>
        <v>0.62837541056487767</v>
      </c>
      <c r="O210" s="66" t="str">
        <f>IF(_book!$V$205=0,"—",_book!$AA$205)</f>
        <v>—</v>
      </c>
      <c r="P210" s="67">
        <f>_book!$AC$205</f>
        <v>0</v>
      </c>
      <c r="Q210" s="67">
        <f>_book!$AD$205</f>
        <v>0</v>
      </c>
    </row>
    <row r="211" spans="1:17" x14ac:dyDescent="0.3">
      <c r="A211" s="61" t="str">
        <f>_book!$A$206</f>
        <v>Workers Comp</v>
      </c>
      <c r="B211" s="61" t="str">
        <f>_book!$B$206</f>
        <v>ABD</v>
      </c>
      <c r="C211" s="61" t="str">
        <f>_book!$C$206</f>
        <v>PA</v>
      </c>
      <c r="D211" s="62">
        <f>_book!$F$206</f>
        <v>48000</v>
      </c>
      <c r="E211" s="63">
        <f>_book!$N$206</f>
        <v>0.60399999999999998</v>
      </c>
      <c r="F211" s="64">
        <f>_book!$K$206</f>
        <v>1.000613120784795</v>
      </c>
      <c r="G211" s="64">
        <f>_book!$L$206</f>
        <v>1.010103387425793</v>
      </c>
      <c r="H211" s="64">
        <f>_book!$M$206</f>
        <v>1</v>
      </c>
      <c r="I211" s="63">
        <f>_book!$O$206</f>
        <v>0.61047651249567869</v>
      </c>
      <c r="J211" s="63">
        <f>_book!$P$206</f>
        <v>0.60783056294077487</v>
      </c>
      <c r="K211" s="65">
        <f>_book!$T$206</f>
        <v>-6.1274509803932453E-4</v>
      </c>
      <c r="L211" s="65">
        <f>_book!$U$206</f>
        <v>6.1312078479458521E-4</v>
      </c>
      <c r="M211" s="65" t="str">
        <f>IF(_book!$V$206=0,"—",_book!$W$206)</f>
        <v>—</v>
      </c>
      <c r="N211" s="63">
        <f>_book!$Y$206</f>
        <v>0.61047651249567869</v>
      </c>
      <c r="O211" s="66" t="str">
        <f>IF(_book!$V$206=0,"—",_book!$AA$206)</f>
        <v>—</v>
      </c>
      <c r="P211" s="67">
        <f>_book!$AC$206</f>
        <v>1</v>
      </c>
      <c r="Q211" s="67">
        <f>_book!$AD$206</f>
        <v>0</v>
      </c>
    </row>
    <row r="212" spans="1:17" x14ac:dyDescent="0.3">
      <c r="A212" s="61" t="str">
        <f>_book!$A$207</f>
        <v>Workers Comp</v>
      </c>
      <c r="B212" s="61" t="str">
        <f>_book!$B$207</f>
        <v>ABD</v>
      </c>
      <c r="C212" s="61" t="str">
        <f>_book!$C$207</f>
        <v>SC</v>
      </c>
      <c r="D212" s="62">
        <f>_book!$F$207</f>
        <v>36000</v>
      </c>
      <c r="E212" s="63">
        <f>_book!$N$207</f>
        <v>0.58799999999999997</v>
      </c>
      <c r="F212" s="64">
        <f>_book!$K$207</f>
        <v>1.00162074554295</v>
      </c>
      <c r="G212" s="64">
        <f>_book!$L$207</f>
        <v>1.00672085504778</v>
      </c>
      <c r="H212" s="64">
        <f>_book!$M$207</f>
        <v>1</v>
      </c>
      <c r="I212" s="63">
        <f>_book!$O$207</f>
        <v>0.59291126611131684</v>
      </c>
      <c r="J212" s="63">
        <f>_book!$P$207</f>
        <v>0.58326086758093709</v>
      </c>
      <c r="K212" s="65">
        <f>_book!$T$207</f>
        <v>-1.618122977346093E-3</v>
      </c>
      <c r="L212" s="65">
        <f>_book!$U$207</f>
        <v>1.620745542949775E-3</v>
      </c>
      <c r="M212" s="65" t="str">
        <f>IF(_book!$V$207=0,"—",_book!$W$207)</f>
        <v>—</v>
      </c>
      <c r="N212" s="63">
        <f>_book!$Y$207</f>
        <v>0.59291126611131684</v>
      </c>
      <c r="O212" s="66" t="str">
        <f>IF(_book!$V$207=0,"—",_book!$AA$207)</f>
        <v>—</v>
      </c>
      <c r="P212" s="67">
        <f>_book!$AC$207</f>
        <v>1</v>
      </c>
      <c r="Q212" s="67">
        <f>_book!$AD$207</f>
        <v>0</v>
      </c>
    </row>
    <row r="213" spans="1:17" x14ac:dyDescent="0.3">
      <c r="A213" s="61" t="str">
        <f>_book!$A$208</f>
        <v>Workers Comp</v>
      </c>
      <c r="B213" s="61" t="str">
        <f>_book!$B$208</f>
        <v>ABD</v>
      </c>
      <c r="C213" s="61" t="str">
        <f>_book!$C$208</f>
        <v>TN</v>
      </c>
      <c r="D213" s="62">
        <f>_book!$F$208</f>
        <v>24000</v>
      </c>
      <c r="E213" s="63">
        <f>_book!$N$208</f>
        <v>0.61599999999999999</v>
      </c>
      <c r="F213" s="64">
        <f>_book!$K$208</f>
        <v>0.9965397923875432</v>
      </c>
      <c r="G213" s="64">
        <f>_book!$L$208</f>
        <v>1.01123595505618</v>
      </c>
      <c r="H213" s="64">
        <f>_book!$M$208</f>
        <v>1</v>
      </c>
      <c r="I213" s="63">
        <f>_book!$O$208</f>
        <v>0.62076591112320656</v>
      </c>
      <c r="J213" s="63">
        <f>_book!$P$208</f>
        <v>0.6029081473135055</v>
      </c>
      <c r="K213" s="65">
        <f>_book!$T$208</f>
        <v>3.4722222222223209E-3</v>
      </c>
      <c r="L213" s="65">
        <f>_book!$U$208</f>
        <v>2.9619377162629631E-2</v>
      </c>
      <c r="M213" s="65" t="str">
        <f>IF(_book!$V$208=0,"—",_book!$W$208)</f>
        <v>—</v>
      </c>
      <c r="N213" s="63">
        <f>_book!$Y$208</f>
        <v>0.62076591112320656</v>
      </c>
      <c r="O213" s="66" t="str">
        <f>IF(_book!$V$208=0,"—",_book!$AA$208)</f>
        <v>—</v>
      </c>
      <c r="P213" s="67">
        <f>_book!$AC$208</f>
        <v>0</v>
      </c>
      <c r="Q213" s="67">
        <f>_book!$AD$208</f>
        <v>1</v>
      </c>
    </row>
    <row r="214" spans="1:17" x14ac:dyDescent="0.3">
      <c r="A214" s="61" t="str">
        <f>_book!$A$209</f>
        <v>Workers Comp</v>
      </c>
      <c r="B214" s="61" t="str">
        <f>_book!$B$209</f>
        <v>ABD</v>
      </c>
      <c r="C214" s="61" t="str">
        <f>_book!$C$209</f>
        <v>VA</v>
      </c>
      <c r="D214" s="62">
        <f>_book!$F$209</f>
        <v>63000</v>
      </c>
      <c r="E214" s="63">
        <f>_book!$N$209</f>
        <v>0.6</v>
      </c>
      <c r="F214" s="64">
        <f>_book!$K$209</f>
        <v>1.005988023952096</v>
      </c>
      <c r="G214" s="64">
        <f>_book!$L$209</f>
        <v>1.0078458458979691</v>
      </c>
      <c r="H214" s="64">
        <f>_book!$M$209</f>
        <v>1</v>
      </c>
      <c r="I214" s="63">
        <f>_book!$O$209</f>
        <v>0.6083285105779358</v>
      </c>
      <c r="J214" s="63">
        <f>_book!$P$209</f>
        <v>0.59801688659715091</v>
      </c>
      <c r="K214" s="65">
        <f>_book!$T$209</f>
        <v>-5.9523809523810423E-3</v>
      </c>
      <c r="L214" s="65">
        <f>_book!$U$209</f>
        <v>5.9880239520959666E-3</v>
      </c>
      <c r="M214" s="65" t="str">
        <f>IF(_book!$V$209=0,"—",_book!$W$209)</f>
        <v>—</v>
      </c>
      <c r="N214" s="63">
        <f>_book!$Y$209</f>
        <v>0.6083285105779358</v>
      </c>
      <c r="O214" s="66" t="str">
        <f>IF(_book!$V$209=0,"—",_book!$AA$209)</f>
        <v>—</v>
      </c>
      <c r="P214" s="67">
        <f>_book!$AC$209</f>
        <v>1</v>
      </c>
      <c r="Q214" s="67">
        <f>_book!$AD$209</f>
        <v>0</v>
      </c>
    </row>
    <row r="215" spans="1:17" x14ac:dyDescent="0.3">
      <c r="A215" s="61" t="str">
        <f>_book!$A$210</f>
        <v>Workers Comp</v>
      </c>
      <c r="B215" s="61" t="str">
        <f>_book!$B$210</f>
        <v>ABD</v>
      </c>
      <c r="C215" s="61" t="str">
        <f>_book!$C$210</f>
        <v>WV</v>
      </c>
      <c r="D215" s="62">
        <f>_book!$F$210</f>
        <v>51000</v>
      </c>
      <c r="E215" s="63">
        <f>_book!$N$210</f>
        <v>0.58399999999999996</v>
      </c>
      <c r="F215" s="64">
        <f>_book!$K$210</f>
        <v>1.009724151617384</v>
      </c>
      <c r="G215" s="64">
        <f>_book!$L$210</f>
        <v>1.0123710652961491</v>
      </c>
      <c r="H215" s="64">
        <f>_book!$M$210</f>
        <v>1</v>
      </c>
      <c r="I215" s="63">
        <f>_book!$O$210</f>
        <v>0.59697386077643488</v>
      </c>
      <c r="J215" s="63">
        <f>_book!$P$210</f>
        <v>0.59344780657343921</v>
      </c>
      <c r="K215" s="65">
        <f>_book!$T$210</f>
        <v>-9.630503144654079E-3</v>
      </c>
      <c r="L215" s="65">
        <f>_book!$U$210</f>
        <v>9.7241516173847131E-3</v>
      </c>
      <c r="M215" s="65" t="str">
        <f>IF(_book!$V$210=0,"—",_book!$W$210)</f>
        <v>—</v>
      </c>
      <c r="N215" s="63">
        <f>_book!$Y$210</f>
        <v>0.59697386077643488</v>
      </c>
      <c r="O215" s="66" t="str">
        <f>IF(_book!$V$210=0,"—",_book!$AA$210)</f>
        <v>—</v>
      </c>
      <c r="P215" s="67">
        <f>_book!$AC$210</f>
        <v>1</v>
      </c>
      <c r="Q215" s="67">
        <f>_book!$AD$210</f>
        <v>0</v>
      </c>
    </row>
    <row r="216" spans="1:17" x14ac:dyDescent="0.3">
      <c r="A216" s="61" t="str">
        <f>_book!$A$211</f>
        <v>Workers Comp</v>
      </c>
      <c r="B216" s="61" t="str">
        <f>_book!$B$211</f>
        <v>ABD</v>
      </c>
      <c r="C216" s="61" t="str">
        <f>_book!$C$211</f>
        <v>WI</v>
      </c>
      <c r="D216" s="62">
        <f>_book!$F$211</f>
        <v>39000</v>
      </c>
      <c r="E216" s="63">
        <f>_book!$N$211</f>
        <v>0.61199999999999999</v>
      </c>
      <c r="F216" s="64">
        <f>_book!$K$211</f>
        <v>1</v>
      </c>
      <c r="G216" s="64">
        <f>_book!$L$211</f>
        <v>1.0089733538715031</v>
      </c>
      <c r="H216" s="64">
        <f>_book!$M$211</f>
        <v>1</v>
      </c>
      <c r="I216" s="63">
        <f>_book!$O$211</f>
        <v>0.61749169256935976</v>
      </c>
      <c r="J216" s="63">
        <f>_book!$P$211</f>
        <v>0.61291504377140693</v>
      </c>
      <c r="K216" s="65">
        <f>_book!$T$211</f>
        <v>0</v>
      </c>
      <c r="L216" s="65">
        <f>_book!$U$211</f>
        <v>0</v>
      </c>
      <c r="M216" s="65" t="str">
        <f>IF(_book!$V$211=0,"—",_book!$W$211)</f>
        <v>—</v>
      </c>
      <c r="N216" s="63">
        <f>_book!$Y$211</f>
        <v>0.61749169256935976</v>
      </c>
      <c r="O216" s="66" t="str">
        <f>IF(_book!$V$211=0,"—",_book!$AA$211)</f>
        <v>—</v>
      </c>
      <c r="P216" s="67">
        <f>_book!$AC$211</f>
        <v>0</v>
      </c>
      <c r="Q216" s="67">
        <f>_book!$AD$211</f>
        <v>0</v>
      </c>
    </row>
    <row r="217" spans="1:17" x14ac:dyDescent="0.3">
      <c r="A217" s="61" t="str">
        <f>_book!$A$212</f>
        <v>Workers Comp</v>
      </c>
      <c r="B217" s="61" t="str">
        <f>_book!$B$212</f>
        <v>MM</v>
      </c>
      <c r="C217" s="61" t="str">
        <f>_book!$C$212</f>
        <v>AZ</v>
      </c>
      <c r="D217" s="62">
        <f>_book!$F$212</f>
        <v>27000</v>
      </c>
      <c r="E217" s="63">
        <f>_book!$N$212</f>
        <v>0.59599999999999997</v>
      </c>
      <c r="F217" s="64">
        <f>_book!$K$212</f>
        <v>0.99145975603886694</v>
      </c>
      <c r="G217" s="64">
        <f>_book!$L$212</f>
        <v>1.0135087267175451</v>
      </c>
      <c r="H217" s="64">
        <f>_book!$M$212</f>
        <v>1</v>
      </c>
      <c r="I217" s="63">
        <f>_book!$O$212</f>
        <v>0.59889245650104517</v>
      </c>
      <c r="J217" s="63">
        <f>_book!$P$212</f>
        <v>0.58528602677885178</v>
      </c>
      <c r="K217" s="65">
        <f>_book!$T$212</f>
        <v>8.6138079827400293E-3</v>
      </c>
      <c r="L217" s="65">
        <f>_book!$U$212</f>
        <v>3.098044353652751E-2</v>
      </c>
      <c r="M217" s="65" t="str">
        <f>IF(_book!$V$212=0,"—",_book!$W$212)</f>
        <v>—</v>
      </c>
      <c r="N217" s="63">
        <f>_book!$Y$212</f>
        <v>0.59889245650104517</v>
      </c>
      <c r="O217" s="66" t="str">
        <f>IF(_book!$V$212=0,"—",_book!$AA$212)</f>
        <v>—</v>
      </c>
      <c r="P217" s="67">
        <f>_book!$AC$212</f>
        <v>1</v>
      </c>
      <c r="Q217" s="67">
        <f>_book!$AD$212</f>
        <v>1</v>
      </c>
    </row>
    <row r="218" spans="1:17" x14ac:dyDescent="0.3">
      <c r="A218" s="61" t="str">
        <f>_book!$A$213</f>
        <v>Workers Comp</v>
      </c>
      <c r="B218" s="61" t="str">
        <f>_book!$B$213</f>
        <v>MM</v>
      </c>
      <c r="C218" s="61" t="str">
        <f>_book!$C$213</f>
        <v>CO</v>
      </c>
      <c r="D218" s="62">
        <f>_book!$F$213</f>
        <v>66000</v>
      </c>
      <c r="E218" s="63">
        <f>_book!$N$213</f>
        <v>0.62639999999999996</v>
      </c>
      <c r="F218" s="64">
        <f>_book!$K$213</f>
        <v>1.013535462912831</v>
      </c>
      <c r="G218" s="64">
        <f>_book!$L$213</f>
        <v>1.010103387425793</v>
      </c>
      <c r="H218" s="64">
        <f>_book!$M$213</f>
        <v>1</v>
      </c>
      <c r="I218" s="63">
        <f>_book!$O$213</f>
        <v>0.64129303857387265</v>
      </c>
      <c r="J218" s="63">
        <f>_book!$P$213</f>
        <v>0.63667634978867915</v>
      </c>
      <c r="K218" s="65">
        <f>_book!$T$213</f>
        <v>-1.3354700854700811E-2</v>
      </c>
      <c r="L218" s="65">
        <f>_book!$U$213</f>
        <v>1.3535462912831701E-2</v>
      </c>
      <c r="M218" s="65" t="str">
        <f>IF(_book!$V$213=0,"—",_book!$W$213)</f>
        <v>—</v>
      </c>
      <c r="N218" s="63">
        <f>_book!$Y$213</f>
        <v>0.64129303857387265</v>
      </c>
      <c r="O218" s="66" t="str">
        <f>IF(_book!$V$213=0,"—",_book!$AA$213)</f>
        <v>—</v>
      </c>
      <c r="P218" s="67">
        <f>_book!$AC$213</f>
        <v>1</v>
      </c>
      <c r="Q218" s="67">
        <f>_book!$AD$213</f>
        <v>0</v>
      </c>
    </row>
    <row r="219" spans="1:17" x14ac:dyDescent="0.3">
      <c r="A219" s="61" t="str">
        <f>_book!$A$214</f>
        <v>Workers Comp</v>
      </c>
      <c r="B219" s="61" t="str">
        <f>_book!$B$214</f>
        <v>MM</v>
      </c>
      <c r="C219" s="61" t="str">
        <f>_book!$C$214</f>
        <v>DE</v>
      </c>
      <c r="D219" s="62">
        <f>_book!$F$214</f>
        <v>54000</v>
      </c>
      <c r="E219" s="63">
        <f>_book!$N$214</f>
        <v>0.60799999999999998</v>
      </c>
      <c r="F219" s="64">
        <f>_book!$K$214</f>
        <v>0.99554699171046557</v>
      </c>
      <c r="G219" s="64">
        <f>_book!$L$214</f>
        <v>0.99987657488405635</v>
      </c>
      <c r="H219" s="64">
        <f>_book!$M$214</f>
        <v>1.02</v>
      </c>
      <c r="I219" s="63">
        <f>_book!$O$214</f>
        <v>0.61732221990729674</v>
      </c>
      <c r="J219" s="63">
        <f>_book!$P$214</f>
        <v>0.58685864488521144</v>
      </c>
      <c r="K219" s="65">
        <f>_book!$T$214</f>
        <v>4.4729262672811299E-3</v>
      </c>
      <c r="L219" s="65">
        <f>_book!$U$214</f>
        <v>2.3332654725072951E-2</v>
      </c>
      <c r="M219" s="65" t="str">
        <f>IF(_book!$V$214=0,"—",_book!$W$214)</f>
        <v>—</v>
      </c>
      <c r="N219" s="63">
        <f>_book!$Y$214</f>
        <v>0.61732221990729674</v>
      </c>
      <c r="O219" s="66" t="str">
        <f>IF(_book!$V$214=0,"—",_book!$AA$214)</f>
        <v>—</v>
      </c>
      <c r="P219" s="67">
        <f>_book!$AC$214</f>
        <v>1</v>
      </c>
      <c r="Q219" s="67">
        <f>_book!$AD$214</f>
        <v>1</v>
      </c>
    </row>
    <row r="220" spans="1:17" x14ac:dyDescent="0.3">
      <c r="A220" s="61" t="str">
        <f>_book!$A$215</f>
        <v>Workers Comp</v>
      </c>
      <c r="B220" s="61" t="str">
        <f>_book!$B$215</f>
        <v>MM</v>
      </c>
      <c r="C220" s="61" t="str">
        <f>_book!$C$215</f>
        <v>FL</v>
      </c>
      <c r="D220" s="62">
        <f>_book!$F$215</f>
        <v>42000</v>
      </c>
      <c r="E220" s="63">
        <f>_book!$N$215</f>
        <v>0.59199999999999997</v>
      </c>
      <c r="F220" s="64">
        <f>_book!$K$215</f>
        <v>1.00418410041841</v>
      </c>
      <c r="G220" s="64">
        <f>_book!$L$215</f>
        <v>1.01123595505618</v>
      </c>
      <c r="H220" s="64">
        <f>_book!$M$215</f>
        <v>1</v>
      </c>
      <c r="I220" s="63">
        <f>_book!$O$215</f>
        <v>0.60115650416059407</v>
      </c>
      <c r="J220" s="63">
        <f>_book!$P$215</f>
        <v>0.57159613500311102</v>
      </c>
      <c r="K220" s="65">
        <f>_book!$T$215</f>
        <v>-4.1666666666666519E-3</v>
      </c>
      <c r="L220" s="65">
        <f>_book!$U$215</f>
        <v>5.1715481171548117E-2</v>
      </c>
      <c r="M220" s="65" t="str">
        <f>IF(_book!$V$215=0,"—",_book!$W$215)</f>
        <v>—</v>
      </c>
      <c r="N220" s="63">
        <f>_book!$Y$215</f>
        <v>0.60115650416059407</v>
      </c>
      <c r="O220" s="66" t="str">
        <f>IF(_book!$V$215=0,"—",_book!$AA$215)</f>
        <v>—</v>
      </c>
      <c r="P220" s="67">
        <f>_book!$AC$215</f>
        <v>1</v>
      </c>
      <c r="Q220" s="67">
        <f>_book!$AD$215</f>
        <v>1</v>
      </c>
    </row>
    <row r="221" spans="1:17" x14ac:dyDescent="0.3">
      <c r="A221" s="61" t="str">
        <f>_book!$A$216</f>
        <v>Workers Comp</v>
      </c>
      <c r="B221" s="61" t="str">
        <f>_book!$B$216</f>
        <v>MM</v>
      </c>
      <c r="C221" s="61" t="str">
        <f>_book!$C$216</f>
        <v>GA</v>
      </c>
      <c r="D221" s="62">
        <f>_book!$F$216</f>
        <v>30000</v>
      </c>
      <c r="E221" s="63">
        <f>_book!$N$216</f>
        <v>0.62</v>
      </c>
      <c r="F221" s="64">
        <f>_book!$K$216</f>
        <v>0.99330761698144854</v>
      </c>
      <c r="G221" s="64">
        <f>_book!$L$216</f>
        <v>1.0078458458979691</v>
      </c>
      <c r="H221" s="64">
        <f>_book!$M$216</f>
        <v>1</v>
      </c>
      <c r="I221" s="63">
        <f>_book!$O$216</f>
        <v>0.62068259239360946</v>
      </c>
      <c r="J221" s="63">
        <f>_book!$P$216</f>
        <v>0.59617387595910509</v>
      </c>
      <c r="K221" s="65">
        <f>_book!$T$216</f>
        <v>6.7374727668845216E-3</v>
      </c>
      <c r="L221" s="65">
        <f>_book!$U$216</f>
        <v>2.9590936879521301E-2</v>
      </c>
      <c r="M221" s="65" t="str">
        <f>IF(_book!$V$216=0,"—",_book!$W$216)</f>
        <v>—</v>
      </c>
      <c r="N221" s="63">
        <f>_book!$Y$216</f>
        <v>0.62068259239360946</v>
      </c>
      <c r="O221" s="66" t="str">
        <f>IF(_book!$V$216=0,"—",_book!$AA$216)</f>
        <v>—</v>
      </c>
      <c r="P221" s="67">
        <f>_book!$AC$216</f>
        <v>1</v>
      </c>
      <c r="Q221" s="67">
        <f>_book!$AD$216</f>
        <v>1</v>
      </c>
    </row>
    <row r="222" spans="1:17" x14ac:dyDescent="0.3">
      <c r="A222" s="61" t="str">
        <f>_book!$A$217</f>
        <v>Workers Comp</v>
      </c>
      <c r="B222" s="61" t="str">
        <f>_book!$B$217</f>
        <v>MM</v>
      </c>
      <c r="C222" s="61" t="str">
        <f>_book!$C$217</f>
        <v>IA</v>
      </c>
      <c r="D222" s="62">
        <f>_book!$F$217</f>
        <v>69000</v>
      </c>
      <c r="E222" s="63">
        <f>_book!$N$217</f>
        <v>0.60399999999999998</v>
      </c>
      <c r="F222" s="64">
        <f>_book!$K$217</f>
        <v>1</v>
      </c>
      <c r="G222" s="64">
        <f>_book!$L$217</f>
        <v>1.0123710652961491</v>
      </c>
      <c r="H222" s="64">
        <f>_book!$M$217</f>
        <v>1</v>
      </c>
      <c r="I222" s="63">
        <f>_book!$O$217</f>
        <v>0.61147212343887403</v>
      </c>
      <c r="J222" s="63">
        <f>_book!$P$217</f>
        <v>0.61377136159307766</v>
      </c>
      <c r="K222" s="65">
        <f>_book!$T$217</f>
        <v>0</v>
      </c>
      <c r="L222" s="65">
        <f>_book!$U$217</f>
        <v>0</v>
      </c>
      <c r="M222" s="65" t="str">
        <f>IF(_book!$V$217=0,"—",_book!$W$217)</f>
        <v>—</v>
      </c>
      <c r="N222" s="63">
        <f>_book!$Y$217</f>
        <v>0.61147212343887403</v>
      </c>
      <c r="O222" s="66" t="str">
        <f>IF(_book!$V$217=0,"—",_book!$AA$217)</f>
        <v>—</v>
      </c>
      <c r="P222" s="67">
        <f>_book!$AC$217</f>
        <v>0</v>
      </c>
      <c r="Q222" s="67">
        <f>_book!$AD$217</f>
        <v>0</v>
      </c>
    </row>
    <row r="223" spans="1:17" x14ac:dyDescent="0.3">
      <c r="A223" s="61" t="str">
        <f>_book!$A$218</f>
        <v>Workers Comp</v>
      </c>
      <c r="B223" s="61" t="str">
        <f>_book!$B$218</f>
        <v>MM</v>
      </c>
      <c r="C223" s="61" t="str">
        <f>_book!$C$218</f>
        <v>IL</v>
      </c>
      <c r="D223" s="62">
        <f>_book!$F$218</f>
        <v>57000</v>
      </c>
      <c r="E223" s="63">
        <f>_book!$N$218</f>
        <v>0.58799999999999997</v>
      </c>
      <c r="F223" s="64">
        <f>_book!$K$218</f>
        <v>1.001203369434416</v>
      </c>
      <c r="G223" s="64">
        <f>_book!$L$218</f>
        <v>1.0089733538715031</v>
      </c>
      <c r="H223" s="64">
        <f>_book!$M$218</f>
        <v>1</v>
      </c>
      <c r="I223" s="63">
        <f>_book!$O$218</f>
        <v>0.59399026268062705</v>
      </c>
      <c r="J223" s="63">
        <f>_book!$P$218</f>
        <v>0.58887915970193994</v>
      </c>
      <c r="K223" s="65">
        <f>_book!$T$218</f>
        <v>-1.2019230769230169E-3</v>
      </c>
      <c r="L223" s="65">
        <f>_book!$U$218</f>
        <v>1.2033694344164569E-3</v>
      </c>
      <c r="M223" s="65" t="str">
        <f>IF(_book!$V$218=0,"—",_book!$W$218)</f>
        <v>—</v>
      </c>
      <c r="N223" s="63">
        <f>_book!$Y$218</f>
        <v>0.59399026268062705</v>
      </c>
      <c r="O223" s="66" t="str">
        <f>IF(_book!$V$218=0,"—",_book!$AA$218)</f>
        <v>—</v>
      </c>
      <c r="P223" s="67">
        <f>_book!$AC$218</f>
        <v>1</v>
      </c>
      <c r="Q223" s="67">
        <f>_book!$AD$218</f>
        <v>0</v>
      </c>
    </row>
    <row r="224" spans="1:17" x14ac:dyDescent="0.3">
      <c r="A224" s="61" t="str">
        <f>_book!$A$219</f>
        <v>Workers Comp</v>
      </c>
      <c r="B224" s="61" t="str">
        <f>_book!$B$219</f>
        <v>MM</v>
      </c>
      <c r="C224" s="61" t="str">
        <f>_book!$C$219</f>
        <v>IN</v>
      </c>
      <c r="D224" s="62">
        <f>_book!$F$219</f>
        <v>45000</v>
      </c>
      <c r="E224" s="63">
        <f>_book!$N$219</f>
        <v>0.61599999999999999</v>
      </c>
      <c r="F224" s="64">
        <f>_book!$K$219</f>
        <v>1.0026525198938989</v>
      </c>
      <c r="G224" s="64">
        <f>_book!$L$219</f>
        <v>1.0135087267175451</v>
      </c>
      <c r="H224" s="64">
        <f>_book!$M$219</f>
        <v>1</v>
      </c>
      <c r="I224" s="63">
        <f>_book!$O$219</f>
        <v>0.62597740052712691</v>
      </c>
      <c r="J224" s="63">
        <f>_book!$P$219</f>
        <v>0.62903953980608007</v>
      </c>
      <c r="K224" s="65">
        <f>_book!$T$219</f>
        <v>-2.6455026455026731E-3</v>
      </c>
      <c r="L224" s="65">
        <f>_book!$U$219</f>
        <v>2.6525198938991408E-3</v>
      </c>
      <c r="M224" s="65" t="str">
        <f>IF(_book!$V$219=0,"—",_book!$W$219)</f>
        <v>—</v>
      </c>
      <c r="N224" s="63">
        <f>_book!$Y$219</f>
        <v>0.62597740052712691</v>
      </c>
      <c r="O224" s="66" t="str">
        <f>IF(_book!$V$219=0,"—",_book!$AA$219)</f>
        <v>—</v>
      </c>
      <c r="P224" s="67">
        <f>_book!$AC$219</f>
        <v>1</v>
      </c>
      <c r="Q224" s="67">
        <f>_book!$AD$219</f>
        <v>0</v>
      </c>
    </row>
    <row r="225" spans="1:17" x14ac:dyDescent="0.3">
      <c r="A225" s="61" t="str">
        <f>_book!$A$220</f>
        <v>Workers Comp</v>
      </c>
      <c r="B225" s="61" t="str">
        <f>_book!$B$220</f>
        <v>MM</v>
      </c>
      <c r="C225" s="61" t="str">
        <f>_book!$C$220</f>
        <v>KY</v>
      </c>
      <c r="D225" s="62">
        <f>_book!$F$220</f>
        <v>33000</v>
      </c>
      <c r="E225" s="63">
        <f>_book!$N$220</f>
        <v>0.6</v>
      </c>
      <c r="F225" s="64">
        <f>_book!$K$220</f>
        <v>0.99875156054931336</v>
      </c>
      <c r="G225" s="64">
        <f>_book!$L$220</f>
        <v>1.010103387425793</v>
      </c>
      <c r="H225" s="64">
        <f>_book!$M$220</f>
        <v>1</v>
      </c>
      <c r="I225" s="63">
        <f>_book!$O$220</f>
        <v>0.60530540070459493</v>
      </c>
      <c r="J225" s="63">
        <f>_book!$P$220</f>
        <v>0.58693093071618907</v>
      </c>
      <c r="K225" s="65">
        <f>_book!$T$220</f>
        <v>1.2499999999999729E-3</v>
      </c>
      <c r="L225" s="65">
        <f>_book!$U$220</f>
        <v>2.7465667915106181E-2</v>
      </c>
      <c r="M225" s="65" t="str">
        <f>IF(_book!$V$220=0,"—",_book!$W$220)</f>
        <v>—</v>
      </c>
      <c r="N225" s="63">
        <f>_book!$Y$220</f>
        <v>0.60530540070459493</v>
      </c>
      <c r="O225" s="66" t="str">
        <f>IF(_book!$V$220=0,"—",_book!$AA$220)</f>
        <v>—</v>
      </c>
      <c r="P225" s="67">
        <f>_book!$AC$220</f>
        <v>0</v>
      </c>
      <c r="Q225" s="67">
        <f>_book!$AD$220</f>
        <v>1</v>
      </c>
    </row>
    <row r="226" spans="1:17" x14ac:dyDescent="0.3">
      <c r="A226" s="61" t="str">
        <f>_book!$A$221</f>
        <v>Workers Comp</v>
      </c>
      <c r="B226" s="61" t="str">
        <f>_book!$B$221</f>
        <v>MM</v>
      </c>
      <c r="C226" s="61" t="str">
        <f>_book!$C$221</f>
        <v>MD</v>
      </c>
      <c r="D226" s="62">
        <f>_book!$F$221</f>
        <v>72000</v>
      </c>
      <c r="E226" s="63">
        <f>_book!$N$221</f>
        <v>0.58399999999999996</v>
      </c>
      <c r="F226" s="64">
        <f>_book!$K$221</f>
        <v>1.002457002457003</v>
      </c>
      <c r="G226" s="64">
        <f>_book!$L$221</f>
        <v>1.00672085504778</v>
      </c>
      <c r="H226" s="64">
        <f>_book!$M$221</f>
        <v>1</v>
      </c>
      <c r="I226" s="63">
        <f>_book!$O$221</f>
        <v>0.58936951246669456</v>
      </c>
      <c r="J226" s="63">
        <f>_book!$P$221</f>
        <v>0.57929310657698541</v>
      </c>
      <c r="K226" s="65">
        <f>_book!$T$221</f>
        <v>-2.4509803921570761E-3</v>
      </c>
      <c r="L226" s="65">
        <f>_book!$U$221</f>
        <v>2.4570024570023108E-3</v>
      </c>
      <c r="M226" s="65" t="str">
        <f>IF(_book!$V$221=0,"—",_book!$W$221)</f>
        <v>—</v>
      </c>
      <c r="N226" s="63">
        <f>_book!$Y$221</f>
        <v>0.58936951246669456</v>
      </c>
      <c r="O226" s="66" t="str">
        <f>IF(_book!$V$221=0,"—",_book!$AA$221)</f>
        <v>—</v>
      </c>
      <c r="P226" s="67">
        <f>_book!$AC$221</f>
        <v>1</v>
      </c>
      <c r="Q226" s="67">
        <f>_book!$AD$221</f>
        <v>0</v>
      </c>
    </row>
    <row r="227" spans="1:17" x14ac:dyDescent="0.3">
      <c r="A227" s="61" t="str">
        <f>_book!$A$222</f>
        <v>Workers Comp</v>
      </c>
      <c r="B227" s="61" t="str">
        <f>_book!$B$222</f>
        <v>MM</v>
      </c>
      <c r="C227" s="61" t="str">
        <f>_book!$C$222</f>
        <v>MI</v>
      </c>
      <c r="D227" s="62">
        <f>_book!$F$222</f>
        <v>60000</v>
      </c>
      <c r="E227" s="63">
        <f>_book!$N$222</f>
        <v>0.61199999999999999</v>
      </c>
      <c r="F227" s="64">
        <f>_book!$K$222</f>
        <v>1.0049801809126939</v>
      </c>
      <c r="G227" s="64">
        <f>_book!$L$222</f>
        <v>1.01123595505618</v>
      </c>
      <c r="H227" s="64">
        <f>_book!$M$222</f>
        <v>1</v>
      </c>
      <c r="I227" s="63">
        <f>_book!$O$222</f>
        <v>0.6219585209513615</v>
      </c>
      <c r="J227" s="63">
        <f>_book!$P$222</f>
        <v>0.61887640449438175</v>
      </c>
      <c r="K227" s="65">
        <f>_book!$T$222</f>
        <v>-4.9555016181225264E-3</v>
      </c>
      <c r="L227" s="65">
        <f>_book!$U$222</f>
        <v>4.9801809126941432E-3</v>
      </c>
      <c r="M227" s="65" t="str">
        <f>IF(_book!$V$222=0,"—",_book!$W$222)</f>
        <v>—</v>
      </c>
      <c r="N227" s="63">
        <f>_book!$Y$222</f>
        <v>0.6219585209513615</v>
      </c>
      <c r="O227" s="66" t="str">
        <f>IF(_book!$V$222=0,"—",_book!$AA$222)</f>
        <v>—</v>
      </c>
      <c r="P227" s="67">
        <f>_book!$AC$222</f>
        <v>1</v>
      </c>
      <c r="Q227" s="67">
        <f>_book!$AD$222</f>
        <v>0</v>
      </c>
    </row>
    <row r="228" spans="1:17" x14ac:dyDescent="0.3">
      <c r="A228" s="61" t="str">
        <f>_book!$A$223</f>
        <v>Workers Comp</v>
      </c>
      <c r="B228" s="61" t="str">
        <f>_book!$B$223</f>
        <v>MM</v>
      </c>
      <c r="C228" s="61" t="str">
        <f>_book!$C$223</f>
        <v>MN</v>
      </c>
      <c r="D228" s="62">
        <f>_book!$F$223</f>
        <v>48000</v>
      </c>
      <c r="E228" s="63">
        <f>_book!$N$223</f>
        <v>0.59599999999999997</v>
      </c>
      <c r="F228" s="64">
        <f>_book!$K$223</f>
        <v>1</v>
      </c>
      <c r="G228" s="64">
        <f>_book!$L$223</f>
        <v>1.0078458458979691</v>
      </c>
      <c r="H228" s="64">
        <f>_book!$M$223</f>
        <v>1</v>
      </c>
      <c r="I228" s="63">
        <f>_book!$O$223</f>
        <v>0.60067612415518945</v>
      </c>
      <c r="J228" s="63">
        <f>_book!$P$223</f>
        <v>0.59403010735316986</v>
      </c>
      <c r="K228" s="65">
        <f>_book!$T$223</f>
        <v>0</v>
      </c>
      <c r="L228" s="65">
        <f>_book!$U$223</f>
        <v>0</v>
      </c>
      <c r="M228" s="65" t="str">
        <f>IF(_book!$V$223=0,"—",_book!$W$223)</f>
        <v>—</v>
      </c>
      <c r="N228" s="63">
        <f>_book!$Y$223</f>
        <v>0.60067612415518945</v>
      </c>
      <c r="O228" s="66" t="str">
        <f>IF(_book!$V$223=0,"—",_book!$AA$223)</f>
        <v>—</v>
      </c>
      <c r="P228" s="67">
        <f>_book!$AC$223</f>
        <v>0</v>
      </c>
      <c r="Q228" s="67">
        <f>_book!$AD$223</f>
        <v>0</v>
      </c>
    </row>
    <row r="229" spans="1:17" x14ac:dyDescent="0.3">
      <c r="A229" s="61" t="str">
        <f>_book!$A$224</f>
        <v>Workers Comp</v>
      </c>
      <c r="B229" s="61" t="str">
        <f>_book!$B$224</f>
        <v>MM</v>
      </c>
      <c r="C229" s="61" t="str">
        <f>_book!$C$224</f>
        <v>NM</v>
      </c>
      <c r="D229" s="62">
        <f>_book!$F$224</f>
        <v>36000</v>
      </c>
      <c r="E229" s="63">
        <f>_book!$N$224</f>
        <v>0.57999999999999996</v>
      </c>
      <c r="F229" s="64">
        <f>_book!$K$224</f>
        <v>1.002147458840372</v>
      </c>
      <c r="G229" s="64">
        <f>_book!$L$224</f>
        <v>1.0123710652961491</v>
      </c>
      <c r="H229" s="64">
        <f>_book!$M$224</f>
        <v>1</v>
      </c>
      <c r="I229" s="63">
        <f>_book!$O$224</f>
        <v>0.58843615248423264</v>
      </c>
      <c r="J229" s="63">
        <f>_book!$P$224</f>
        <v>0.56739648189604019</v>
      </c>
      <c r="K229" s="65">
        <f>_book!$T$224</f>
        <v>-2.1428571428572241E-3</v>
      </c>
      <c r="L229" s="65">
        <f>_book!$U$224</f>
        <v>4.0980672870436718E-2</v>
      </c>
      <c r="M229" s="65" t="str">
        <f>IF(_book!$V$224=0,"—",_book!$W$224)</f>
        <v>—</v>
      </c>
      <c r="N229" s="63">
        <f>_book!$Y$224</f>
        <v>0.58843615248423264</v>
      </c>
      <c r="O229" s="66" t="str">
        <f>IF(_book!$V$224=0,"—",_book!$AA$224)</f>
        <v>—</v>
      </c>
      <c r="P229" s="67">
        <f>_book!$AC$224</f>
        <v>1</v>
      </c>
      <c r="Q229" s="67">
        <f>_book!$AD$224</f>
        <v>1</v>
      </c>
    </row>
    <row r="230" spans="1:17" x14ac:dyDescent="0.3">
      <c r="A230" s="61" t="str">
        <f>_book!$A$225</f>
        <v>Workers Comp</v>
      </c>
      <c r="B230" s="61" t="str">
        <f>_book!$B$225</f>
        <v>MM</v>
      </c>
      <c r="C230" s="61" t="str">
        <f>_book!$C$225</f>
        <v>NC</v>
      </c>
      <c r="D230" s="62">
        <f>_book!$F$225</f>
        <v>24000</v>
      </c>
      <c r="E230" s="63">
        <f>_book!$N$225</f>
        <v>0.60799999999999998</v>
      </c>
      <c r="F230" s="64">
        <f>_book!$K$225</f>
        <v>1.020048115477145</v>
      </c>
      <c r="G230" s="64">
        <f>_book!$L$225</f>
        <v>1.0089733538715031</v>
      </c>
      <c r="H230" s="64">
        <f>_book!$M$225</f>
        <v>1</v>
      </c>
      <c r="I230" s="63">
        <f>_book!$O$225</f>
        <v>0.62575443185543489</v>
      </c>
      <c r="J230" s="63">
        <f>_book!$P$225</f>
        <v>0.60890906309316239</v>
      </c>
      <c r="K230" s="65">
        <f>_book!$T$225</f>
        <v>-1.965408805031443E-2</v>
      </c>
      <c r="L230" s="65">
        <f>_book!$U$225</f>
        <v>2.0048115477145249E-2</v>
      </c>
      <c r="M230" s="65" t="str">
        <f>IF(_book!$V$225=0,"—",_book!$W$225)</f>
        <v>—</v>
      </c>
      <c r="N230" s="63">
        <f>_book!$Y$225</f>
        <v>0.62575443185543489</v>
      </c>
      <c r="O230" s="66" t="str">
        <f>IF(_book!$V$225=0,"—",_book!$AA$225)</f>
        <v>—</v>
      </c>
      <c r="P230" s="67">
        <f>_book!$AC$225</f>
        <v>1</v>
      </c>
      <c r="Q230" s="67">
        <f>_book!$AD$225</f>
        <v>0</v>
      </c>
    </row>
    <row r="231" spans="1:17" x14ac:dyDescent="0.3">
      <c r="A231" s="61" t="str">
        <f>_book!$A$226</f>
        <v>Workers Comp</v>
      </c>
      <c r="B231" s="61" t="str">
        <f>_book!$B$226</f>
        <v>MM</v>
      </c>
      <c r="C231" s="61" t="str">
        <f>_book!$C$226</f>
        <v>OH</v>
      </c>
      <c r="D231" s="62">
        <f>_book!$F$226</f>
        <v>63000</v>
      </c>
      <c r="E231" s="63">
        <f>_book!$N$226</f>
        <v>0.59199999999999997</v>
      </c>
      <c r="F231" s="64">
        <f>_book!$K$226</f>
        <v>1</v>
      </c>
      <c r="G231" s="64">
        <f>_book!$L$226</f>
        <v>1.0135087267175451</v>
      </c>
      <c r="H231" s="64">
        <f>_book!$M$226</f>
        <v>1</v>
      </c>
      <c r="I231" s="63">
        <f>_book!$O$226</f>
        <v>0.59999716621678645</v>
      </c>
      <c r="J231" s="63">
        <f>_book!$P$226</f>
        <v>0.60453150578766135</v>
      </c>
      <c r="K231" s="65">
        <f>_book!$T$226</f>
        <v>0</v>
      </c>
      <c r="L231" s="65">
        <f>_book!$U$226</f>
        <v>0</v>
      </c>
      <c r="M231" s="65" t="str">
        <f>IF(_book!$V$226=0,"—",_book!$W$226)</f>
        <v>—</v>
      </c>
      <c r="N231" s="63">
        <f>_book!$Y$226</f>
        <v>0.59999716621678645</v>
      </c>
      <c r="O231" s="66" t="str">
        <f>IF(_book!$V$226=0,"—",_book!$AA$226)</f>
        <v>—</v>
      </c>
      <c r="P231" s="67">
        <f>_book!$AC$226</f>
        <v>0</v>
      </c>
      <c r="Q231" s="67">
        <f>_book!$AD$226</f>
        <v>0</v>
      </c>
    </row>
    <row r="232" spans="1:17" x14ac:dyDescent="0.3">
      <c r="A232" s="61" t="str">
        <f>_book!$A$227</f>
        <v>Workers Comp</v>
      </c>
      <c r="B232" s="61" t="str">
        <f>_book!$B$227</f>
        <v>MM</v>
      </c>
      <c r="C232" s="61" t="str">
        <f>_book!$C$227</f>
        <v>PA</v>
      </c>
      <c r="D232" s="62">
        <f>_book!$F$227</f>
        <v>51000</v>
      </c>
      <c r="E232" s="63">
        <f>_book!$N$227</f>
        <v>0.62</v>
      </c>
      <c r="F232" s="64">
        <f>_book!$K$227</f>
        <v>0.99999999999999978</v>
      </c>
      <c r="G232" s="64">
        <f>_book!$L$227</f>
        <v>1.010103387425793</v>
      </c>
      <c r="H232" s="64">
        <f>_book!$M$227</f>
        <v>1</v>
      </c>
      <c r="I232" s="63">
        <f>_book!$O$227</f>
        <v>0.62626410020399137</v>
      </c>
      <c r="J232" s="63">
        <f>_book!$P$227</f>
        <v>0.62393203480675541</v>
      </c>
      <c r="K232" s="65">
        <f>_book!$T$227</f>
        <v>0</v>
      </c>
      <c r="L232" s="65">
        <f>_book!$U$227</f>
        <v>0</v>
      </c>
      <c r="M232" s="65" t="str">
        <f>IF(_book!$V$227=0,"—",_book!$W$227)</f>
        <v>—</v>
      </c>
      <c r="N232" s="63">
        <f>_book!$Y$227</f>
        <v>0.62626410020399137</v>
      </c>
      <c r="O232" s="66" t="str">
        <f>IF(_book!$V$227=0,"—",_book!$AA$227)</f>
        <v>—</v>
      </c>
      <c r="P232" s="67">
        <f>_book!$AC$227</f>
        <v>1</v>
      </c>
      <c r="Q232" s="67">
        <f>_book!$AD$227</f>
        <v>0</v>
      </c>
    </row>
    <row r="233" spans="1:17" x14ac:dyDescent="0.3">
      <c r="A233" s="61" t="str">
        <f>_book!$A$228</f>
        <v>Workers Comp</v>
      </c>
      <c r="B233" s="61" t="str">
        <f>_book!$B$228</f>
        <v>MM</v>
      </c>
      <c r="C233" s="61" t="str">
        <f>_book!$C$228</f>
        <v>SC</v>
      </c>
      <c r="D233" s="62">
        <f>_book!$F$228</f>
        <v>39000</v>
      </c>
      <c r="E233" s="63">
        <f>_book!$N$228</f>
        <v>0.60399999999999998</v>
      </c>
      <c r="F233" s="64">
        <f>_book!$K$228</f>
        <v>0.99667243444695852</v>
      </c>
      <c r="G233" s="64">
        <f>_book!$L$228</f>
        <v>1.00672085504778</v>
      </c>
      <c r="H233" s="64">
        <f>_book!$M$228</f>
        <v>1</v>
      </c>
      <c r="I233" s="63">
        <f>_book!$O$228</f>
        <v>0.60603603894703284</v>
      </c>
      <c r="J233" s="63">
        <f>_book!$P$228</f>
        <v>0.57988301700451172</v>
      </c>
      <c r="K233" s="65">
        <f>_book!$T$228</f>
        <v>3.3386752136752569E-3</v>
      </c>
      <c r="L233" s="65">
        <f>_book!$U$228</f>
        <v>2.9756422201517641E-2</v>
      </c>
      <c r="M233" s="65" t="str">
        <f>IF(_book!$V$228=0,"—",_book!$W$228)</f>
        <v>—</v>
      </c>
      <c r="N233" s="63">
        <f>_book!$Y$228</f>
        <v>0.60603603894703284</v>
      </c>
      <c r="O233" s="66" t="str">
        <f>IF(_book!$V$228=0,"—",_book!$AA$228)</f>
        <v>—</v>
      </c>
      <c r="P233" s="67">
        <f>_book!$AC$228</f>
        <v>1</v>
      </c>
      <c r="Q233" s="67">
        <f>_book!$AD$228</f>
        <v>1</v>
      </c>
    </row>
    <row r="234" spans="1:17" x14ac:dyDescent="0.3">
      <c r="A234" s="61" t="str">
        <f>_book!$A$229</f>
        <v>Workers Comp</v>
      </c>
      <c r="B234" s="61" t="str">
        <f>_book!$B$229</f>
        <v>MM</v>
      </c>
      <c r="C234" s="61" t="str">
        <f>_book!$C$229</f>
        <v>TN</v>
      </c>
      <c r="D234" s="62">
        <f>_book!$F$229</f>
        <v>27000</v>
      </c>
      <c r="E234" s="63">
        <f>_book!$N$229</f>
        <v>0.58799999999999997</v>
      </c>
      <c r="F234" s="64">
        <f>_book!$K$229</f>
        <v>1</v>
      </c>
      <c r="G234" s="64">
        <f>_book!$L$229</f>
        <v>1.01123595505618</v>
      </c>
      <c r="H234" s="64">
        <f>_book!$M$229</f>
        <v>1</v>
      </c>
      <c r="I234" s="63">
        <f>_book!$O$229</f>
        <v>0.59460674157303361</v>
      </c>
      <c r="J234" s="63">
        <f>_book!$P$229</f>
        <v>0.59460674157303361</v>
      </c>
      <c r="K234" s="65">
        <f>_book!$T$229</f>
        <v>0</v>
      </c>
      <c r="L234" s="65">
        <f>_book!$U$229</f>
        <v>0</v>
      </c>
      <c r="M234" s="65" t="str">
        <f>IF(_book!$V$229=0,"—",_book!$W$229)</f>
        <v>—</v>
      </c>
      <c r="N234" s="63">
        <f>_book!$Y$229</f>
        <v>0.59460674157303361</v>
      </c>
      <c r="O234" s="66" t="str">
        <f>IF(_book!$V$229=0,"—",_book!$AA$229)</f>
        <v>—</v>
      </c>
      <c r="P234" s="67">
        <f>_book!$AC$229</f>
        <v>0</v>
      </c>
      <c r="Q234" s="67">
        <f>_book!$AD$229</f>
        <v>0</v>
      </c>
    </row>
    <row r="235" spans="1:17" x14ac:dyDescent="0.3">
      <c r="A235" s="61" t="str">
        <f>_book!$A$230</f>
        <v>Workers Comp</v>
      </c>
      <c r="B235" s="61" t="str">
        <f>_book!$B$230</f>
        <v>MM</v>
      </c>
      <c r="C235" s="61" t="str">
        <f>_book!$C$230</f>
        <v>VA</v>
      </c>
      <c r="D235" s="62">
        <f>_book!$F$230</f>
        <v>66000</v>
      </c>
      <c r="E235" s="63">
        <f>_book!$N$230</f>
        <v>0.61599999999999999</v>
      </c>
      <c r="F235" s="64">
        <f>_book!$K$230</f>
        <v>1.0017720023626699</v>
      </c>
      <c r="G235" s="64">
        <f>_book!$L$230</f>
        <v>1.0078458458979691</v>
      </c>
      <c r="H235" s="64">
        <f>_book!$M$230</f>
        <v>1</v>
      </c>
      <c r="I235" s="63">
        <f>_book!$O$230</f>
        <v>0.62193315868875387</v>
      </c>
      <c r="J235" s="63">
        <f>_book!$P$230</f>
        <v>0.61396400357307479</v>
      </c>
      <c r="K235" s="65">
        <f>_book!$T$230</f>
        <v>-1.768867924528128E-3</v>
      </c>
      <c r="L235" s="65">
        <f>_book!$U$230</f>
        <v>1.7720023626699439E-3</v>
      </c>
      <c r="M235" s="65" t="str">
        <f>IF(_book!$V$230=0,"—",_book!$W$230)</f>
        <v>—</v>
      </c>
      <c r="N235" s="63">
        <f>_book!$Y$230</f>
        <v>0.62193315868875387</v>
      </c>
      <c r="O235" s="66" t="str">
        <f>IF(_book!$V$230=0,"—",_book!$AA$230)</f>
        <v>—</v>
      </c>
      <c r="P235" s="67">
        <f>_book!$AC$230</f>
        <v>1</v>
      </c>
      <c r="Q235" s="67">
        <f>_book!$AD$230</f>
        <v>0</v>
      </c>
    </row>
    <row r="236" spans="1:17" x14ac:dyDescent="0.3">
      <c r="A236" s="61" t="str">
        <f>_book!$A$231</f>
        <v>Workers Comp</v>
      </c>
      <c r="B236" s="61" t="str">
        <f>_book!$B$231</f>
        <v>MM</v>
      </c>
      <c r="C236" s="61" t="str">
        <f>_book!$C$231</f>
        <v>WV</v>
      </c>
      <c r="D236" s="62">
        <f>_book!$F$231</f>
        <v>54000</v>
      </c>
      <c r="E236" s="63">
        <f>_book!$N$231</f>
        <v>0.6</v>
      </c>
      <c r="F236" s="64">
        <f>_book!$K$231</f>
        <v>1.001090512540894</v>
      </c>
      <c r="G236" s="64">
        <f>_book!$L$231</f>
        <v>1.0123710652961491</v>
      </c>
      <c r="H236" s="64">
        <f>_book!$M$231</f>
        <v>1</v>
      </c>
      <c r="I236" s="63">
        <f>_book!$O$231</f>
        <v>0.60808504118333573</v>
      </c>
      <c r="J236" s="63">
        <f>_book!$P$231</f>
        <v>0.60970665058915019</v>
      </c>
      <c r="K236" s="65">
        <f>_book!$T$231</f>
        <v>-1.089324618736343E-3</v>
      </c>
      <c r="L236" s="65">
        <f>_book!$U$231</f>
        <v>1.090512540893984E-3</v>
      </c>
      <c r="M236" s="65" t="str">
        <f>IF(_book!$V$231=0,"—",_book!$W$231)</f>
        <v>—</v>
      </c>
      <c r="N236" s="63">
        <f>_book!$Y$231</f>
        <v>0.60808504118333573</v>
      </c>
      <c r="O236" s="66" t="str">
        <f>IF(_book!$V$231=0,"—",_book!$AA$231)</f>
        <v>—</v>
      </c>
      <c r="P236" s="67">
        <f>_book!$AC$231</f>
        <v>1</v>
      </c>
      <c r="Q236" s="67">
        <f>_book!$AD$231</f>
        <v>0</v>
      </c>
    </row>
    <row r="237" spans="1:17" x14ac:dyDescent="0.3">
      <c r="A237" s="61" t="str">
        <f>_book!$A$232</f>
        <v>Workers Comp</v>
      </c>
      <c r="B237" s="61" t="str">
        <f>_book!$B$232</f>
        <v>MM</v>
      </c>
      <c r="C237" s="61" t="str">
        <f>_book!$C$232</f>
        <v>WI</v>
      </c>
      <c r="D237" s="62">
        <f>_book!$F$232</f>
        <v>42000</v>
      </c>
      <c r="E237" s="63">
        <f>_book!$N$232</f>
        <v>0.58399999999999996</v>
      </c>
      <c r="F237" s="64">
        <f>_book!$K$232</f>
        <v>0.98347220325092199</v>
      </c>
      <c r="G237" s="64">
        <f>_book!$L$232</f>
        <v>1.0089733538715031</v>
      </c>
      <c r="H237" s="64">
        <f>_book!$M$232</f>
        <v>1</v>
      </c>
      <c r="I237" s="63">
        <f>_book!$O$232</f>
        <v>0.57950159245443178</v>
      </c>
      <c r="J237" s="63">
        <f>_book!$P$232</f>
        <v>0.56245317069194689</v>
      </c>
      <c r="K237" s="65">
        <f>_book!$T$232</f>
        <v>1.6805555555555522E-2</v>
      </c>
      <c r="L237" s="65">
        <f>_book!$U$232</f>
        <v>2.2674498019396468E-2</v>
      </c>
      <c r="M237" s="65" t="str">
        <f>IF(_book!$V$232=0,"—",_book!$W$232)</f>
        <v>—</v>
      </c>
      <c r="N237" s="63">
        <f>_book!$Y$232</f>
        <v>0.57950159245443178</v>
      </c>
      <c r="O237" s="66" t="str">
        <f>IF(_book!$V$232=0,"—",_book!$AA$232)</f>
        <v>—</v>
      </c>
      <c r="P237" s="67">
        <f>_book!$AC$232</f>
        <v>0</v>
      </c>
      <c r="Q237" s="67">
        <f>_book!$AD$232</f>
        <v>1</v>
      </c>
    </row>
    <row r="238" spans="1:17" x14ac:dyDescent="0.3">
      <c r="A238" s="61" t="str">
        <f>_book!$A$233</f>
        <v>Workers Comp</v>
      </c>
      <c r="B238" s="61" t="str">
        <f>_book!$B$233</f>
        <v>SBA</v>
      </c>
      <c r="C238" s="61" t="str">
        <f>_book!$C$233</f>
        <v>AZ</v>
      </c>
      <c r="D238" s="62">
        <f>_book!$F$233</f>
        <v>30000</v>
      </c>
      <c r="E238" s="63">
        <f>_book!$N$233</f>
        <v>0.61199999999999999</v>
      </c>
      <c r="F238" s="64">
        <f>_book!$K$233</f>
        <v>1.0048309178743959</v>
      </c>
      <c r="G238" s="64">
        <f>_book!$L$233</f>
        <v>1.0135087267175451</v>
      </c>
      <c r="H238" s="64">
        <f>_book!$M$233</f>
        <v>1</v>
      </c>
      <c r="I238" s="63">
        <f>_book!$O$233</f>
        <v>0.62326380133447601</v>
      </c>
      <c r="J238" s="63">
        <f>_book!$P$233</f>
        <v>0.62495486746967677</v>
      </c>
      <c r="K238" s="65">
        <f>_book!$T$233</f>
        <v>-4.8076923076921796E-3</v>
      </c>
      <c r="L238" s="65">
        <f>_book!$U$233</f>
        <v>4.8309178743961567E-3</v>
      </c>
      <c r="M238" s="65" t="str">
        <f>IF(_book!$V$233=0,"—",_book!$W$233)</f>
        <v>—</v>
      </c>
      <c r="N238" s="63">
        <f>_book!$Y$233</f>
        <v>0.62326380133447601</v>
      </c>
      <c r="O238" s="66" t="str">
        <f>IF(_book!$V$233=0,"—",_book!$AA$233)</f>
        <v>—</v>
      </c>
      <c r="P238" s="67">
        <f>_book!$AC$233</f>
        <v>1</v>
      </c>
      <c r="Q238" s="67">
        <f>_book!$AD$233</f>
        <v>0</v>
      </c>
    </row>
    <row r="239" spans="1:17" x14ac:dyDescent="0.3">
      <c r="A239" s="61" t="str">
        <f>_book!$A$234</f>
        <v>Workers Comp</v>
      </c>
      <c r="B239" s="61" t="str">
        <f>_book!$B$234</f>
        <v>SBA</v>
      </c>
      <c r="C239" s="61" t="str">
        <f>_book!$C$234</f>
        <v>CO</v>
      </c>
      <c r="D239" s="62">
        <f>_book!$F$234</f>
        <v>69000</v>
      </c>
      <c r="E239" s="63">
        <f>_book!$N$234</f>
        <v>0.59599999999999997</v>
      </c>
      <c r="F239" s="64">
        <f>_book!$K$234</f>
        <v>1.0081680280046681</v>
      </c>
      <c r="G239" s="64">
        <f>_book!$L$234</f>
        <v>1.010103387425793</v>
      </c>
      <c r="H239" s="64">
        <f>_book!$M$234</f>
        <v>1</v>
      </c>
      <c r="I239" s="63">
        <f>_book!$O$234</f>
        <v>0.60693894834841011</v>
      </c>
      <c r="J239" s="63">
        <f>_book!$P$234</f>
        <v>0.59977982700778432</v>
      </c>
      <c r="K239" s="65">
        <f>_book!$T$234</f>
        <v>-8.1018518518519711E-3</v>
      </c>
      <c r="L239" s="65">
        <f>_book!$U$234</f>
        <v>8.168028004667649E-3</v>
      </c>
      <c r="M239" s="65" t="str">
        <f>IF(_book!$V$234=0,"—",_book!$W$234)</f>
        <v>—</v>
      </c>
      <c r="N239" s="63">
        <f>_book!$Y$234</f>
        <v>0.60693894834841011</v>
      </c>
      <c r="O239" s="66" t="str">
        <f>IF(_book!$V$234=0,"—",_book!$AA$234)</f>
        <v>—</v>
      </c>
      <c r="P239" s="67">
        <f>_book!$AC$234</f>
        <v>1</v>
      </c>
      <c r="Q239" s="67">
        <f>_book!$AD$234</f>
        <v>0</v>
      </c>
    </row>
    <row r="240" spans="1:17" x14ac:dyDescent="0.3">
      <c r="A240" s="61" t="str">
        <f>_book!$A$235</f>
        <v>Workers Comp</v>
      </c>
      <c r="B240" s="61" t="str">
        <f>_book!$B$235</f>
        <v>SBA</v>
      </c>
      <c r="C240" s="61" t="str">
        <f>_book!$C$235</f>
        <v>DE</v>
      </c>
      <c r="D240" s="62">
        <f>_book!$F$235</f>
        <v>57000</v>
      </c>
      <c r="E240" s="63">
        <f>_book!$N$235</f>
        <v>0.57999999999999996</v>
      </c>
      <c r="F240" s="64">
        <f>_book!$K$235</f>
        <v>1</v>
      </c>
      <c r="G240" s="64">
        <f>_book!$L$235</f>
        <v>1.00672085504778</v>
      </c>
      <c r="H240" s="64">
        <f>_book!$M$235</f>
        <v>1</v>
      </c>
      <c r="I240" s="63">
        <f>_book!$O$235</f>
        <v>0.58389809592771247</v>
      </c>
      <c r="J240" s="63">
        <f>_book!$P$235</f>
        <v>0.57532534557303328</v>
      </c>
      <c r="K240" s="65">
        <f>_book!$T$235</f>
        <v>0</v>
      </c>
      <c r="L240" s="65">
        <f>_book!$U$235</f>
        <v>0</v>
      </c>
      <c r="M240" s="65" t="str">
        <f>IF(_book!$V$235=0,"—",_book!$W$235)</f>
        <v>—</v>
      </c>
      <c r="N240" s="63">
        <f>_book!$Y$235</f>
        <v>0.58389809592771247</v>
      </c>
      <c r="O240" s="66" t="str">
        <f>IF(_book!$V$235=0,"—",_book!$AA$235)</f>
        <v>—</v>
      </c>
      <c r="P240" s="67">
        <f>_book!$AC$235</f>
        <v>0</v>
      </c>
      <c r="Q240" s="67">
        <f>_book!$AD$235</f>
        <v>0</v>
      </c>
    </row>
    <row r="241" spans="1:17" x14ac:dyDescent="0.3">
      <c r="A241" s="61" t="str">
        <f>_book!$A$236</f>
        <v>Workers Comp</v>
      </c>
      <c r="B241" s="61" t="str">
        <f>_book!$B$236</f>
        <v>SBA</v>
      </c>
      <c r="C241" s="61" t="str">
        <f>_book!$C$236</f>
        <v>FL</v>
      </c>
      <c r="D241" s="62">
        <f>_book!$F$236</f>
        <v>45000</v>
      </c>
      <c r="E241" s="63">
        <f>_book!$N$236</f>
        <v>0.60799999999999998</v>
      </c>
      <c r="F241" s="64">
        <f>_book!$K$236</f>
        <v>0.99871081447151555</v>
      </c>
      <c r="G241" s="64">
        <f>_book!$L$236</f>
        <v>1.01123595505618</v>
      </c>
      <c r="H241" s="64">
        <f>_book!$M$236</f>
        <v>1</v>
      </c>
      <c r="I241" s="63">
        <f>_book!$O$236</f>
        <v>0.61403882885259908</v>
      </c>
      <c r="J241" s="63">
        <f>_book!$P$236</f>
        <v>0.59316448035025193</v>
      </c>
      <c r="K241" s="65">
        <f>_book!$T$236</f>
        <v>1.290849673202477E-3</v>
      </c>
      <c r="L241" s="65">
        <f>_book!$U$236</f>
        <v>3.5191501166794703E-2</v>
      </c>
      <c r="M241" s="65" t="str">
        <f>IF(_book!$V$236=0,"—",_book!$W$236)</f>
        <v>—</v>
      </c>
      <c r="N241" s="63">
        <f>_book!$Y$236</f>
        <v>0.61403882885259908</v>
      </c>
      <c r="O241" s="66" t="str">
        <f>IF(_book!$V$236=0,"—",_book!$AA$236)</f>
        <v>—</v>
      </c>
      <c r="P241" s="67">
        <f>_book!$AC$236</f>
        <v>1</v>
      </c>
      <c r="Q241" s="67">
        <f>_book!$AD$236</f>
        <v>1</v>
      </c>
    </row>
    <row r="242" spans="1:17" x14ac:dyDescent="0.3">
      <c r="A242" s="61" t="str">
        <f>_book!$A$237</f>
        <v>Workers Comp</v>
      </c>
      <c r="B242" s="61" t="str">
        <f>_book!$B$237</f>
        <v>SBA</v>
      </c>
      <c r="C242" s="61" t="str">
        <f>_book!$C$237</f>
        <v>GA</v>
      </c>
      <c r="D242" s="62">
        <f>_book!$F$237</f>
        <v>33000</v>
      </c>
      <c r="E242" s="63">
        <f>_book!$N$237</f>
        <v>0.59199999999999997</v>
      </c>
      <c r="F242" s="64">
        <f>_book!$K$237</f>
        <v>1</v>
      </c>
      <c r="G242" s="64">
        <f>_book!$L$237</f>
        <v>1.0078458458979691</v>
      </c>
      <c r="H242" s="64">
        <f>_book!$M$237</f>
        <v>1</v>
      </c>
      <c r="I242" s="63">
        <f>_book!$O$237</f>
        <v>0.59664474077159757</v>
      </c>
      <c r="J242" s="63">
        <f>_book!$P$237</f>
        <v>0.5900433281091888</v>
      </c>
      <c r="K242" s="65">
        <f>_book!$T$237</f>
        <v>0</v>
      </c>
      <c r="L242" s="65">
        <f>_book!$U$237</f>
        <v>0</v>
      </c>
      <c r="M242" s="65" t="str">
        <f>IF(_book!$V$237=0,"—",_book!$W$237)</f>
        <v>—</v>
      </c>
      <c r="N242" s="63">
        <f>_book!$Y$237</f>
        <v>0.59664474077159757</v>
      </c>
      <c r="O242" s="66" t="str">
        <f>IF(_book!$V$237=0,"—",_book!$AA$237)</f>
        <v>—</v>
      </c>
      <c r="P242" s="67">
        <f>_book!$AC$237</f>
        <v>0</v>
      </c>
      <c r="Q242" s="67">
        <f>_book!$AD$237</f>
        <v>0</v>
      </c>
    </row>
    <row r="243" spans="1:17" x14ac:dyDescent="0.3">
      <c r="A243" s="61" t="str">
        <f>_book!$A$238</f>
        <v>Workers Comp</v>
      </c>
      <c r="B243" s="61" t="str">
        <f>_book!$B$238</f>
        <v>SBA</v>
      </c>
      <c r="C243" s="61" t="str">
        <f>_book!$C$238</f>
        <v>IA</v>
      </c>
      <c r="D243" s="62">
        <f>_book!$F$238</f>
        <v>72000</v>
      </c>
      <c r="E243" s="63">
        <f>_book!$N$238</f>
        <v>0.62</v>
      </c>
      <c r="F243" s="64">
        <f>_book!$K$238</f>
        <v>1</v>
      </c>
      <c r="G243" s="64">
        <f>_book!$L$238</f>
        <v>1.0123710652961491</v>
      </c>
      <c r="H243" s="64">
        <f>_book!$M$238</f>
        <v>1</v>
      </c>
      <c r="I243" s="63">
        <f>_book!$O$238</f>
        <v>0.6276700604836124</v>
      </c>
      <c r="J243" s="63">
        <f>_book!$P$238</f>
        <v>0.63003020560878842</v>
      </c>
      <c r="K243" s="65">
        <f>_book!$T$238</f>
        <v>0</v>
      </c>
      <c r="L243" s="65">
        <f>_book!$U$238</f>
        <v>0</v>
      </c>
      <c r="M243" s="65" t="str">
        <f>IF(_book!$V$238=0,"—",_book!$W$238)</f>
        <v>—</v>
      </c>
      <c r="N243" s="63">
        <f>_book!$Y$238</f>
        <v>0.6276700604836124</v>
      </c>
      <c r="O243" s="66" t="str">
        <f>IF(_book!$V$238=0,"—",_book!$AA$238)</f>
        <v>—</v>
      </c>
      <c r="P243" s="67">
        <f>_book!$AC$238</f>
        <v>0</v>
      </c>
      <c r="Q243" s="67">
        <f>_book!$AD$238</f>
        <v>0</v>
      </c>
    </row>
    <row r="244" spans="1:17" x14ac:dyDescent="0.3">
      <c r="A244" s="61" t="str">
        <f>_book!$A$239</f>
        <v>Workers Comp</v>
      </c>
      <c r="B244" s="61" t="str">
        <f>_book!$B$239</f>
        <v>SBA</v>
      </c>
      <c r="C244" s="61" t="str">
        <f>_book!$C$239</f>
        <v>IL</v>
      </c>
      <c r="D244" s="62">
        <f>_book!$F$239</f>
        <v>60000</v>
      </c>
      <c r="E244" s="63">
        <f>_book!$N$239</f>
        <v>0.60399999999999998</v>
      </c>
      <c r="F244" s="64">
        <f>_book!$K$239</f>
        <v>0.94618568894145472</v>
      </c>
      <c r="G244" s="64">
        <f>_book!$L$239</f>
        <v>1.0042355369373781</v>
      </c>
      <c r="H244" s="64">
        <f>_book!$M$239</f>
        <v>1</v>
      </c>
      <c r="I244" s="63">
        <f>_book!$O$239</f>
        <v>0.57391674919945712</v>
      </c>
      <c r="J244" s="63">
        <f>_book!$P$239</f>
        <v>0.55958940773450672</v>
      </c>
      <c r="K244" s="65">
        <f>_book!$T$239</f>
        <v>5.6875000000000009E-2</v>
      </c>
      <c r="L244" s="65">
        <f>_book!$U$239</f>
        <v>7.6877587226491517E-3</v>
      </c>
      <c r="M244" s="65" t="str">
        <f>IF(_book!$V$239=0,"—",_book!$W$239)</f>
        <v>—</v>
      </c>
      <c r="N244" s="63">
        <f>_book!$Y$239</f>
        <v>0.57391674919945712</v>
      </c>
      <c r="O244" s="66" t="str">
        <f>IF(_book!$V$239=0,"—",_book!$AA$239)</f>
        <v>—</v>
      </c>
      <c r="P244" s="67">
        <f>_book!$AC$239</f>
        <v>0</v>
      </c>
      <c r="Q244" s="67">
        <f>_book!$AD$239</f>
        <v>1</v>
      </c>
    </row>
    <row r="245" spans="1:17" x14ac:dyDescent="0.3">
      <c r="A245" s="61" t="str">
        <f>_book!$A$240</f>
        <v>Workers Comp</v>
      </c>
      <c r="B245" s="61" t="str">
        <f>_book!$B$240</f>
        <v>SBA</v>
      </c>
      <c r="C245" s="61" t="str">
        <f>_book!$C$240</f>
        <v>IN</v>
      </c>
      <c r="D245" s="62">
        <f>_book!$F$240</f>
        <v>48000</v>
      </c>
      <c r="E245" s="63">
        <f>_book!$N$240</f>
        <v>0.58799999999999997</v>
      </c>
      <c r="F245" s="64">
        <f>_book!$K$240</f>
        <v>0.99894764948874615</v>
      </c>
      <c r="G245" s="64">
        <f>_book!$L$240</f>
        <v>1.0135087267175451</v>
      </c>
      <c r="H245" s="64">
        <f>_book!$M$240</f>
        <v>1</v>
      </c>
      <c r="I245" s="63">
        <f>_book!$O$240</f>
        <v>0.59531599025100401</v>
      </c>
      <c r="J245" s="63">
        <f>_book!$P$240</f>
        <v>0.5836664237679301</v>
      </c>
      <c r="K245" s="65">
        <f>_book!$T$240</f>
        <v>1.0534591194968359E-3</v>
      </c>
      <c r="L245" s="65">
        <f>_book!$U$240</f>
        <v>2.7667394411547749E-2</v>
      </c>
      <c r="M245" s="65" t="str">
        <f>IF(_book!$V$240=0,"—",_book!$W$240)</f>
        <v>—</v>
      </c>
      <c r="N245" s="63">
        <f>_book!$Y$240</f>
        <v>0.59531599025100401</v>
      </c>
      <c r="O245" s="66" t="str">
        <f>IF(_book!$V$240=0,"—",_book!$AA$240)</f>
        <v>—</v>
      </c>
      <c r="P245" s="67">
        <f>_book!$AC$240</f>
        <v>1</v>
      </c>
      <c r="Q245" s="67">
        <f>_book!$AD$240</f>
        <v>1</v>
      </c>
    </row>
    <row r="246" spans="1:17" x14ac:dyDescent="0.3">
      <c r="A246" s="61" t="str">
        <f>_book!$A$241</f>
        <v>Workers Comp</v>
      </c>
      <c r="B246" s="61" t="str">
        <f>_book!$B$241</f>
        <v>SBA</v>
      </c>
      <c r="C246" s="61" t="str">
        <f>_book!$C$241</f>
        <v>KY</v>
      </c>
      <c r="D246" s="62">
        <f>_book!$F$241</f>
        <v>36000</v>
      </c>
      <c r="E246" s="63">
        <f>_book!$N$241</f>
        <v>0.61599999999999999</v>
      </c>
      <c r="F246" s="64">
        <f>_book!$K$241</f>
        <v>0.94146299459183458</v>
      </c>
      <c r="G246" s="64">
        <f>_book!$L$241</f>
        <v>1</v>
      </c>
      <c r="H246" s="64">
        <f>_book!$M$241</f>
        <v>1</v>
      </c>
      <c r="I246" s="63">
        <f>_book!$O$241</f>
        <v>0.57994120466857013</v>
      </c>
      <c r="J246" s="63">
        <f>_book!$P$241</f>
        <v>0.52721927697142734</v>
      </c>
      <c r="K246" s="65">
        <f>_book!$T$241</f>
        <v>6.2176639702704151E-2</v>
      </c>
      <c r="L246" s="65">
        <f>_book!$U$241</f>
        <v>0.1000000000000001</v>
      </c>
      <c r="M246" s="65">
        <f>IF(_book!$V$241=0,"—",_book!$W$241)</f>
        <v>0.1</v>
      </c>
      <c r="N246" s="63">
        <f>_book!$Y$241</f>
        <v>0.57387473982410719</v>
      </c>
      <c r="O246" s="66">
        <f>IF(_book!$V$241=0,"—",_book!$AA$241)</f>
        <v>-0.60664648444629377</v>
      </c>
      <c r="P246" s="67">
        <f>_book!$AC$241</f>
        <v>1</v>
      </c>
      <c r="Q246" s="67">
        <f>_book!$AD$241</f>
        <v>1</v>
      </c>
    </row>
    <row r="247" spans="1:17" x14ac:dyDescent="0.3">
      <c r="A247" s="61" t="str">
        <f>_book!$A$242</f>
        <v>Workers Comp</v>
      </c>
      <c r="B247" s="61" t="str">
        <f>_book!$B$242</f>
        <v>SBA</v>
      </c>
      <c r="C247" s="61" t="str">
        <f>_book!$C$242</f>
        <v>MD</v>
      </c>
      <c r="D247" s="62">
        <f>_book!$F$242</f>
        <v>24000</v>
      </c>
      <c r="E247" s="63">
        <f>_book!$N$242</f>
        <v>0.6</v>
      </c>
      <c r="F247" s="64">
        <f>_book!$K$242</f>
        <v>1.000911023382933</v>
      </c>
      <c r="G247" s="64">
        <f>_book!$L$242</f>
        <v>1.00672085504778</v>
      </c>
      <c r="H247" s="64">
        <f>_book!$M$242</f>
        <v>1</v>
      </c>
      <c r="I247" s="63">
        <f>_book!$O$242</f>
        <v>0.60458280077208915</v>
      </c>
      <c r="J247" s="63">
        <f>_book!$P$242</f>
        <v>0.59516415059279304</v>
      </c>
      <c r="K247" s="65">
        <f>_book!$T$242</f>
        <v>-9.1019417475712849E-4</v>
      </c>
      <c r="L247" s="65">
        <f>_book!$U$242</f>
        <v>9.1102338293347351E-4</v>
      </c>
      <c r="M247" s="65" t="str">
        <f>IF(_book!$V$242=0,"—",_book!$W$242)</f>
        <v>—</v>
      </c>
      <c r="N247" s="63">
        <f>_book!$Y$242</f>
        <v>0.60458280077208915</v>
      </c>
      <c r="O247" s="66" t="str">
        <f>IF(_book!$V$242=0,"—",_book!$AA$242)</f>
        <v>—</v>
      </c>
      <c r="P247" s="67">
        <f>_book!$AC$242</f>
        <v>1</v>
      </c>
      <c r="Q247" s="67">
        <f>_book!$AD$242</f>
        <v>0</v>
      </c>
    </row>
    <row r="248" spans="1:17" x14ac:dyDescent="0.3">
      <c r="A248" s="61" t="str">
        <f>_book!$A$243</f>
        <v>Workers Comp</v>
      </c>
      <c r="B248" s="61" t="str">
        <f>_book!$B$243</f>
        <v>SBA</v>
      </c>
      <c r="C248" s="61" t="str">
        <f>_book!$C$243</f>
        <v>MI</v>
      </c>
      <c r="D248" s="62">
        <f>_book!$F$243</f>
        <v>63000</v>
      </c>
      <c r="E248" s="63">
        <f>_book!$N$243</f>
        <v>0.58399999999999996</v>
      </c>
      <c r="F248" s="64">
        <f>_book!$K$243</f>
        <v>1.0021413276231259</v>
      </c>
      <c r="G248" s="64">
        <f>_book!$L$243</f>
        <v>1.01123595505618</v>
      </c>
      <c r="H248" s="64">
        <f>_book!$M$243</f>
        <v>1</v>
      </c>
      <c r="I248" s="63">
        <f>_book!$O$243</f>
        <v>0.59182638404350008</v>
      </c>
      <c r="J248" s="63">
        <f>_book!$P$243</f>
        <v>0.5905617977528087</v>
      </c>
      <c r="K248" s="65">
        <f>_book!$T$243</f>
        <v>-2.1367521367520181E-3</v>
      </c>
      <c r="L248" s="65">
        <f>_book!$U$243</f>
        <v>2.1413276231263541E-3</v>
      </c>
      <c r="M248" s="65" t="str">
        <f>IF(_book!$V$243=0,"—",_book!$W$243)</f>
        <v>—</v>
      </c>
      <c r="N248" s="63">
        <f>_book!$Y$243</f>
        <v>0.59182638404350008</v>
      </c>
      <c r="O248" s="66" t="str">
        <f>IF(_book!$V$243=0,"—",_book!$AA$243)</f>
        <v>—</v>
      </c>
      <c r="P248" s="67">
        <f>_book!$AC$243</f>
        <v>1</v>
      </c>
      <c r="Q248" s="67">
        <f>_book!$AD$243</f>
        <v>0</v>
      </c>
    </row>
    <row r="249" spans="1:17" x14ac:dyDescent="0.3">
      <c r="A249" s="61" t="str">
        <f>_book!$A$244</f>
        <v>Workers Comp</v>
      </c>
      <c r="B249" s="61" t="str">
        <f>_book!$B$244</f>
        <v>SBA</v>
      </c>
      <c r="C249" s="61" t="str">
        <f>_book!$C$244</f>
        <v>MN</v>
      </c>
      <c r="D249" s="62">
        <f>_book!$F$244</f>
        <v>51000</v>
      </c>
      <c r="E249" s="63">
        <f>_book!$N$244</f>
        <v>0.61199999999999999</v>
      </c>
      <c r="F249" s="64">
        <f>_book!$K$244</f>
        <v>0.9888751545117429</v>
      </c>
      <c r="G249" s="64">
        <f>_book!$L$244</f>
        <v>1.0078458458979691</v>
      </c>
      <c r="H249" s="64">
        <f>_book!$M$244</f>
        <v>1</v>
      </c>
      <c r="I249" s="63">
        <f>_book!$O$244</f>
        <v>0.60993983455085976</v>
      </c>
      <c r="J249" s="63">
        <f>_book!$P$244</f>
        <v>0.58722235795821309</v>
      </c>
      <c r="K249" s="65">
        <f>_book!$T$244</f>
        <v>1.1249999999999981E-2</v>
      </c>
      <c r="L249" s="65">
        <f>_book!$U$244</f>
        <v>2.7194066749073102E-2</v>
      </c>
      <c r="M249" s="65" t="str">
        <f>IF(_book!$V$244=0,"—",_book!$W$244)</f>
        <v>—</v>
      </c>
      <c r="N249" s="63">
        <f>_book!$Y$244</f>
        <v>0.60993983455085976</v>
      </c>
      <c r="O249" s="66" t="str">
        <f>IF(_book!$V$244=0,"—",_book!$AA$244)</f>
        <v>—</v>
      </c>
      <c r="P249" s="67">
        <f>_book!$AC$244</f>
        <v>0</v>
      </c>
      <c r="Q249" s="67">
        <f>_book!$AD$244</f>
        <v>1</v>
      </c>
    </row>
    <row r="250" spans="1:17" x14ac:dyDescent="0.3">
      <c r="A250" s="61" t="str">
        <f>_book!$A$245</f>
        <v>Workers Comp</v>
      </c>
      <c r="B250" s="61" t="str">
        <f>_book!$B$245</f>
        <v>SBA</v>
      </c>
      <c r="C250" s="61" t="str">
        <f>_book!$C$245</f>
        <v>NM</v>
      </c>
      <c r="D250" s="62">
        <f>_book!$F$245</f>
        <v>39000</v>
      </c>
      <c r="E250" s="63">
        <f>_book!$N$245</f>
        <v>0.59599999999999997</v>
      </c>
      <c r="F250" s="64">
        <f>_book!$K$245</f>
        <v>1.0071258907363421</v>
      </c>
      <c r="G250" s="64">
        <f>_book!$L$245</f>
        <v>1.0123710652961491</v>
      </c>
      <c r="H250" s="64">
        <f>_book!$M$245</f>
        <v>1</v>
      </c>
      <c r="I250" s="63">
        <f>_book!$O$245</f>
        <v>0.60767272609168166</v>
      </c>
      <c r="J250" s="63">
        <f>_book!$P$245</f>
        <v>0.60564193958522228</v>
      </c>
      <c r="K250" s="65">
        <f>_book!$T$245</f>
        <v>-7.0754716981130672E-3</v>
      </c>
      <c r="L250" s="65">
        <f>_book!$U$245</f>
        <v>7.1258907363420656E-3</v>
      </c>
      <c r="M250" s="65" t="str">
        <f>IF(_book!$V$245=0,"—",_book!$W$245)</f>
        <v>—</v>
      </c>
      <c r="N250" s="63">
        <f>_book!$Y$245</f>
        <v>0.60767272609168166</v>
      </c>
      <c r="O250" s="66" t="str">
        <f>IF(_book!$V$245=0,"—",_book!$AA$245)</f>
        <v>—</v>
      </c>
      <c r="P250" s="67">
        <f>_book!$AC$245</f>
        <v>1</v>
      </c>
      <c r="Q250" s="67">
        <f>_book!$AD$245</f>
        <v>0</v>
      </c>
    </row>
    <row r="251" spans="1:17" x14ac:dyDescent="0.3">
      <c r="A251" s="61" t="str">
        <f>_book!$A$246</f>
        <v>Workers Comp</v>
      </c>
      <c r="B251" s="61" t="str">
        <f>_book!$B$246</f>
        <v>SBA</v>
      </c>
      <c r="C251" s="61" t="str">
        <f>_book!$C$246</f>
        <v>NC</v>
      </c>
      <c r="D251" s="62">
        <f>_book!$F$246</f>
        <v>27000</v>
      </c>
      <c r="E251" s="63">
        <f>_book!$N$246</f>
        <v>0.57999999999999996</v>
      </c>
      <c r="F251" s="64">
        <f>_book!$K$246</f>
        <v>1.0033472231709819</v>
      </c>
      <c r="G251" s="64">
        <f>_book!$L$246</f>
        <v>1.0089733538715031</v>
      </c>
      <c r="H251" s="64">
        <f>_book!$M$246</f>
        <v>1</v>
      </c>
      <c r="I251" s="63">
        <f>_book!$O$246</f>
        <v>0.58716335545908105</v>
      </c>
      <c r="J251" s="63">
        <f>_book!$P$246</f>
        <v>0.58086719834545109</v>
      </c>
      <c r="K251" s="65">
        <f>_book!$T$246</f>
        <v>-3.336056644880236E-3</v>
      </c>
      <c r="L251" s="65">
        <f>_book!$U$246</f>
        <v>3.3472231709814611E-3</v>
      </c>
      <c r="M251" s="65" t="str">
        <f>IF(_book!$V$246=0,"—",_book!$W$246)</f>
        <v>—</v>
      </c>
      <c r="N251" s="63">
        <f>_book!$Y$246</f>
        <v>0.58716335545908105</v>
      </c>
      <c r="O251" s="66" t="str">
        <f>IF(_book!$V$246=0,"—",_book!$AA$246)</f>
        <v>—</v>
      </c>
      <c r="P251" s="67">
        <f>_book!$AC$246</f>
        <v>1</v>
      </c>
      <c r="Q251" s="67">
        <f>_book!$AD$246</f>
        <v>0</v>
      </c>
    </row>
    <row r="252" spans="1:17" x14ac:dyDescent="0.3">
      <c r="A252" s="61" t="str">
        <f>_book!$A$247</f>
        <v>Workers Comp</v>
      </c>
      <c r="B252" s="61" t="str">
        <f>_book!$B$247</f>
        <v>SBA</v>
      </c>
      <c r="C252" s="61" t="str">
        <f>_book!$C$247</f>
        <v>OH</v>
      </c>
      <c r="D252" s="62">
        <f>_book!$F$247</f>
        <v>66000</v>
      </c>
      <c r="E252" s="63">
        <f>_book!$N$247</f>
        <v>0.60799999999999998</v>
      </c>
      <c r="F252" s="64">
        <f>_book!$K$247</f>
        <v>1</v>
      </c>
      <c r="G252" s="64">
        <f>_book!$L$247</f>
        <v>1.0135087267175451</v>
      </c>
      <c r="H252" s="64">
        <f>_book!$M$247</f>
        <v>1</v>
      </c>
      <c r="I252" s="63">
        <f>_book!$O$247</f>
        <v>0.61621330584426715</v>
      </c>
      <c r="J252" s="63">
        <f>_book!$P$247</f>
        <v>0.62087019513327379</v>
      </c>
      <c r="K252" s="65">
        <f>_book!$T$247</f>
        <v>0</v>
      </c>
      <c r="L252" s="65">
        <f>_book!$U$247</f>
        <v>0</v>
      </c>
      <c r="M252" s="65" t="str">
        <f>IF(_book!$V$247=0,"—",_book!$W$247)</f>
        <v>—</v>
      </c>
      <c r="N252" s="63">
        <f>_book!$Y$247</f>
        <v>0.61621330584426715</v>
      </c>
      <c r="O252" s="66" t="str">
        <f>IF(_book!$V$247=0,"—",_book!$AA$247)</f>
        <v>—</v>
      </c>
      <c r="P252" s="67">
        <f>_book!$AC$247</f>
        <v>0</v>
      </c>
      <c r="Q252" s="67">
        <f>_book!$AD$247</f>
        <v>0</v>
      </c>
    </row>
    <row r="253" spans="1:17" x14ac:dyDescent="0.3">
      <c r="A253" s="61" t="str">
        <f>_book!$A$248</f>
        <v>Workers Comp</v>
      </c>
      <c r="B253" s="61" t="str">
        <f>_book!$B$248</f>
        <v>SBA</v>
      </c>
      <c r="C253" s="61" t="str">
        <f>_book!$C$248</f>
        <v>PA</v>
      </c>
      <c r="D253" s="62">
        <f>_book!$F$248</f>
        <v>54000</v>
      </c>
      <c r="E253" s="63">
        <f>_book!$N$248</f>
        <v>0.59199999999999997</v>
      </c>
      <c r="F253" s="64">
        <f>_book!$K$248</f>
        <v>1.0073994349522399</v>
      </c>
      <c r="G253" s="64">
        <f>_book!$L$248</f>
        <v>1.010103387425793</v>
      </c>
      <c r="H253" s="64">
        <f>_book!$M$248</f>
        <v>1</v>
      </c>
      <c r="I253" s="63">
        <f>_book!$O$248</f>
        <v>0.60240592838776374</v>
      </c>
      <c r="J253" s="63">
        <f>_book!$P$248</f>
        <v>0.57661407515758578</v>
      </c>
      <c r="K253" s="65">
        <f>_book!$T$248</f>
        <v>-7.3450854700855004E-3</v>
      </c>
      <c r="L253" s="65">
        <f>_book!$U$248</f>
        <v>4.0839499529127243E-2</v>
      </c>
      <c r="M253" s="65" t="str">
        <f>IF(_book!$V$248=0,"—",_book!$W$248)</f>
        <v>—</v>
      </c>
      <c r="N253" s="63">
        <f>_book!$Y$248</f>
        <v>0.60240592838776374</v>
      </c>
      <c r="O253" s="66" t="str">
        <f>IF(_book!$V$248=0,"—",_book!$AA$248)</f>
        <v>—</v>
      </c>
      <c r="P253" s="67">
        <f>_book!$AC$248</f>
        <v>1</v>
      </c>
      <c r="Q253" s="67">
        <f>_book!$AD$248</f>
        <v>1</v>
      </c>
    </row>
    <row r="254" spans="1:17" x14ac:dyDescent="0.3">
      <c r="A254" s="61" t="str">
        <f>_book!$A$249</f>
        <v>Workers Comp</v>
      </c>
      <c r="B254" s="61" t="str">
        <f>_book!$B$249</f>
        <v>SBA</v>
      </c>
      <c r="C254" s="61" t="str">
        <f>_book!$C$249</f>
        <v>SC</v>
      </c>
      <c r="D254" s="62">
        <f>_book!$F$249</f>
        <v>42000</v>
      </c>
      <c r="E254" s="63">
        <f>_book!$N$249</f>
        <v>0.62</v>
      </c>
      <c r="F254" s="64">
        <f>_book!$K$249</f>
        <v>1.0168123739071959</v>
      </c>
      <c r="G254" s="64">
        <f>_book!$L$249</f>
        <v>1.00672085504778</v>
      </c>
      <c r="H254" s="64">
        <f>_book!$M$249</f>
        <v>1</v>
      </c>
      <c r="I254" s="63">
        <f>_book!$O$249</f>
        <v>0.63466065793946935</v>
      </c>
      <c r="J254" s="63">
        <f>_book!$P$249</f>
        <v>0.61500295561255292</v>
      </c>
      <c r="K254" s="65">
        <f>_book!$T$249</f>
        <v>-1.653439153439162E-2</v>
      </c>
      <c r="L254" s="65">
        <f>_book!$U$249</f>
        <v>1.6812373907195699E-2</v>
      </c>
      <c r="M254" s="65" t="str">
        <f>IF(_book!$V$249=0,"—",_book!$W$249)</f>
        <v>—</v>
      </c>
      <c r="N254" s="63">
        <f>_book!$Y$249</f>
        <v>0.63466065793946935</v>
      </c>
      <c r="O254" s="66" t="str">
        <f>IF(_book!$V$249=0,"—",_book!$AA$249)</f>
        <v>—</v>
      </c>
      <c r="P254" s="67">
        <f>_book!$AC$249</f>
        <v>1</v>
      </c>
      <c r="Q254" s="67">
        <f>_book!$AD$249</f>
        <v>0</v>
      </c>
    </row>
    <row r="255" spans="1:17" x14ac:dyDescent="0.3">
      <c r="A255" s="61" t="str">
        <f>_book!$A$250</f>
        <v>Workers Comp</v>
      </c>
      <c r="B255" s="61" t="str">
        <f>_book!$B$250</f>
        <v>SBA</v>
      </c>
      <c r="C255" s="61" t="str">
        <f>_book!$C$250</f>
        <v>TN</v>
      </c>
      <c r="D255" s="62">
        <f>_book!$F$250</f>
        <v>30000</v>
      </c>
      <c r="E255" s="63">
        <f>_book!$N$250</f>
        <v>0.60399999999999998</v>
      </c>
      <c r="F255" s="64">
        <f>_book!$K$250</f>
        <v>1</v>
      </c>
      <c r="G255" s="64">
        <f>_book!$L$250</f>
        <v>1.01123595505618</v>
      </c>
      <c r="H255" s="64">
        <f>_book!$M$250</f>
        <v>1</v>
      </c>
      <c r="I255" s="63">
        <f>_book!$O$250</f>
        <v>0.61078651685393248</v>
      </c>
      <c r="J255" s="63">
        <f>_book!$P$250</f>
        <v>0.61078651685393248</v>
      </c>
      <c r="K255" s="65">
        <f>_book!$T$250</f>
        <v>0</v>
      </c>
      <c r="L255" s="65">
        <f>_book!$U$250</f>
        <v>0</v>
      </c>
      <c r="M255" s="65" t="str">
        <f>IF(_book!$V$250=0,"—",_book!$W$250)</f>
        <v>—</v>
      </c>
      <c r="N255" s="63">
        <f>_book!$Y$250</f>
        <v>0.61078651685393248</v>
      </c>
      <c r="O255" s="66" t="str">
        <f>IF(_book!$V$250=0,"—",_book!$AA$250)</f>
        <v>—</v>
      </c>
      <c r="P255" s="67">
        <f>_book!$AC$250</f>
        <v>0</v>
      </c>
      <c r="Q255" s="67">
        <f>_book!$AD$250</f>
        <v>0</v>
      </c>
    </row>
    <row r="256" spans="1:17" x14ac:dyDescent="0.3">
      <c r="A256" s="61" t="str">
        <f>_book!$A$251</f>
        <v>Workers Comp</v>
      </c>
      <c r="B256" s="61" t="str">
        <f>_book!$B$251</f>
        <v>SBA</v>
      </c>
      <c r="C256" s="61" t="str">
        <f>_book!$C$251</f>
        <v>VA</v>
      </c>
      <c r="D256" s="62">
        <f>_book!$F$251</f>
        <v>69000</v>
      </c>
      <c r="E256" s="63">
        <f>_book!$N$251</f>
        <v>0.58799999999999997</v>
      </c>
      <c r="F256" s="64">
        <f>_book!$K$251</f>
        <v>1</v>
      </c>
      <c r="G256" s="64">
        <f>_book!$L$251</f>
        <v>1.0078458458979691</v>
      </c>
      <c r="H256" s="64">
        <f>_book!$M$251</f>
        <v>1</v>
      </c>
      <c r="I256" s="63">
        <f>_book!$O$251</f>
        <v>0.5926133573880058</v>
      </c>
      <c r="J256" s="63">
        <f>_book!$P$251</f>
        <v>0.58605654886520797</v>
      </c>
      <c r="K256" s="65">
        <f>_book!$T$251</f>
        <v>0</v>
      </c>
      <c r="L256" s="65">
        <f>_book!$U$251</f>
        <v>0</v>
      </c>
      <c r="M256" s="65" t="str">
        <f>IF(_book!$V$251=0,"—",_book!$W$251)</f>
        <v>—</v>
      </c>
      <c r="N256" s="63">
        <f>_book!$Y$251</f>
        <v>0.5926133573880058</v>
      </c>
      <c r="O256" s="66" t="str">
        <f>IF(_book!$V$251=0,"—",_book!$AA$251)</f>
        <v>—</v>
      </c>
      <c r="P256" s="67">
        <f>_book!$AC$251</f>
        <v>1</v>
      </c>
      <c r="Q256" s="67">
        <f>_book!$AD$251</f>
        <v>0</v>
      </c>
    </row>
    <row r="257" spans="1:17" x14ac:dyDescent="0.3">
      <c r="A257" s="61" t="str">
        <f>_book!$A$252</f>
        <v>Workers Comp</v>
      </c>
      <c r="B257" s="61" t="str">
        <f>_book!$B$252</f>
        <v>SBA</v>
      </c>
      <c r="C257" s="61" t="str">
        <f>_book!$C$252</f>
        <v>WV</v>
      </c>
      <c r="D257" s="62">
        <f>_book!$F$252</f>
        <v>57000</v>
      </c>
      <c r="E257" s="63">
        <f>_book!$N$252</f>
        <v>0.61599999999999999</v>
      </c>
      <c r="F257" s="64">
        <f>_book!$K$252</f>
        <v>0.98357003029225942</v>
      </c>
      <c r="G257" s="64">
        <f>_book!$L$252</f>
        <v>1.0123710652961491</v>
      </c>
      <c r="H257" s="64">
        <f>_book!$M$252</f>
        <v>1</v>
      </c>
      <c r="I257" s="63">
        <f>_book!$O$252</f>
        <v>0.61337450904596968</v>
      </c>
      <c r="J257" s="63">
        <f>_book!$P$252</f>
        <v>0.60197028998998214</v>
      </c>
      <c r="K257" s="65">
        <f>_book!$T$252</f>
        <v>1.6704422869471269E-2</v>
      </c>
      <c r="L257" s="65">
        <f>_book!$U$252</f>
        <v>2.277622455529826E-2</v>
      </c>
      <c r="M257" s="65" t="str">
        <f>IF(_book!$V$252=0,"—",_book!$W$252)</f>
        <v>—</v>
      </c>
      <c r="N257" s="63">
        <f>_book!$Y$252</f>
        <v>0.61337450904596968</v>
      </c>
      <c r="O257" s="66" t="str">
        <f>IF(_book!$V$252=0,"—",_book!$AA$252)</f>
        <v>—</v>
      </c>
      <c r="P257" s="67">
        <f>_book!$AC$252</f>
        <v>1</v>
      </c>
      <c r="Q257" s="67">
        <f>_book!$AD$252</f>
        <v>1</v>
      </c>
    </row>
    <row r="258" spans="1:17" x14ac:dyDescent="0.3">
      <c r="A258" s="61" t="str">
        <f>_book!$A$253</f>
        <v>Workers Comp</v>
      </c>
      <c r="B258" s="61" t="str">
        <f>_book!$B$253</f>
        <v>SBA</v>
      </c>
      <c r="C258" s="61" t="str">
        <f>_book!$C$253</f>
        <v>WI</v>
      </c>
      <c r="D258" s="62">
        <f>_book!$F$253</f>
        <v>45000</v>
      </c>
      <c r="E258" s="63">
        <f>_book!$N$253</f>
        <v>0.6</v>
      </c>
      <c r="F258" s="64">
        <f>_book!$K$253</f>
        <v>1</v>
      </c>
      <c r="G258" s="64">
        <f>_book!$L$253</f>
        <v>1.0089733538715031</v>
      </c>
      <c r="H258" s="64">
        <f>_book!$M$253</f>
        <v>1</v>
      </c>
      <c r="I258" s="63">
        <f>_book!$O$253</f>
        <v>0.60538401232290173</v>
      </c>
      <c r="J258" s="63">
        <f>_book!$P$253</f>
        <v>0.60089710173667343</v>
      </c>
      <c r="K258" s="65">
        <f>_book!$T$253</f>
        <v>0</v>
      </c>
      <c r="L258" s="65">
        <f>_book!$U$253</f>
        <v>0</v>
      </c>
      <c r="M258" s="65" t="str">
        <f>IF(_book!$V$253=0,"—",_book!$W$253)</f>
        <v>—</v>
      </c>
      <c r="N258" s="63">
        <f>_book!$Y$253</f>
        <v>0.60538401232290173</v>
      </c>
      <c r="O258" s="66" t="str">
        <f>IF(_book!$V$253=0,"—",_book!$AA$253)</f>
        <v>—</v>
      </c>
      <c r="P258" s="67">
        <f>_book!$AC$253</f>
        <v>0</v>
      </c>
      <c r="Q258" s="67">
        <f>_book!$AD$253</f>
        <v>0</v>
      </c>
    </row>
    <row r="259" spans="1:17" x14ac:dyDescent="0.3">
      <c r="A259" s="61" t="str">
        <f>_book!$A$254</f>
        <v>Umbrella</v>
      </c>
      <c r="B259" s="61" t="str">
        <f>_book!$B$254</f>
        <v>ABD</v>
      </c>
      <c r="C259" s="61" t="str">
        <f>_book!$C$254</f>
        <v>AZ</v>
      </c>
      <c r="D259" s="62">
        <f>_book!$F$254</f>
        <v>9600</v>
      </c>
      <c r="E259" s="63">
        <f>_book!$N$254</f>
        <v>0.65</v>
      </c>
      <c r="F259" s="64">
        <f>_book!$K$254</f>
        <v>0.99306145153262859</v>
      </c>
      <c r="G259" s="64">
        <f>_book!$L$254</f>
        <v>0.98153851013092008</v>
      </c>
      <c r="H259" s="64">
        <f>_book!$M$254</f>
        <v>1</v>
      </c>
      <c r="I259" s="63">
        <f>_book!$O$254</f>
        <v>0.63357323744376037</v>
      </c>
      <c r="J259" s="63">
        <f>_book!$P$254</f>
        <v>0.59480029614224839</v>
      </c>
      <c r="K259" s="65">
        <f>_book!$T$254</f>
        <v>6.9870283018869106E-3</v>
      </c>
      <c r="L259" s="65">
        <f>_book!$U$254</f>
        <v>4.1162865591240383E-2</v>
      </c>
      <c r="M259" s="65" t="str">
        <f>IF(_book!$V$254=0,"—",_book!$W$254)</f>
        <v>—</v>
      </c>
      <c r="N259" s="63">
        <f>_book!$Y$254</f>
        <v>0.63357323744376037</v>
      </c>
      <c r="O259" s="66" t="str">
        <f>IF(_book!$V$254=0,"—",_book!$AA$254)</f>
        <v>—</v>
      </c>
      <c r="P259" s="67">
        <f>_book!$AC$254</f>
        <v>2</v>
      </c>
      <c r="Q259" s="67">
        <f>_book!$AD$254</f>
        <v>1</v>
      </c>
    </row>
    <row r="260" spans="1:17" x14ac:dyDescent="0.3">
      <c r="A260" s="61" t="str">
        <f>_book!$A$255</f>
        <v>Umbrella</v>
      </c>
      <c r="B260" s="61" t="str">
        <f>_book!$B$255</f>
        <v>ABD</v>
      </c>
      <c r="C260" s="61" t="str">
        <f>_book!$C$255</f>
        <v>CO</v>
      </c>
      <c r="D260" s="62">
        <f>_book!$F$255</f>
        <v>25200</v>
      </c>
      <c r="E260" s="63">
        <f>_book!$N$255</f>
        <v>0.55800000000000005</v>
      </c>
      <c r="F260" s="64">
        <f>_book!$K$255</f>
        <v>0.98357003029225942</v>
      </c>
      <c r="G260" s="64">
        <f>_book!$L$255</f>
        <v>1.009083870896514</v>
      </c>
      <c r="H260" s="64">
        <f>_book!$M$255</f>
        <v>1</v>
      </c>
      <c r="I260" s="63">
        <f>_book!$O$255</f>
        <v>0.55381759663353414</v>
      </c>
      <c r="J260" s="63">
        <f>_book!$P$255</f>
        <v>0.53967104220539841</v>
      </c>
      <c r="K260" s="65">
        <f>_book!$T$255</f>
        <v>1.6704422869471269E-2</v>
      </c>
      <c r="L260" s="65">
        <f>_book!$U$255</f>
        <v>2.277622455529826E-2</v>
      </c>
      <c r="M260" s="65" t="str">
        <f>IF(_book!$V$255=0,"—",_book!$W$255)</f>
        <v>—</v>
      </c>
      <c r="N260" s="63">
        <f>_book!$Y$255</f>
        <v>0.55381759663353414</v>
      </c>
      <c r="O260" s="66" t="str">
        <f>IF(_book!$V$255=0,"—",_book!$AA$255)</f>
        <v>—</v>
      </c>
      <c r="P260" s="67">
        <f>_book!$AC$255</f>
        <v>1</v>
      </c>
      <c r="Q260" s="67">
        <f>_book!$AD$255</f>
        <v>1</v>
      </c>
    </row>
    <row r="261" spans="1:17" x14ac:dyDescent="0.3">
      <c r="A261" s="61" t="str">
        <f>_book!$A$256</f>
        <v>Umbrella</v>
      </c>
      <c r="B261" s="61" t="str">
        <f>_book!$B$256</f>
        <v>ABD</v>
      </c>
      <c r="C261" s="61" t="str">
        <f>_book!$C$256</f>
        <v>DE</v>
      </c>
      <c r="D261" s="62">
        <f>_book!$F$256</f>
        <v>20400</v>
      </c>
      <c r="E261" s="63">
        <f>_book!$N$256</f>
        <v>0.54200000000000004</v>
      </c>
      <c r="F261" s="64">
        <f>_book!$K$256</f>
        <v>1</v>
      </c>
      <c r="G261" s="64">
        <f>_book!$L$256</f>
        <v>1.006044706983058</v>
      </c>
      <c r="H261" s="64">
        <f>_book!$M$256</f>
        <v>1</v>
      </c>
      <c r="I261" s="63">
        <f>_book!$O$256</f>
        <v>0.54527623118481772</v>
      </c>
      <c r="J261" s="63">
        <f>_book!$P$256</f>
        <v>0.53806528314891555</v>
      </c>
      <c r="K261" s="65">
        <f>_book!$T$256</f>
        <v>0</v>
      </c>
      <c r="L261" s="65">
        <f>_book!$U$256</f>
        <v>0</v>
      </c>
      <c r="M261" s="65" t="str">
        <f>IF(_book!$V$256=0,"—",_book!$W$256)</f>
        <v>—</v>
      </c>
      <c r="N261" s="63">
        <f>_book!$Y$256</f>
        <v>0.54527623118481772</v>
      </c>
      <c r="O261" s="66" t="str">
        <f>IF(_book!$V$256=0,"—",_book!$AA$256)</f>
        <v>—</v>
      </c>
      <c r="P261" s="67">
        <f>_book!$AC$256</f>
        <v>0</v>
      </c>
      <c r="Q261" s="67">
        <f>_book!$AD$256</f>
        <v>0</v>
      </c>
    </row>
    <row r="262" spans="1:17" x14ac:dyDescent="0.3">
      <c r="A262" s="61" t="str">
        <f>_book!$A$257</f>
        <v>Umbrella</v>
      </c>
      <c r="B262" s="61" t="str">
        <f>_book!$B$257</f>
        <v>ABD</v>
      </c>
      <c r="C262" s="61" t="str">
        <f>_book!$C$257</f>
        <v>FL</v>
      </c>
      <c r="D262" s="62">
        <f>_book!$F$257</f>
        <v>15600</v>
      </c>
      <c r="E262" s="63">
        <f>_book!$N$257</f>
        <v>0.56999999999999995</v>
      </c>
      <c r="F262" s="64">
        <f>_book!$K$257</f>
        <v>1.0014903129657231</v>
      </c>
      <c r="G262" s="64">
        <f>_book!$L$257</f>
        <v>1</v>
      </c>
      <c r="H262" s="64">
        <f>_book!$M$257</f>
        <v>1</v>
      </c>
      <c r="I262" s="63">
        <f>_book!$O$257</f>
        <v>0.57084947839046196</v>
      </c>
      <c r="J262" s="63">
        <f>_book!$P$257</f>
        <v>0.56999999999999995</v>
      </c>
      <c r="K262" s="65">
        <f>_book!$T$257</f>
        <v>-1.488095238095344E-3</v>
      </c>
      <c r="L262" s="65">
        <f>_book!$U$257</f>
        <v>1.490312965722884E-3</v>
      </c>
      <c r="M262" s="65" t="str">
        <f>IF(_book!$V$257=0,"—",_book!$W$257)</f>
        <v>—</v>
      </c>
      <c r="N262" s="63">
        <f>_book!$Y$257</f>
        <v>0.57084947839046196</v>
      </c>
      <c r="O262" s="66" t="str">
        <f>IF(_book!$V$257=0,"—",_book!$AA$257)</f>
        <v>—</v>
      </c>
      <c r="P262" s="67">
        <f>_book!$AC$257</f>
        <v>1</v>
      </c>
      <c r="Q262" s="67">
        <f>_book!$AD$257</f>
        <v>0</v>
      </c>
    </row>
    <row r="263" spans="1:17" x14ac:dyDescent="0.3">
      <c r="A263" s="61" t="str">
        <f>_book!$A$258</f>
        <v>Umbrella</v>
      </c>
      <c r="B263" s="61" t="str">
        <f>_book!$B$258</f>
        <v>ABD</v>
      </c>
      <c r="C263" s="61" t="str">
        <f>_book!$C$258</f>
        <v>GA</v>
      </c>
      <c r="D263" s="62">
        <f>_book!$F$258</f>
        <v>10800</v>
      </c>
      <c r="E263" s="63">
        <f>_book!$N$258</f>
        <v>0.55400000000000005</v>
      </c>
      <c r="F263" s="64">
        <f>_book!$K$258</f>
        <v>1.0031545741324921</v>
      </c>
      <c r="G263" s="64">
        <f>_book!$L$258</f>
        <v>1.007055725494679</v>
      </c>
      <c r="H263" s="64">
        <f>_book!$M$258</f>
        <v>1</v>
      </c>
      <c r="I263" s="63">
        <f>_book!$O$258</f>
        <v>0.55966883681971169</v>
      </c>
      <c r="J263" s="63">
        <f>_book!$P$258</f>
        <v>0.55235148789782518</v>
      </c>
      <c r="K263" s="65">
        <f>_book!$T$258</f>
        <v>-3.1446540880502032E-3</v>
      </c>
      <c r="L263" s="65">
        <f>_book!$U$258</f>
        <v>3.154574132492094E-3</v>
      </c>
      <c r="M263" s="65" t="str">
        <f>IF(_book!$V$258=0,"—",_book!$W$258)</f>
        <v>—</v>
      </c>
      <c r="N263" s="63">
        <f>_book!$Y$258</f>
        <v>0.55966883681971169</v>
      </c>
      <c r="O263" s="66" t="str">
        <f>IF(_book!$V$258=0,"—",_book!$AA$258)</f>
        <v>—</v>
      </c>
      <c r="P263" s="67">
        <f>_book!$AC$258</f>
        <v>1</v>
      </c>
      <c r="Q263" s="67">
        <f>_book!$AD$258</f>
        <v>0</v>
      </c>
    </row>
    <row r="264" spans="1:17" x14ac:dyDescent="0.3">
      <c r="A264" s="61" t="str">
        <f>_book!$A$259</f>
        <v>Umbrella</v>
      </c>
      <c r="B264" s="61" t="str">
        <f>_book!$B$259</f>
        <v>ABD</v>
      </c>
      <c r="C264" s="61" t="str">
        <f>_book!$C$259</f>
        <v>IA</v>
      </c>
      <c r="D264" s="62">
        <f>_book!$F$259</f>
        <v>26400</v>
      </c>
      <c r="E264" s="63">
        <f>_book!$N$259</f>
        <v>0.53800000000000003</v>
      </c>
      <c r="F264" s="64">
        <f>_book!$K$259</f>
        <v>0.99694186360817705</v>
      </c>
      <c r="G264" s="64">
        <f>_book!$L$259</f>
        <v>1.012136019383969</v>
      </c>
      <c r="H264" s="64">
        <f>_book!$M$259</f>
        <v>1</v>
      </c>
      <c r="I264" s="63">
        <f>_book!$O$259</f>
        <v>0.54286393393161347</v>
      </c>
      <c r="J264" s="63">
        <f>_book!$P$259</f>
        <v>0.52614081390593737</v>
      </c>
      <c r="K264" s="65">
        <f>_book!$T$259</f>
        <v>3.0675172780434412E-3</v>
      </c>
      <c r="L264" s="65">
        <f>_book!$U$259</f>
        <v>3.3357934459420369E-2</v>
      </c>
      <c r="M264" s="65" t="str">
        <f>IF(_book!$V$259=0,"—",_book!$W$259)</f>
        <v>—</v>
      </c>
      <c r="N264" s="63">
        <f>_book!$Y$259</f>
        <v>0.54286393393161347</v>
      </c>
      <c r="O264" s="66" t="str">
        <f>IF(_book!$V$259=0,"—",_book!$AA$259)</f>
        <v>—</v>
      </c>
      <c r="P264" s="67">
        <f>_book!$AC$259</f>
        <v>1</v>
      </c>
      <c r="Q264" s="67">
        <f>_book!$AD$259</f>
        <v>1</v>
      </c>
    </row>
    <row r="265" spans="1:17" x14ac:dyDescent="0.3">
      <c r="A265" s="61" t="str">
        <f>_book!$A$260</f>
        <v>Umbrella</v>
      </c>
      <c r="B265" s="61" t="str">
        <f>_book!$B$260</f>
        <v>ABD</v>
      </c>
      <c r="C265" s="61" t="str">
        <f>_book!$C$260</f>
        <v>IL</v>
      </c>
      <c r="D265" s="62">
        <f>_book!$F$260</f>
        <v>21600</v>
      </c>
      <c r="E265" s="63">
        <f>_book!$N$260</f>
        <v>0.56599999999999995</v>
      </c>
      <c r="F265" s="64">
        <f>_book!$K$260</f>
        <v>1.003654080389768</v>
      </c>
      <c r="G265" s="64">
        <f>_book!$L$260</f>
        <v>1.008068778084247</v>
      </c>
      <c r="H265" s="64">
        <f>_book!$M$260</f>
        <v>1</v>
      </c>
      <c r="I265" s="63">
        <f>_book!$O$260</f>
        <v>0.57265182581978458</v>
      </c>
      <c r="J265" s="63">
        <f>_book!$P$260</f>
        <v>0.56676152551345893</v>
      </c>
      <c r="K265" s="65">
        <f>_book!$T$260</f>
        <v>-3.640776699028847E-3</v>
      </c>
      <c r="L265" s="65">
        <f>_book!$U$260</f>
        <v>3.6540803897684442E-3</v>
      </c>
      <c r="M265" s="65" t="str">
        <f>IF(_book!$V$260=0,"—",_book!$W$260)</f>
        <v>—</v>
      </c>
      <c r="N265" s="63">
        <f>_book!$Y$260</f>
        <v>0.57265182581978458</v>
      </c>
      <c r="O265" s="66" t="str">
        <f>IF(_book!$V$260=0,"—",_book!$AA$260)</f>
        <v>—</v>
      </c>
      <c r="P265" s="67">
        <f>_book!$AC$260</f>
        <v>1</v>
      </c>
      <c r="Q265" s="67">
        <f>_book!$AD$260</f>
        <v>0</v>
      </c>
    </row>
    <row r="266" spans="1:17" x14ac:dyDescent="0.3">
      <c r="A266" s="61" t="str">
        <f>_book!$A$261</f>
        <v>Umbrella</v>
      </c>
      <c r="B266" s="61" t="str">
        <f>_book!$B$261</f>
        <v>ABD</v>
      </c>
      <c r="C266" s="61" t="str">
        <f>_book!$C$261</f>
        <v>IN</v>
      </c>
      <c r="D266" s="62">
        <f>_book!$F$261</f>
        <v>16800</v>
      </c>
      <c r="E266" s="63">
        <f>_book!$N$261</f>
        <v>0.55000000000000004</v>
      </c>
      <c r="F266" s="64">
        <f>_book!$K$261</f>
        <v>1.006586906842317</v>
      </c>
      <c r="G266" s="64">
        <f>_book!$L$261</f>
        <v>1.012141452489427</v>
      </c>
      <c r="H266" s="64">
        <f>_book!$M$261</f>
        <v>1</v>
      </c>
      <c r="I266" s="63">
        <f>_book!$O$261</f>
        <v>0.56034458367152262</v>
      </c>
      <c r="J266" s="63">
        <f>_book!$P$261</f>
        <v>0.56045606813691706</v>
      </c>
      <c r="K266" s="65">
        <f>_book!$T$261</f>
        <v>-6.54380341880334E-3</v>
      </c>
      <c r="L266" s="65">
        <f>_book!$U$261</f>
        <v>6.5869068423176644E-3</v>
      </c>
      <c r="M266" s="65" t="str">
        <f>IF(_book!$V$261=0,"—",_book!$W$261)</f>
        <v>—</v>
      </c>
      <c r="N266" s="63">
        <f>_book!$Y$261</f>
        <v>0.56034458367152262</v>
      </c>
      <c r="O266" s="66" t="str">
        <f>IF(_book!$V$261=0,"—",_book!$AA$261)</f>
        <v>—</v>
      </c>
      <c r="P266" s="67">
        <f>_book!$AC$261</f>
        <v>1</v>
      </c>
      <c r="Q266" s="67">
        <f>_book!$AD$261</f>
        <v>0</v>
      </c>
    </row>
    <row r="267" spans="1:17" x14ac:dyDescent="0.3">
      <c r="A267" s="61" t="str">
        <f>_book!$A$262</f>
        <v>Umbrella</v>
      </c>
      <c r="B267" s="61" t="str">
        <f>_book!$B$262</f>
        <v>ABD</v>
      </c>
      <c r="C267" s="61" t="str">
        <f>_book!$C$262</f>
        <v>KY</v>
      </c>
      <c r="D267" s="62">
        <f>_book!$F$262</f>
        <v>12000</v>
      </c>
      <c r="E267" s="63">
        <f>_book!$N$262</f>
        <v>0.53400000000000003</v>
      </c>
      <c r="F267" s="64">
        <f>_book!$K$262</f>
        <v>1</v>
      </c>
      <c r="G267" s="64">
        <f>_book!$L$262</f>
        <v>1.009083870896514</v>
      </c>
      <c r="H267" s="64">
        <f>_book!$M$262</f>
        <v>1</v>
      </c>
      <c r="I267" s="63">
        <f>_book!$O$262</f>
        <v>0.53885078705873857</v>
      </c>
      <c r="J267" s="63">
        <f>_book!$P$262</f>
        <v>0.53704602938511325</v>
      </c>
      <c r="K267" s="65">
        <f>_book!$T$262</f>
        <v>0</v>
      </c>
      <c r="L267" s="65">
        <f>_book!$U$262</f>
        <v>0</v>
      </c>
      <c r="M267" s="65" t="str">
        <f>IF(_book!$V$262=0,"—",_book!$W$262)</f>
        <v>—</v>
      </c>
      <c r="N267" s="63">
        <f>_book!$Y$262</f>
        <v>0.53885078705873857</v>
      </c>
      <c r="O267" s="66" t="str">
        <f>IF(_book!$V$262=0,"—",_book!$AA$262)</f>
        <v>—</v>
      </c>
      <c r="P267" s="67">
        <f>_book!$AC$262</f>
        <v>0</v>
      </c>
      <c r="Q267" s="67">
        <f>_book!$AD$262</f>
        <v>0</v>
      </c>
    </row>
    <row r="268" spans="1:17" x14ac:dyDescent="0.3">
      <c r="A268" s="61" t="str">
        <f>_book!$A$263</f>
        <v>Umbrella</v>
      </c>
      <c r="B268" s="61" t="str">
        <f>_book!$B$263</f>
        <v>ABD</v>
      </c>
      <c r="C268" s="61" t="str">
        <f>_book!$C$263</f>
        <v>MD</v>
      </c>
      <c r="D268" s="62">
        <f>_book!$F$263</f>
        <v>27600</v>
      </c>
      <c r="E268" s="63">
        <f>_book!$N$263</f>
        <v>0.56200000000000006</v>
      </c>
      <c r="F268" s="64">
        <f>_book!$K$263</f>
        <v>1.0148882186796879</v>
      </c>
      <c r="G268" s="64">
        <f>_book!$L$263</f>
        <v>1.006044706983058</v>
      </c>
      <c r="H268" s="64">
        <f>_book!$M$263</f>
        <v>1</v>
      </c>
      <c r="I268" s="63">
        <f>_book!$O$263</f>
        <v>0.57381488136717673</v>
      </c>
      <c r="J268" s="63">
        <f>_book!$P$263</f>
        <v>0.54232815615570873</v>
      </c>
      <c r="K268" s="65">
        <f>_book!$T$263</f>
        <v>-1.466981132075462E-2</v>
      </c>
      <c r="L268" s="65">
        <f>_book!$U$263</f>
        <v>4.4066254966729002E-2</v>
      </c>
      <c r="M268" s="65" t="str">
        <f>IF(_book!$V$263=0,"—",_book!$W$263)</f>
        <v>—</v>
      </c>
      <c r="N268" s="63">
        <f>_book!$Y$263</f>
        <v>0.57381488136717673</v>
      </c>
      <c r="O268" s="66" t="str">
        <f>IF(_book!$V$263=0,"—",_book!$AA$263)</f>
        <v>—</v>
      </c>
      <c r="P268" s="67">
        <f>_book!$AC$263</f>
        <v>1</v>
      </c>
      <c r="Q268" s="67">
        <f>_book!$AD$263</f>
        <v>1</v>
      </c>
    </row>
    <row r="269" spans="1:17" x14ac:dyDescent="0.3">
      <c r="A269" s="61" t="str">
        <f>_book!$A$264</f>
        <v>Umbrella</v>
      </c>
      <c r="B269" s="61" t="str">
        <f>_book!$B$264</f>
        <v>ABD</v>
      </c>
      <c r="C269" s="61" t="str">
        <f>_book!$C$264</f>
        <v>MI</v>
      </c>
      <c r="D269" s="62">
        <f>_book!$F$264</f>
        <v>22800</v>
      </c>
      <c r="E269" s="63">
        <f>_book!$N$264</f>
        <v>0.54600000000000004</v>
      </c>
      <c r="F269" s="64">
        <f>_book!$K$264</f>
        <v>1.0068549492733749</v>
      </c>
      <c r="G269" s="64">
        <f>_book!$L$264</f>
        <v>1.0101010101010099</v>
      </c>
      <c r="H269" s="64">
        <f>_book!$M$264</f>
        <v>1</v>
      </c>
      <c r="I269" s="63">
        <f>_book!$O$264</f>
        <v>0.55529575990228575</v>
      </c>
      <c r="J269" s="63">
        <f>_book!$P$264</f>
        <v>0.55151515151515162</v>
      </c>
      <c r="K269" s="65">
        <f>_book!$T$264</f>
        <v>-6.8082788671023353E-3</v>
      </c>
      <c r="L269" s="65">
        <f>_book!$U$264</f>
        <v>6.8549492733751549E-3</v>
      </c>
      <c r="M269" s="65" t="str">
        <f>IF(_book!$V$264=0,"—",_book!$W$264)</f>
        <v>—</v>
      </c>
      <c r="N269" s="63">
        <f>_book!$Y$264</f>
        <v>0.55529575990228575</v>
      </c>
      <c r="O269" s="66" t="str">
        <f>IF(_book!$V$264=0,"—",_book!$AA$264)</f>
        <v>—</v>
      </c>
      <c r="P269" s="67">
        <f>_book!$AC$264</f>
        <v>1</v>
      </c>
      <c r="Q269" s="67">
        <f>_book!$AD$264</f>
        <v>0</v>
      </c>
    </row>
    <row r="270" spans="1:17" x14ac:dyDescent="0.3">
      <c r="A270" s="61" t="str">
        <f>_book!$A$265</f>
        <v>Umbrella</v>
      </c>
      <c r="B270" s="61" t="str">
        <f>_book!$B$265</f>
        <v>ABD</v>
      </c>
      <c r="C270" s="61" t="str">
        <f>_book!$C$265</f>
        <v>MN</v>
      </c>
      <c r="D270" s="62">
        <f>_book!$F$265</f>
        <v>18000</v>
      </c>
      <c r="E270" s="63">
        <f>_book!$N$265</f>
        <v>0.53</v>
      </c>
      <c r="F270" s="64">
        <f>_book!$K$265</f>
        <v>1</v>
      </c>
      <c r="G270" s="64">
        <f>_book!$L$265</f>
        <v>1.007055725494679</v>
      </c>
      <c r="H270" s="64">
        <f>_book!$M$265</f>
        <v>1</v>
      </c>
      <c r="I270" s="63">
        <f>_book!$O$265</f>
        <v>0.53373953451218004</v>
      </c>
      <c r="J270" s="63">
        <f>_book!$P$265</f>
        <v>0.52842290358456201</v>
      </c>
      <c r="K270" s="65">
        <f>_book!$T$265</f>
        <v>0</v>
      </c>
      <c r="L270" s="65">
        <f>_book!$U$265</f>
        <v>0</v>
      </c>
      <c r="M270" s="65" t="str">
        <f>IF(_book!$V$265=0,"—",_book!$W$265)</f>
        <v>—</v>
      </c>
      <c r="N270" s="63">
        <f>_book!$Y$265</f>
        <v>0.53373953451218004</v>
      </c>
      <c r="O270" s="66" t="str">
        <f>IF(_book!$V$265=0,"—",_book!$AA$265)</f>
        <v>—</v>
      </c>
      <c r="P270" s="67">
        <f>_book!$AC$265</f>
        <v>0</v>
      </c>
      <c r="Q270" s="67">
        <f>_book!$AD$265</f>
        <v>0</v>
      </c>
    </row>
    <row r="271" spans="1:17" x14ac:dyDescent="0.3">
      <c r="A271" s="61" t="str">
        <f>_book!$A$266</f>
        <v>Umbrella</v>
      </c>
      <c r="B271" s="61" t="str">
        <f>_book!$B$266</f>
        <v>ABD</v>
      </c>
      <c r="C271" s="61" t="str">
        <f>_book!$C$266</f>
        <v>NM</v>
      </c>
      <c r="D271" s="62">
        <f>_book!$F$266</f>
        <v>13200</v>
      </c>
      <c r="E271" s="63">
        <f>_book!$N$266</f>
        <v>0.55800000000000005</v>
      </c>
      <c r="F271" s="64">
        <f>_book!$K$266</f>
        <v>0.99999999999999978</v>
      </c>
      <c r="G271" s="64">
        <f>_book!$L$266</f>
        <v>1.011120201892163</v>
      </c>
      <c r="H271" s="64">
        <f>_book!$M$266</f>
        <v>1</v>
      </c>
      <c r="I271" s="63">
        <f>_book!$O$266</f>
        <v>0.56420507265582687</v>
      </c>
      <c r="J271" s="63">
        <f>_book!$P$266</f>
        <v>0.56611134421243869</v>
      </c>
      <c r="K271" s="65">
        <f>_book!$T$266</f>
        <v>0</v>
      </c>
      <c r="L271" s="65">
        <f>_book!$U$266</f>
        <v>0</v>
      </c>
      <c r="M271" s="65" t="str">
        <f>IF(_book!$V$266=0,"—",_book!$W$266)</f>
        <v>—</v>
      </c>
      <c r="N271" s="63">
        <f>_book!$Y$266</f>
        <v>0.56420507265582687</v>
      </c>
      <c r="O271" s="66" t="str">
        <f>IF(_book!$V$266=0,"—",_book!$AA$266)</f>
        <v>—</v>
      </c>
      <c r="P271" s="67">
        <f>_book!$AC$266</f>
        <v>1</v>
      </c>
      <c r="Q271" s="67">
        <f>_book!$AD$266</f>
        <v>0</v>
      </c>
    </row>
    <row r="272" spans="1:17" x14ac:dyDescent="0.3">
      <c r="A272" s="61" t="str">
        <f>_book!$A$267</f>
        <v>Umbrella</v>
      </c>
      <c r="B272" s="61" t="str">
        <f>_book!$B$267</f>
        <v>ABD</v>
      </c>
      <c r="C272" s="61" t="str">
        <f>_book!$C$267</f>
        <v>NC</v>
      </c>
      <c r="D272" s="62">
        <f>_book!$F$267</f>
        <v>28800</v>
      </c>
      <c r="E272" s="63">
        <f>_book!$N$267</f>
        <v>0.54200000000000004</v>
      </c>
      <c r="F272" s="64">
        <f>_book!$K$267</f>
        <v>0.9890368664800232</v>
      </c>
      <c r="G272" s="64">
        <f>_book!$L$267</f>
        <v>1.008068778084247</v>
      </c>
      <c r="H272" s="64">
        <f>_book!$M$267</f>
        <v>1</v>
      </c>
      <c r="I272" s="63">
        <f>_book!$O$267</f>
        <v>0.54038331452625188</v>
      </c>
      <c r="J272" s="63">
        <f>_book!$P$267</f>
        <v>0.52248301774148365</v>
      </c>
      <c r="K272" s="65">
        <f>_book!$T$267</f>
        <v>1.108465608465603E-2</v>
      </c>
      <c r="L272" s="65">
        <f>_book!$U$267</f>
        <v>2.7362045056124051E-2</v>
      </c>
      <c r="M272" s="65" t="str">
        <f>IF(_book!$V$267=0,"—",_book!$W$267)</f>
        <v>—</v>
      </c>
      <c r="N272" s="63">
        <f>_book!$Y$267</f>
        <v>0.54038331452625188</v>
      </c>
      <c r="O272" s="66" t="str">
        <f>IF(_book!$V$267=0,"—",_book!$AA$267)</f>
        <v>—</v>
      </c>
      <c r="P272" s="67">
        <f>_book!$AC$267</f>
        <v>1</v>
      </c>
      <c r="Q272" s="67">
        <f>_book!$AD$267</f>
        <v>1</v>
      </c>
    </row>
    <row r="273" spans="1:17" x14ac:dyDescent="0.3">
      <c r="A273" s="61" t="str">
        <f>_book!$A$268</f>
        <v>Umbrella</v>
      </c>
      <c r="B273" s="61" t="str">
        <f>_book!$B$268</f>
        <v>ABD</v>
      </c>
      <c r="C273" s="61" t="str">
        <f>_book!$C$268</f>
        <v>OH</v>
      </c>
      <c r="D273" s="62">
        <f>_book!$F$268</f>
        <v>24000</v>
      </c>
      <c r="E273" s="63">
        <f>_book!$N$268</f>
        <v>0.56999999999999995</v>
      </c>
      <c r="F273" s="64">
        <f>_book!$K$268</f>
        <v>1</v>
      </c>
      <c r="G273" s="64">
        <f>_book!$L$268</f>
        <v>1.012141452489427</v>
      </c>
      <c r="H273" s="64">
        <f>_book!$M$268</f>
        <v>1</v>
      </c>
      <c r="I273" s="63">
        <f>_book!$O$268</f>
        <v>0.57692062791897336</v>
      </c>
      <c r="J273" s="63">
        <f>_book!$P$268</f>
        <v>0.58083628879644134</v>
      </c>
      <c r="K273" s="65">
        <f>_book!$T$268</f>
        <v>0</v>
      </c>
      <c r="L273" s="65">
        <f>_book!$U$268</f>
        <v>0</v>
      </c>
      <c r="M273" s="65" t="str">
        <f>IF(_book!$V$268=0,"—",_book!$W$268)</f>
        <v>—</v>
      </c>
      <c r="N273" s="63">
        <f>_book!$Y$268</f>
        <v>0.57692062791897336</v>
      </c>
      <c r="O273" s="66" t="str">
        <f>IF(_book!$V$268=0,"—",_book!$AA$268)</f>
        <v>—</v>
      </c>
      <c r="P273" s="67">
        <f>_book!$AC$268</f>
        <v>0</v>
      </c>
      <c r="Q273" s="67">
        <f>_book!$AD$268</f>
        <v>0</v>
      </c>
    </row>
    <row r="274" spans="1:17" x14ac:dyDescent="0.3">
      <c r="A274" s="61" t="str">
        <f>_book!$A$269</f>
        <v>Umbrella</v>
      </c>
      <c r="B274" s="61" t="str">
        <f>_book!$B$269</f>
        <v>ABD</v>
      </c>
      <c r="C274" s="61" t="str">
        <f>_book!$C$269</f>
        <v>PA</v>
      </c>
      <c r="D274" s="62">
        <f>_book!$F$269</f>
        <v>19200</v>
      </c>
      <c r="E274" s="63">
        <f>_book!$N$269</f>
        <v>0.55400000000000005</v>
      </c>
      <c r="F274" s="64">
        <f>_book!$K$269</f>
        <v>1.000613120784795</v>
      </c>
      <c r="G274" s="64">
        <f>_book!$L$269</f>
        <v>1.009083870896514</v>
      </c>
      <c r="H274" s="64">
        <f>_book!$M$269</f>
        <v>1</v>
      </c>
      <c r="I274" s="63">
        <f>_book!$O$269</f>
        <v>0.55937521890001463</v>
      </c>
      <c r="J274" s="63">
        <f>_book!$P$269</f>
        <v>0.55716011288268319</v>
      </c>
      <c r="K274" s="65">
        <f>_book!$T$269</f>
        <v>-6.1274509803932453E-4</v>
      </c>
      <c r="L274" s="65">
        <f>_book!$U$269</f>
        <v>6.1312078479458521E-4</v>
      </c>
      <c r="M274" s="65" t="str">
        <f>IF(_book!$V$269=0,"—",_book!$W$269)</f>
        <v>—</v>
      </c>
      <c r="N274" s="63">
        <f>_book!$Y$269</f>
        <v>0.55937521890001463</v>
      </c>
      <c r="O274" s="66" t="str">
        <f>IF(_book!$V$269=0,"—",_book!$AA$269)</f>
        <v>—</v>
      </c>
      <c r="P274" s="67">
        <f>_book!$AC$269</f>
        <v>1</v>
      </c>
      <c r="Q274" s="67">
        <f>_book!$AD$269</f>
        <v>0</v>
      </c>
    </row>
    <row r="275" spans="1:17" x14ac:dyDescent="0.3">
      <c r="A275" s="61" t="str">
        <f>_book!$A$270</f>
        <v>Umbrella</v>
      </c>
      <c r="B275" s="61" t="str">
        <f>_book!$B$270</f>
        <v>ABD</v>
      </c>
      <c r="C275" s="61" t="str">
        <f>_book!$C$270</f>
        <v>SC</v>
      </c>
      <c r="D275" s="62">
        <f>_book!$F$270</f>
        <v>14400</v>
      </c>
      <c r="E275" s="63">
        <f>_book!$N$270</f>
        <v>0.53800000000000003</v>
      </c>
      <c r="F275" s="64">
        <f>_book!$K$270</f>
        <v>1.00162074554295</v>
      </c>
      <c r="G275" s="64">
        <f>_book!$L$270</f>
        <v>1.006044706983058</v>
      </c>
      <c r="H275" s="64">
        <f>_book!$M$270</f>
        <v>1</v>
      </c>
      <c r="I275" s="63">
        <f>_book!$O$270</f>
        <v>0.54212928420835527</v>
      </c>
      <c r="J275" s="63">
        <f>_book!$P$270</f>
        <v>0.53409432164966142</v>
      </c>
      <c r="K275" s="65">
        <f>_book!$T$270</f>
        <v>-1.618122977346093E-3</v>
      </c>
      <c r="L275" s="65">
        <f>_book!$U$270</f>
        <v>1.620745542949775E-3</v>
      </c>
      <c r="M275" s="65" t="str">
        <f>IF(_book!$V$270=0,"—",_book!$W$270)</f>
        <v>—</v>
      </c>
      <c r="N275" s="63">
        <f>_book!$Y$270</f>
        <v>0.54212928420835527</v>
      </c>
      <c r="O275" s="66" t="str">
        <f>IF(_book!$V$270=0,"—",_book!$AA$270)</f>
        <v>—</v>
      </c>
      <c r="P275" s="67">
        <f>_book!$AC$270</f>
        <v>1</v>
      </c>
      <c r="Q275" s="67">
        <f>_book!$AD$270</f>
        <v>0</v>
      </c>
    </row>
    <row r="276" spans="1:17" x14ac:dyDescent="0.3">
      <c r="A276" s="61" t="str">
        <f>_book!$A$271</f>
        <v>Umbrella</v>
      </c>
      <c r="B276" s="61" t="str">
        <f>_book!$B$271</f>
        <v>ABD</v>
      </c>
      <c r="C276" s="61" t="str">
        <f>_book!$C$271</f>
        <v>TN</v>
      </c>
      <c r="D276" s="62">
        <f>_book!$F$271</f>
        <v>9600</v>
      </c>
      <c r="E276" s="63">
        <f>_book!$N$271</f>
        <v>0.56599999999999995</v>
      </c>
      <c r="F276" s="64">
        <f>_book!$K$271</f>
        <v>0.9965397923875432</v>
      </c>
      <c r="G276" s="64">
        <f>_book!$L$271</f>
        <v>1.0101010101010099</v>
      </c>
      <c r="H276" s="64">
        <f>_book!$M$271</f>
        <v>1</v>
      </c>
      <c r="I276" s="63">
        <f>_book!$O$271</f>
        <v>0.56973891160742363</v>
      </c>
      <c r="J276" s="63">
        <f>_book!$P$271</f>
        <v>0.5533490571802171</v>
      </c>
      <c r="K276" s="65">
        <f>_book!$T$271</f>
        <v>3.4722222222223209E-3</v>
      </c>
      <c r="L276" s="65">
        <f>_book!$U$271</f>
        <v>2.9619377162629631E-2</v>
      </c>
      <c r="M276" s="65" t="str">
        <f>IF(_book!$V$271=0,"—",_book!$W$271)</f>
        <v>—</v>
      </c>
      <c r="N276" s="63">
        <f>_book!$Y$271</f>
        <v>0.56973891160742363</v>
      </c>
      <c r="O276" s="66" t="str">
        <f>IF(_book!$V$271=0,"—",_book!$AA$271)</f>
        <v>—</v>
      </c>
      <c r="P276" s="67">
        <f>_book!$AC$271</f>
        <v>0</v>
      </c>
      <c r="Q276" s="67">
        <f>_book!$AD$271</f>
        <v>1</v>
      </c>
    </row>
    <row r="277" spans="1:17" x14ac:dyDescent="0.3">
      <c r="A277" s="61" t="str">
        <f>_book!$A$272</f>
        <v>Umbrella</v>
      </c>
      <c r="B277" s="61" t="str">
        <f>_book!$B$272</f>
        <v>ABD</v>
      </c>
      <c r="C277" s="61" t="str">
        <f>_book!$C$272</f>
        <v>VA</v>
      </c>
      <c r="D277" s="62">
        <f>_book!$F$272</f>
        <v>25200</v>
      </c>
      <c r="E277" s="63">
        <f>_book!$N$272</f>
        <v>0.55000000000000004</v>
      </c>
      <c r="F277" s="64">
        <f>_book!$K$272</f>
        <v>1.005988023952096</v>
      </c>
      <c r="G277" s="64">
        <f>_book!$L$272</f>
        <v>1.007055725494679</v>
      </c>
      <c r="H277" s="64">
        <f>_book!$M$272</f>
        <v>1</v>
      </c>
      <c r="I277" s="63">
        <f>_book!$O$272</f>
        <v>0.55719729961502029</v>
      </c>
      <c r="J277" s="63">
        <f>_book!$P$272</f>
        <v>0.54836339051228133</v>
      </c>
      <c r="K277" s="65">
        <f>_book!$T$272</f>
        <v>-5.9523809523810423E-3</v>
      </c>
      <c r="L277" s="65">
        <f>_book!$U$272</f>
        <v>5.9880239520959666E-3</v>
      </c>
      <c r="M277" s="65" t="str">
        <f>IF(_book!$V$272=0,"—",_book!$W$272)</f>
        <v>—</v>
      </c>
      <c r="N277" s="63">
        <f>_book!$Y$272</f>
        <v>0.55719729961502029</v>
      </c>
      <c r="O277" s="66" t="str">
        <f>IF(_book!$V$272=0,"—",_book!$AA$272)</f>
        <v>—</v>
      </c>
      <c r="P277" s="67">
        <f>_book!$AC$272</f>
        <v>1</v>
      </c>
      <c r="Q277" s="67">
        <f>_book!$AD$272</f>
        <v>0</v>
      </c>
    </row>
    <row r="278" spans="1:17" x14ac:dyDescent="0.3">
      <c r="A278" s="61" t="str">
        <f>_book!$A$273</f>
        <v>Umbrella</v>
      </c>
      <c r="B278" s="61" t="str">
        <f>_book!$B$273</f>
        <v>ABD</v>
      </c>
      <c r="C278" s="61" t="str">
        <f>_book!$C$273</f>
        <v>WV</v>
      </c>
      <c r="D278" s="62">
        <f>_book!$F$273</f>
        <v>20400</v>
      </c>
      <c r="E278" s="63">
        <f>_book!$N$273</f>
        <v>0.53400000000000003</v>
      </c>
      <c r="F278" s="64">
        <f>_book!$K$273</f>
        <v>1.009724151617384</v>
      </c>
      <c r="G278" s="64">
        <f>_book!$L$273</f>
        <v>1.011120201892163</v>
      </c>
      <c r="H278" s="64">
        <f>_book!$M$273</f>
        <v>1</v>
      </c>
      <c r="I278" s="63">
        <f>_book!$O$273</f>
        <v>0.54518862861269934</v>
      </c>
      <c r="J278" s="63">
        <f>_book!$P$273</f>
        <v>0.54176246919254889</v>
      </c>
      <c r="K278" s="65">
        <f>_book!$T$273</f>
        <v>-9.630503144654079E-3</v>
      </c>
      <c r="L278" s="65">
        <f>_book!$U$273</f>
        <v>9.7241516173847131E-3</v>
      </c>
      <c r="M278" s="65" t="str">
        <f>IF(_book!$V$273=0,"—",_book!$W$273)</f>
        <v>—</v>
      </c>
      <c r="N278" s="63">
        <f>_book!$Y$273</f>
        <v>0.54518862861269934</v>
      </c>
      <c r="O278" s="66" t="str">
        <f>IF(_book!$V$273=0,"—",_book!$AA$273)</f>
        <v>—</v>
      </c>
      <c r="P278" s="67">
        <f>_book!$AC$273</f>
        <v>1</v>
      </c>
      <c r="Q278" s="67">
        <f>_book!$AD$273</f>
        <v>0</v>
      </c>
    </row>
    <row r="279" spans="1:17" x14ac:dyDescent="0.3">
      <c r="A279" s="61" t="str">
        <f>_book!$A$274</f>
        <v>Umbrella</v>
      </c>
      <c r="B279" s="61" t="str">
        <f>_book!$B$274</f>
        <v>ABD</v>
      </c>
      <c r="C279" s="61" t="str">
        <f>_book!$C$274</f>
        <v>WI</v>
      </c>
      <c r="D279" s="62">
        <f>_book!$F$274</f>
        <v>15600</v>
      </c>
      <c r="E279" s="63">
        <f>_book!$N$274</f>
        <v>0.56200000000000006</v>
      </c>
      <c r="F279" s="64">
        <f>_book!$K$274</f>
        <v>1</v>
      </c>
      <c r="G279" s="64">
        <f>_book!$L$274</f>
        <v>1.008068778084247</v>
      </c>
      <c r="H279" s="64">
        <f>_book!$M$274</f>
        <v>1</v>
      </c>
      <c r="I279" s="63">
        <f>_book!$O$274</f>
        <v>0.56653465328334673</v>
      </c>
      <c r="J279" s="63">
        <f>_book!$P$274</f>
        <v>0.56275614370771032</v>
      </c>
      <c r="K279" s="65">
        <f>_book!$T$274</f>
        <v>0</v>
      </c>
      <c r="L279" s="65">
        <f>_book!$U$274</f>
        <v>0</v>
      </c>
      <c r="M279" s="65" t="str">
        <f>IF(_book!$V$274=0,"—",_book!$W$274)</f>
        <v>—</v>
      </c>
      <c r="N279" s="63">
        <f>_book!$Y$274</f>
        <v>0.56653465328334673</v>
      </c>
      <c r="O279" s="66" t="str">
        <f>IF(_book!$V$274=0,"—",_book!$AA$274)</f>
        <v>—</v>
      </c>
      <c r="P279" s="67">
        <f>_book!$AC$274</f>
        <v>0</v>
      </c>
      <c r="Q279" s="67">
        <f>_book!$AD$274</f>
        <v>0</v>
      </c>
    </row>
    <row r="280" spans="1:17" x14ac:dyDescent="0.3">
      <c r="A280" s="61" t="str">
        <f>_book!$A$275</f>
        <v>Umbrella</v>
      </c>
      <c r="B280" s="61" t="str">
        <f>_book!$B$275</f>
        <v>MM</v>
      </c>
      <c r="C280" s="61" t="str">
        <f>_book!$C$275</f>
        <v>AZ</v>
      </c>
      <c r="D280" s="62">
        <f>_book!$F$275</f>
        <v>10800</v>
      </c>
      <c r="E280" s="63">
        <f>_book!$N$275</f>
        <v>0.54600000000000004</v>
      </c>
      <c r="F280" s="64">
        <f>_book!$K$275</f>
        <v>0.99145975603886694</v>
      </c>
      <c r="G280" s="64">
        <f>_book!$L$275</f>
        <v>1.012141452489427</v>
      </c>
      <c r="H280" s="64">
        <f>_book!$M$275</f>
        <v>1</v>
      </c>
      <c r="I280" s="63">
        <f>_book!$O$275</f>
        <v>0.5479096445888475</v>
      </c>
      <c r="J280" s="63">
        <f>_book!$P$275</f>
        <v>0.53505224693950693</v>
      </c>
      <c r="K280" s="65">
        <f>_book!$T$275</f>
        <v>8.6138079827400293E-3</v>
      </c>
      <c r="L280" s="65">
        <f>_book!$U$275</f>
        <v>3.098044353652751E-2</v>
      </c>
      <c r="M280" s="65" t="str">
        <f>IF(_book!$V$275=0,"—",_book!$W$275)</f>
        <v>—</v>
      </c>
      <c r="N280" s="63">
        <f>_book!$Y$275</f>
        <v>0.5479096445888475</v>
      </c>
      <c r="O280" s="66" t="str">
        <f>IF(_book!$V$275=0,"—",_book!$AA$275)</f>
        <v>—</v>
      </c>
      <c r="P280" s="67">
        <f>_book!$AC$275</f>
        <v>1</v>
      </c>
      <c r="Q280" s="67">
        <f>_book!$AD$275</f>
        <v>1</v>
      </c>
    </row>
    <row r="281" spans="1:17" x14ac:dyDescent="0.3">
      <c r="A281" s="61" t="str">
        <f>_book!$A$276</f>
        <v>Umbrella</v>
      </c>
      <c r="B281" s="61" t="str">
        <f>_book!$B$276</f>
        <v>MM</v>
      </c>
      <c r="C281" s="61" t="str">
        <f>_book!$C$276</f>
        <v>CO</v>
      </c>
      <c r="D281" s="62">
        <f>_book!$F$276</f>
        <v>26400</v>
      </c>
      <c r="E281" s="63">
        <f>_book!$N$276</f>
        <v>0.57240000000000002</v>
      </c>
      <c r="F281" s="64">
        <f>_book!$K$276</f>
        <v>1.013535462912831</v>
      </c>
      <c r="G281" s="64">
        <f>_book!$L$276</f>
        <v>1.009083870896514</v>
      </c>
      <c r="H281" s="64">
        <f>_book!$M$276</f>
        <v>1</v>
      </c>
      <c r="I281" s="63">
        <f>_book!$O$276</f>
        <v>0.5854176857696699</v>
      </c>
      <c r="J281" s="63">
        <f>_book!$P$276</f>
        <v>0.58142172039745155</v>
      </c>
      <c r="K281" s="65">
        <f>_book!$T$276</f>
        <v>-1.3354700854700811E-2</v>
      </c>
      <c r="L281" s="65">
        <f>_book!$U$276</f>
        <v>1.3535462912831701E-2</v>
      </c>
      <c r="M281" s="65" t="str">
        <f>IF(_book!$V$276=0,"—",_book!$W$276)</f>
        <v>—</v>
      </c>
      <c r="N281" s="63">
        <f>_book!$Y$276</f>
        <v>0.5854176857696699</v>
      </c>
      <c r="O281" s="66" t="str">
        <f>IF(_book!$V$276=0,"—",_book!$AA$276)</f>
        <v>—</v>
      </c>
      <c r="P281" s="67">
        <f>_book!$AC$276</f>
        <v>1</v>
      </c>
      <c r="Q281" s="67">
        <f>_book!$AD$276</f>
        <v>0</v>
      </c>
    </row>
    <row r="282" spans="1:17" x14ac:dyDescent="0.3">
      <c r="A282" s="61" t="str">
        <f>_book!$A$277</f>
        <v>Umbrella</v>
      </c>
      <c r="B282" s="61" t="str">
        <f>_book!$B$277</f>
        <v>MM</v>
      </c>
      <c r="C282" s="61" t="str">
        <f>_book!$C$277</f>
        <v>DE</v>
      </c>
      <c r="D282" s="62">
        <f>_book!$F$277</f>
        <v>21600</v>
      </c>
      <c r="E282" s="63">
        <f>_book!$N$277</f>
        <v>0.55800000000000005</v>
      </c>
      <c r="F282" s="64">
        <f>_book!$K$277</f>
        <v>0.99554699171046557</v>
      </c>
      <c r="G282" s="64">
        <f>_book!$L$277</f>
        <v>0.99913570688790188</v>
      </c>
      <c r="H282" s="64">
        <f>_book!$M$277</f>
        <v>1.02</v>
      </c>
      <c r="I282" s="63">
        <f>_book!$O$277</f>
        <v>0.56613579526283908</v>
      </c>
      <c r="J282" s="63">
        <f>_book!$P$277</f>
        <v>0.53859724316767776</v>
      </c>
      <c r="K282" s="65">
        <f>_book!$T$277</f>
        <v>4.4729262672811299E-3</v>
      </c>
      <c r="L282" s="65">
        <f>_book!$U$277</f>
        <v>2.3332654725072951E-2</v>
      </c>
      <c r="M282" s="65" t="str">
        <f>IF(_book!$V$277=0,"—",_book!$W$277)</f>
        <v>—</v>
      </c>
      <c r="N282" s="63">
        <f>_book!$Y$277</f>
        <v>0.56613579526283908</v>
      </c>
      <c r="O282" s="66" t="str">
        <f>IF(_book!$V$277=0,"—",_book!$AA$277)</f>
        <v>—</v>
      </c>
      <c r="P282" s="67">
        <f>_book!$AC$277</f>
        <v>1</v>
      </c>
      <c r="Q282" s="67">
        <f>_book!$AD$277</f>
        <v>1</v>
      </c>
    </row>
    <row r="283" spans="1:17" x14ac:dyDescent="0.3">
      <c r="A283" s="61" t="str">
        <f>_book!$A$278</f>
        <v>Umbrella</v>
      </c>
      <c r="B283" s="61" t="str">
        <f>_book!$B$278</f>
        <v>MM</v>
      </c>
      <c r="C283" s="61" t="str">
        <f>_book!$C$278</f>
        <v>FL</v>
      </c>
      <c r="D283" s="62">
        <f>_book!$F$278</f>
        <v>16800</v>
      </c>
      <c r="E283" s="63">
        <f>_book!$N$278</f>
        <v>0.54200000000000004</v>
      </c>
      <c r="F283" s="64">
        <f>_book!$K$278</f>
        <v>1.00418410041841</v>
      </c>
      <c r="G283" s="64">
        <f>_book!$L$278</f>
        <v>1.0101010101010099</v>
      </c>
      <c r="H283" s="64">
        <f>_book!$M$278</f>
        <v>1</v>
      </c>
      <c r="I283" s="63">
        <f>_book!$O$278</f>
        <v>0.54976543679472534</v>
      </c>
      <c r="J283" s="63">
        <f>_book!$P$278</f>
        <v>0.52273209497907136</v>
      </c>
      <c r="K283" s="65">
        <f>_book!$T$278</f>
        <v>-4.1666666666666519E-3</v>
      </c>
      <c r="L283" s="65">
        <f>_book!$U$278</f>
        <v>5.1715481171548117E-2</v>
      </c>
      <c r="M283" s="65" t="str">
        <f>IF(_book!$V$278=0,"—",_book!$W$278)</f>
        <v>—</v>
      </c>
      <c r="N283" s="63">
        <f>_book!$Y$278</f>
        <v>0.54976543679472534</v>
      </c>
      <c r="O283" s="66" t="str">
        <f>IF(_book!$V$278=0,"—",_book!$AA$278)</f>
        <v>—</v>
      </c>
      <c r="P283" s="67">
        <f>_book!$AC$278</f>
        <v>1</v>
      </c>
      <c r="Q283" s="67">
        <f>_book!$AD$278</f>
        <v>1</v>
      </c>
    </row>
    <row r="284" spans="1:17" x14ac:dyDescent="0.3">
      <c r="A284" s="61" t="str">
        <f>_book!$A$279</f>
        <v>Umbrella</v>
      </c>
      <c r="B284" s="61" t="str">
        <f>_book!$B$279</f>
        <v>MM</v>
      </c>
      <c r="C284" s="61" t="str">
        <f>_book!$C$279</f>
        <v>GA</v>
      </c>
      <c r="D284" s="62">
        <f>_book!$F$279</f>
        <v>12000</v>
      </c>
      <c r="E284" s="63">
        <f>_book!$N$279</f>
        <v>0.56999999999999995</v>
      </c>
      <c r="F284" s="64">
        <f>_book!$K$279</f>
        <v>0.99330761698144854</v>
      </c>
      <c r="G284" s="64">
        <f>_book!$L$279</f>
        <v>1.007055725494679</v>
      </c>
      <c r="H284" s="64">
        <f>_book!$M$279</f>
        <v>1</v>
      </c>
      <c r="I284" s="63">
        <f>_book!$O$279</f>
        <v>0.57018019002942677</v>
      </c>
      <c r="J284" s="63">
        <f>_book!$P$279</f>
        <v>0.54827655333887215</v>
      </c>
      <c r="K284" s="65">
        <f>_book!$T$279</f>
        <v>6.7374727668845216E-3</v>
      </c>
      <c r="L284" s="65">
        <f>_book!$U$279</f>
        <v>2.9590936879521301E-2</v>
      </c>
      <c r="M284" s="65" t="str">
        <f>IF(_book!$V$279=0,"—",_book!$W$279)</f>
        <v>—</v>
      </c>
      <c r="N284" s="63">
        <f>_book!$Y$279</f>
        <v>0.57018019002942677</v>
      </c>
      <c r="O284" s="66" t="str">
        <f>IF(_book!$V$279=0,"—",_book!$AA$279)</f>
        <v>—</v>
      </c>
      <c r="P284" s="67">
        <f>_book!$AC$279</f>
        <v>1</v>
      </c>
      <c r="Q284" s="67">
        <f>_book!$AD$279</f>
        <v>1</v>
      </c>
    </row>
    <row r="285" spans="1:17" x14ac:dyDescent="0.3">
      <c r="A285" s="61" t="str">
        <f>_book!$A$280</f>
        <v>Umbrella</v>
      </c>
      <c r="B285" s="61" t="str">
        <f>_book!$B$280</f>
        <v>MM</v>
      </c>
      <c r="C285" s="61" t="str">
        <f>_book!$C$280</f>
        <v>IA</v>
      </c>
      <c r="D285" s="62">
        <f>_book!$F$280</f>
        <v>27600</v>
      </c>
      <c r="E285" s="63">
        <f>_book!$N$280</f>
        <v>0.55400000000000005</v>
      </c>
      <c r="F285" s="64">
        <f>_book!$K$280</f>
        <v>1</v>
      </c>
      <c r="G285" s="64">
        <f>_book!$L$280</f>
        <v>1.011120201892163</v>
      </c>
      <c r="H285" s="64">
        <f>_book!$M$280</f>
        <v>1</v>
      </c>
      <c r="I285" s="63">
        <f>_book!$O$280</f>
        <v>0.56016059184825839</v>
      </c>
      <c r="J285" s="63">
        <f>_book!$P$280</f>
        <v>0.56205319837579049</v>
      </c>
      <c r="K285" s="65">
        <f>_book!$T$280</f>
        <v>0</v>
      </c>
      <c r="L285" s="65">
        <f>_book!$U$280</f>
        <v>0</v>
      </c>
      <c r="M285" s="65" t="str">
        <f>IF(_book!$V$280=0,"—",_book!$W$280)</f>
        <v>—</v>
      </c>
      <c r="N285" s="63">
        <f>_book!$Y$280</f>
        <v>0.56016059184825839</v>
      </c>
      <c r="O285" s="66" t="str">
        <f>IF(_book!$V$280=0,"—",_book!$AA$280)</f>
        <v>—</v>
      </c>
      <c r="P285" s="67">
        <f>_book!$AC$280</f>
        <v>0</v>
      </c>
      <c r="Q285" s="67">
        <f>_book!$AD$280</f>
        <v>0</v>
      </c>
    </row>
    <row r="286" spans="1:17" x14ac:dyDescent="0.3">
      <c r="A286" s="61" t="str">
        <f>_book!$A$281</f>
        <v>Umbrella</v>
      </c>
      <c r="B286" s="61" t="str">
        <f>_book!$B$281</f>
        <v>MM</v>
      </c>
      <c r="C286" s="61" t="str">
        <f>_book!$C$281</f>
        <v>IL</v>
      </c>
      <c r="D286" s="62">
        <f>_book!$F$281</f>
        <v>22800</v>
      </c>
      <c r="E286" s="63">
        <f>_book!$N$281</f>
        <v>0.53800000000000003</v>
      </c>
      <c r="F286" s="64">
        <f>_book!$K$281</f>
        <v>1.001203369434416</v>
      </c>
      <c r="G286" s="64">
        <f>_book!$L$281</f>
        <v>1.008068778084247</v>
      </c>
      <c r="H286" s="64">
        <f>_book!$M$281</f>
        <v>1</v>
      </c>
      <c r="I286" s="63">
        <f>_book!$O$281</f>
        <v>0.54299363919489552</v>
      </c>
      <c r="J286" s="63">
        <f>_book!$P$281</f>
        <v>0.53872385287321722</v>
      </c>
      <c r="K286" s="65">
        <f>_book!$T$281</f>
        <v>-1.2019230769230169E-3</v>
      </c>
      <c r="L286" s="65">
        <f>_book!$U$281</f>
        <v>1.2033694344164569E-3</v>
      </c>
      <c r="M286" s="65" t="str">
        <f>IF(_book!$V$281=0,"—",_book!$W$281)</f>
        <v>—</v>
      </c>
      <c r="N286" s="63">
        <f>_book!$Y$281</f>
        <v>0.54299363919489552</v>
      </c>
      <c r="O286" s="66" t="str">
        <f>IF(_book!$V$281=0,"—",_book!$AA$281)</f>
        <v>—</v>
      </c>
      <c r="P286" s="67">
        <f>_book!$AC$281</f>
        <v>1</v>
      </c>
      <c r="Q286" s="67">
        <f>_book!$AD$281</f>
        <v>0</v>
      </c>
    </row>
    <row r="287" spans="1:17" x14ac:dyDescent="0.3">
      <c r="A287" s="61" t="str">
        <f>_book!$A$282</f>
        <v>Umbrella</v>
      </c>
      <c r="B287" s="61" t="str">
        <f>_book!$B$282</f>
        <v>MM</v>
      </c>
      <c r="C287" s="61" t="str">
        <f>_book!$C$282</f>
        <v>IN</v>
      </c>
      <c r="D287" s="62">
        <f>_book!$F$282</f>
        <v>18000</v>
      </c>
      <c r="E287" s="63">
        <f>_book!$N$282</f>
        <v>0.56599999999999995</v>
      </c>
      <c r="F287" s="64">
        <f>_book!$K$282</f>
        <v>1.0026525198938989</v>
      </c>
      <c r="G287" s="64">
        <f>_book!$L$282</f>
        <v>1.012141452489427</v>
      </c>
      <c r="H287" s="64">
        <f>_book!$M$282</f>
        <v>1</v>
      </c>
      <c r="I287" s="63">
        <f>_book!$O$282</f>
        <v>0.57439161665041882</v>
      </c>
      <c r="J287" s="63">
        <f>_book!$P$282</f>
        <v>0.57676024466453646</v>
      </c>
      <c r="K287" s="65">
        <f>_book!$T$282</f>
        <v>-2.6455026455026731E-3</v>
      </c>
      <c r="L287" s="65">
        <f>_book!$U$282</f>
        <v>2.6525198938991408E-3</v>
      </c>
      <c r="M287" s="65" t="str">
        <f>IF(_book!$V$282=0,"—",_book!$W$282)</f>
        <v>—</v>
      </c>
      <c r="N287" s="63">
        <f>_book!$Y$282</f>
        <v>0.57439161665041882</v>
      </c>
      <c r="O287" s="66" t="str">
        <f>IF(_book!$V$282=0,"—",_book!$AA$282)</f>
        <v>—</v>
      </c>
      <c r="P287" s="67">
        <f>_book!$AC$282</f>
        <v>1</v>
      </c>
      <c r="Q287" s="67">
        <f>_book!$AD$282</f>
        <v>0</v>
      </c>
    </row>
    <row r="288" spans="1:17" x14ac:dyDescent="0.3">
      <c r="A288" s="61" t="str">
        <f>_book!$A$283</f>
        <v>Umbrella</v>
      </c>
      <c r="B288" s="61" t="str">
        <f>_book!$B$283</f>
        <v>MM</v>
      </c>
      <c r="C288" s="61" t="str">
        <f>_book!$C$283</f>
        <v>KY</v>
      </c>
      <c r="D288" s="62">
        <f>_book!$F$283</f>
        <v>13200</v>
      </c>
      <c r="E288" s="63">
        <f>_book!$N$283</f>
        <v>0.55000000000000004</v>
      </c>
      <c r="F288" s="64">
        <f>_book!$K$283</f>
        <v>0.99875156054931336</v>
      </c>
      <c r="G288" s="64">
        <f>_book!$L$283</f>
        <v>1.009083870896514</v>
      </c>
      <c r="H288" s="64">
        <f>_book!$M$283</f>
        <v>1</v>
      </c>
      <c r="I288" s="63">
        <f>_book!$O$283</f>
        <v>0.55430324993066948</v>
      </c>
      <c r="J288" s="63">
        <f>_book!$P$283</f>
        <v>0.53767902423637326</v>
      </c>
      <c r="K288" s="65">
        <f>_book!$T$283</f>
        <v>1.2499999999999729E-3</v>
      </c>
      <c r="L288" s="65">
        <f>_book!$U$283</f>
        <v>2.7465667915106181E-2</v>
      </c>
      <c r="M288" s="65" t="str">
        <f>IF(_book!$V$283=0,"—",_book!$W$283)</f>
        <v>—</v>
      </c>
      <c r="N288" s="63">
        <f>_book!$Y$283</f>
        <v>0.55430324993066948</v>
      </c>
      <c r="O288" s="66" t="str">
        <f>IF(_book!$V$283=0,"—",_book!$AA$283)</f>
        <v>—</v>
      </c>
      <c r="P288" s="67">
        <f>_book!$AC$283</f>
        <v>0</v>
      </c>
      <c r="Q288" s="67">
        <f>_book!$AD$283</f>
        <v>1</v>
      </c>
    </row>
    <row r="289" spans="1:17" x14ac:dyDescent="0.3">
      <c r="A289" s="61" t="str">
        <f>_book!$A$284</f>
        <v>Umbrella</v>
      </c>
      <c r="B289" s="61" t="str">
        <f>_book!$B$284</f>
        <v>MM</v>
      </c>
      <c r="C289" s="61" t="str">
        <f>_book!$C$284</f>
        <v>MD</v>
      </c>
      <c r="D289" s="62">
        <f>_book!$F$284</f>
        <v>28800</v>
      </c>
      <c r="E289" s="63">
        <f>_book!$N$284</f>
        <v>0.53400000000000003</v>
      </c>
      <c r="F289" s="64">
        <f>_book!$K$284</f>
        <v>1.002457002457003</v>
      </c>
      <c r="G289" s="64">
        <f>_book!$L$284</f>
        <v>1.006044706983058</v>
      </c>
      <c r="H289" s="64">
        <f>_book!$M$284</f>
        <v>1</v>
      </c>
      <c r="I289" s="63">
        <f>_book!$O$284</f>
        <v>0.53854784373418418</v>
      </c>
      <c r="J289" s="63">
        <f>_book!$P$284</f>
        <v>0.53012336015040762</v>
      </c>
      <c r="K289" s="65">
        <f>_book!$T$284</f>
        <v>-2.4509803921570761E-3</v>
      </c>
      <c r="L289" s="65">
        <f>_book!$U$284</f>
        <v>2.4570024570023108E-3</v>
      </c>
      <c r="M289" s="65" t="str">
        <f>IF(_book!$V$284=0,"—",_book!$W$284)</f>
        <v>—</v>
      </c>
      <c r="N289" s="63">
        <f>_book!$Y$284</f>
        <v>0.53854784373418418</v>
      </c>
      <c r="O289" s="66" t="str">
        <f>IF(_book!$V$284=0,"—",_book!$AA$284)</f>
        <v>—</v>
      </c>
      <c r="P289" s="67">
        <f>_book!$AC$284</f>
        <v>1</v>
      </c>
      <c r="Q289" s="67">
        <f>_book!$AD$284</f>
        <v>0</v>
      </c>
    </row>
    <row r="290" spans="1:17" x14ac:dyDescent="0.3">
      <c r="A290" s="61" t="str">
        <f>_book!$A$285</f>
        <v>Umbrella</v>
      </c>
      <c r="B290" s="61" t="str">
        <f>_book!$B$285</f>
        <v>MM</v>
      </c>
      <c r="C290" s="61" t="str">
        <f>_book!$C$285</f>
        <v>MI</v>
      </c>
      <c r="D290" s="62">
        <f>_book!$F$285</f>
        <v>24000</v>
      </c>
      <c r="E290" s="63">
        <f>_book!$N$285</f>
        <v>0.56200000000000006</v>
      </c>
      <c r="F290" s="64">
        <f>_book!$K$285</f>
        <v>1.0049801809126939</v>
      </c>
      <c r="G290" s="64">
        <f>_book!$L$285</f>
        <v>1.0101010101010099</v>
      </c>
      <c r="H290" s="64">
        <f>_book!$M$285</f>
        <v>1</v>
      </c>
      <c r="I290" s="63">
        <f>_book!$O$285</f>
        <v>0.57050390067973122</v>
      </c>
      <c r="J290" s="63">
        <f>_book!$P$285</f>
        <v>0.56767676767676756</v>
      </c>
      <c r="K290" s="65">
        <f>_book!$T$285</f>
        <v>-4.9555016181225264E-3</v>
      </c>
      <c r="L290" s="65">
        <f>_book!$U$285</f>
        <v>4.9801809126941432E-3</v>
      </c>
      <c r="M290" s="65" t="str">
        <f>IF(_book!$V$285=0,"—",_book!$W$285)</f>
        <v>—</v>
      </c>
      <c r="N290" s="63">
        <f>_book!$Y$285</f>
        <v>0.57050390067973122</v>
      </c>
      <c r="O290" s="66" t="str">
        <f>IF(_book!$V$285=0,"—",_book!$AA$285)</f>
        <v>—</v>
      </c>
      <c r="P290" s="67">
        <f>_book!$AC$285</f>
        <v>1</v>
      </c>
      <c r="Q290" s="67">
        <f>_book!$AD$285</f>
        <v>0</v>
      </c>
    </row>
    <row r="291" spans="1:17" x14ac:dyDescent="0.3">
      <c r="A291" s="61" t="str">
        <f>_book!$A$286</f>
        <v>Umbrella</v>
      </c>
      <c r="B291" s="61" t="str">
        <f>_book!$B$286</f>
        <v>MM</v>
      </c>
      <c r="C291" s="61" t="str">
        <f>_book!$C$286</f>
        <v>MN</v>
      </c>
      <c r="D291" s="62">
        <f>_book!$F$286</f>
        <v>19200</v>
      </c>
      <c r="E291" s="63">
        <f>_book!$N$286</f>
        <v>0.54600000000000004</v>
      </c>
      <c r="F291" s="64">
        <f>_book!$K$286</f>
        <v>1</v>
      </c>
      <c r="G291" s="64">
        <f>_book!$L$286</f>
        <v>1.007055725494679</v>
      </c>
      <c r="H291" s="64">
        <f>_book!$M$286</f>
        <v>1</v>
      </c>
      <c r="I291" s="63">
        <f>_book!$O$286</f>
        <v>0.54985242612009488</v>
      </c>
      <c r="J291" s="63">
        <f>_book!$P$286</f>
        <v>0.54437529312673749</v>
      </c>
      <c r="K291" s="65">
        <f>_book!$T$286</f>
        <v>0</v>
      </c>
      <c r="L291" s="65">
        <f>_book!$U$286</f>
        <v>0</v>
      </c>
      <c r="M291" s="65" t="str">
        <f>IF(_book!$V$286=0,"—",_book!$W$286)</f>
        <v>—</v>
      </c>
      <c r="N291" s="63">
        <f>_book!$Y$286</f>
        <v>0.54985242612009488</v>
      </c>
      <c r="O291" s="66" t="str">
        <f>IF(_book!$V$286=0,"—",_book!$AA$286)</f>
        <v>—</v>
      </c>
      <c r="P291" s="67">
        <f>_book!$AC$286</f>
        <v>0</v>
      </c>
      <c r="Q291" s="67">
        <f>_book!$AD$286</f>
        <v>0</v>
      </c>
    </row>
    <row r="292" spans="1:17" x14ac:dyDescent="0.3">
      <c r="A292" s="61" t="str">
        <f>_book!$A$287</f>
        <v>Umbrella</v>
      </c>
      <c r="B292" s="61" t="str">
        <f>_book!$B$287</f>
        <v>MM</v>
      </c>
      <c r="C292" s="61" t="str">
        <f>_book!$C$287</f>
        <v>NM</v>
      </c>
      <c r="D292" s="62">
        <f>_book!$F$287</f>
        <v>14400</v>
      </c>
      <c r="E292" s="63">
        <f>_book!$N$287</f>
        <v>0.53</v>
      </c>
      <c r="F292" s="64">
        <f>_book!$K$287</f>
        <v>1.002147458840372</v>
      </c>
      <c r="G292" s="64">
        <f>_book!$L$287</f>
        <v>1.011120201892163</v>
      </c>
      <c r="H292" s="64">
        <f>_book!$M$287</f>
        <v>1</v>
      </c>
      <c r="I292" s="63">
        <f>_book!$O$287</f>
        <v>0.53704451668144959</v>
      </c>
      <c r="J292" s="63">
        <f>_book!$P$287</f>
        <v>0.51764555798402001</v>
      </c>
      <c r="K292" s="65">
        <f>_book!$T$287</f>
        <v>-2.1428571428572241E-3</v>
      </c>
      <c r="L292" s="65">
        <f>_book!$U$287</f>
        <v>4.0980672870436718E-2</v>
      </c>
      <c r="M292" s="65" t="str">
        <f>IF(_book!$V$287=0,"—",_book!$W$287)</f>
        <v>—</v>
      </c>
      <c r="N292" s="63">
        <f>_book!$Y$287</f>
        <v>0.53704451668144959</v>
      </c>
      <c r="O292" s="66" t="str">
        <f>IF(_book!$V$287=0,"—",_book!$AA$287)</f>
        <v>—</v>
      </c>
      <c r="P292" s="67">
        <f>_book!$AC$287</f>
        <v>1</v>
      </c>
      <c r="Q292" s="67">
        <f>_book!$AD$287</f>
        <v>1</v>
      </c>
    </row>
    <row r="293" spans="1:17" x14ac:dyDescent="0.3">
      <c r="A293" s="61" t="str">
        <f>_book!$A$288</f>
        <v>Umbrella</v>
      </c>
      <c r="B293" s="61" t="str">
        <f>_book!$B$288</f>
        <v>MM</v>
      </c>
      <c r="C293" s="61" t="str">
        <f>_book!$C$288</f>
        <v>NC</v>
      </c>
      <c r="D293" s="62">
        <f>_book!$F$288</f>
        <v>9600</v>
      </c>
      <c r="E293" s="63">
        <f>_book!$N$288</f>
        <v>0.55800000000000005</v>
      </c>
      <c r="F293" s="64">
        <f>_book!$K$288</f>
        <v>1.020048115477145</v>
      </c>
      <c r="G293" s="64">
        <f>_book!$L$288</f>
        <v>1.008068778084247</v>
      </c>
      <c r="H293" s="64">
        <f>_book!$M$288</f>
        <v>1</v>
      </c>
      <c r="I293" s="63">
        <f>_book!$O$288</f>
        <v>0.57377949080475088</v>
      </c>
      <c r="J293" s="63">
        <f>_book!$P$288</f>
        <v>0.55875076190196138</v>
      </c>
      <c r="K293" s="65">
        <f>_book!$T$288</f>
        <v>-1.965408805031443E-2</v>
      </c>
      <c r="L293" s="65">
        <f>_book!$U$288</f>
        <v>2.0048115477145249E-2</v>
      </c>
      <c r="M293" s="65" t="str">
        <f>IF(_book!$V$288=0,"—",_book!$W$288)</f>
        <v>—</v>
      </c>
      <c r="N293" s="63">
        <f>_book!$Y$288</f>
        <v>0.57377949080475088</v>
      </c>
      <c r="O293" s="66" t="str">
        <f>IF(_book!$V$288=0,"—",_book!$AA$288)</f>
        <v>—</v>
      </c>
      <c r="P293" s="67">
        <f>_book!$AC$288</f>
        <v>1</v>
      </c>
      <c r="Q293" s="67">
        <f>_book!$AD$288</f>
        <v>0</v>
      </c>
    </row>
    <row r="294" spans="1:17" x14ac:dyDescent="0.3">
      <c r="A294" s="61" t="str">
        <f>_book!$A$289</f>
        <v>Umbrella</v>
      </c>
      <c r="B294" s="61" t="str">
        <f>_book!$B$289</f>
        <v>MM</v>
      </c>
      <c r="C294" s="61" t="str">
        <f>_book!$C$289</f>
        <v>OH</v>
      </c>
      <c r="D294" s="62">
        <f>_book!$F$289</f>
        <v>25200</v>
      </c>
      <c r="E294" s="63">
        <f>_book!$N$289</f>
        <v>0.54200000000000004</v>
      </c>
      <c r="F294" s="64">
        <f>_book!$K$289</f>
        <v>1</v>
      </c>
      <c r="G294" s="64">
        <f>_book!$L$289</f>
        <v>1.012141452489427</v>
      </c>
      <c r="H294" s="64">
        <f>_book!$M$289</f>
        <v>1</v>
      </c>
      <c r="I294" s="63">
        <f>_book!$O$289</f>
        <v>0.54858066724926946</v>
      </c>
      <c r="J294" s="63">
        <f>_book!$P$289</f>
        <v>0.55230397987310742</v>
      </c>
      <c r="K294" s="65">
        <f>_book!$T$289</f>
        <v>0</v>
      </c>
      <c r="L294" s="65">
        <f>_book!$U$289</f>
        <v>0</v>
      </c>
      <c r="M294" s="65" t="str">
        <f>IF(_book!$V$289=0,"—",_book!$W$289)</f>
        <v>—</v>
      </c>
      <c r="N294" s="63">
        <f>_book!$Y$289</f>
        <v>0.54858066724926946</v>
      </c>
      <c r="O294" s="66" t="str">
        <f>IF(_book!$V$289=0,"—",_book!$AA$289)</f>
        <v>—</v>
      </c>
      <c r="P294" s="67">
        <f>_book!$AC$289</f>
        <v>0</v>
      </c>
      <c r="Q294" s="67">
        <f>_book!$AD$289</f>
        <v>0</v>
      </c>
    </row>
    <row r="295" spans="1:17" x14ac:dyDescent="0.3">
      <c r="A295" s="61" t="str">
        <f>_book!$A$290</f>
        <v>Umbrella</v>
      </c>
      <c r="B295" s="61" t="str">
        <f>_book!$B$290</f>
        <v>MM</v>
      </c>
      <c r="C295" s="61" t="str">
        <f>_book!$C$290</f>
        <v>PA</v>
      </c>
      <c r="D295" s="62">
        <f>_book!$F$290</f>
        <v>20400</v>
      </c>
      <c r="E295" s="63">
        <f>_book!$N$290</f>
        <v>0.56999999999999995</v>
      </c>
      <c r="F295" s="64">
        <f>_book!$K$290</f>
        <v>0.99999999999999978</v>
      </c>
      <c r="G295" s="64">
        <f>_book!$L$290</f>
        <v>1.009083870896514</v>
      </c>
      <c r="H295" s="64">
        <f>_book!$M$290</f>
        <v>1</v>
      </c>
      <c r="I295" s="63">
        <f>_book!$O$290</f>
        <v>0.5751778064110129</v>
      </c>
      <c r="J295" s="63">
        <f>_book!$P$290</f>
        <v>0.57325137968073869</v>
      </c>
      <c r="K295" s="65">
        <f>_book!$T$290</f>
        <v>0</v>
      </c>
      <c r="L295" s="65">
        <f>_book!$U$290</f>
        <v>0</v>
      </c>
      <c r="M295" s="65" t="str">
        <f>IF(_book!$V$290=0,"—",_book!$W$290)</f>
        <v>—</v>
      </c>
      <c r="N295" s="63">
        <f>_book!$Y$290</f>
        <v>0.5751778064110129</v>
      </c>
      <c r="O295" s="66" t="str">
        <f>IF(_book!$V$290=0,"—",_book!$AA$290)</f>
        <v>—</v>
      </c>
      <c r="P295" s="67">
        <f>_book!$AC$290</f>
        <v>1</v>
      </c>
      <c r="Q295" s="67">
        <f>_book!$AD$290</f>
        <v>0</v>
      </c>
    </row>
    <row r="296" spans="1:17" x14ac:dyDescent="0.3">
      <c r="A296" s="61" t="str">
        <f>_book!$A$291</f>
        <v>Umbrella</v>
      </c>
      <c r="B296" s="61" t="str">
        <f>_book!$B$291</f>
        <v>MM</v>
      </c>
      <c r="C296" s="61" t="str">
        <f>_book!$C$291</f>
        <v>SC</v>
      </c>
      <c r="D296" s="62">
        <f>_book!$F$291</f>
        <v>15600</v>
      </c>
      <c r="E296" s="63">
        <f>_book!$N$291</f>
        <v>0.55400000000000005</v>
      </c>
      <c r="F296" s="64">
        <f>_book!$K$291</f>
        <v>0.99667243444695852</v>
      </c>
      <c r="G296" s="64">
        <f>_book!$L$291</f>
        <v>1.006044706983058</v>
      </c>
      <c r="H296" s="64">
        <f>_book!$M$291</f>
        <v>1</v>
      </c>
      <c r="I296" s="63">
        <f>_book!$O$291</f>
        <v>0.55549415310829031</v>
      </c>
      <c r="J296" s="63">
        <f>_book!$P$291</f>
        <v>0.53230848327141767</v>
      </c>
      <c r="K296" s="65">
        <f>_book!$T$291</f>
        <v>3.3386752136752569E-3</v>
      </c>
      <c r="L296" s="65">
        <f>_book!$U$291</f>
        <v>2.9756422201517641E-2</v>
      </c>
      <c r="M296" s="65" t="str">
        <f>IF(_book!$V$291=0,"—",_book!$W$291)</f>
        <v>—</v>
      </c>
      <c r="N296" s="63">
        <f>_book!$Y$291</f>
        <v>0.55549415310829031</v>
      </c>
      <c r="O296" s="66" t="str">
        <f>IF(_book!$V$291=0,"—",_book!$AA$291)</f>
        <v>—</v>
      </c>
      <c r="P296" s="67">
        <f>_book!$AC$291</f>
        <v>1</v>
      </c>
      <c r="Q296" s="67">
        <f>_book!$AD$291</f>
        <v>1</v>
      </c>
    </row>
    <row r="297" spans="1:17" x14ac:dyDescent="0.3">
      <c r="A297" s="61" t="str">
        <f>_book!$A$292</f>
        <v>Umbrella</v>
      </c>
      <c r="B297" s="61" t="str">
        <f>_book!$B$292</f>
        <v>MM</v>
      </c>
      <c r="C297" s="61" t="str">
        <f>_book!$C$292</f>
        <v>TN</v>
      </c>
      <c r="D297" s="62">
        <f>_book!$F$292</f>
        <v>10800</v>
      </c>
      <c r="E297" s="63">
        <f>_book!$N$292</f>
        <v>0.53800000000000003</v>
      </c>
      <c r="F297" s="64">
        <f>_book!$K$292</f>
        <v>1</v>
      </c>
      <c r="G297" s="64">
        <f>_book!$L$292</f>
        <v>1.0101010101010099</v>
      </c>
      <c r="H297" s="64">
        <f>_book!$M$292</f>
        <v>1</v>
      </c>
      <c r="I297" s="63">
        <f>_book!$O$292</f>
        <v>0.54343434343434338</v>
      </c>
      <c r="J297" s="63">
        <f>_book!$P$292</f>
        <v>0.54343434343434338</v>
      </c>
      <c r="K297" s="65">
        <f>_book!$T$292</f>
        <v>0</v>
      </c>
      <c r="L297" s="65">
        <f>_book!$U$292</f>
        <v>0</v>
      </c>
      <c r="M297" s="65" t="str">
        <f>IF(_book!$V$292=0,"—",_book!$W$292)</f>
        <v>—</v>
      </c>
      <c r="N297" s="63">
        <f>_book!$Y$292</f>
        <v>0.54343434343434338</v>
      </c>
      <c r="O297" s="66" t="str">
        <f>IF(_book!$V$292=0,"—",_book!$AA$292)</f>
        <v>—</v>
      </c>
      <c r="P297" s="67">
        <f>_book!$AC$292</f>
        <v>0</v>
      </c>
      <c r="Q297" s="67">
        <f>_book!$AD$292</f>
        <v>0</v>
      </c>
    </row>
    <row r="298" spans="1:17" x14ac:dyDescent="0.3">
      <c r="A298" s="61" t="str">
        <f>_book!$A$293</f>
        <v>Umbrella</v>
      </c>
      <c r="B298" s="61" t="str">
        <f>_book!$B$293</f>
        <v>MM</v>
      </c>
      <c r="C298" s="61" t="str">
        <f>_book!$C$293</f>
        <v>VA</v>
      </c>
      <c r="D298" s="62">
        <f>_book!$F$293</f>
        <v>26400</v>
      </c>
      <c r="E298" s="63">
        <f>_book!$N$293</f>
        <v>0.56599999999999995</v>
      </c>
      <c r="F298" s="64">
        <f>_book!$K$293</f>
        <v>1.0017720023626699</v>
      </c>
      <c r="G298" s="64">
        <f>_book!$L$293</f>
        <v>1.007055725494679</v>
      </c>
      <c r="H298" s="64">
        <f>_book!$M$293</f>
        <v>1</v>
      </c>
      <c r="I298" s="63">
        <f>_book!$O$293</f>
        <v>0.57100357053069128</v>
      </c>
      <c r="J298" s="63">
        <f>_book!$P$293</f>
        <v>0.56431578005445659</v>
      </c>
      <c r="K298" s="65">
        <f>_book!$T$293</f>
        <v>-1.768867924528128E-3</v>
      </c>
      <c r="L298" s="65">
        <f>_book!$U$293</f>
        <v>1.7720023626699439E-3</v>
      </c>
      <c r="M298" s="65" t="str">
        <f>IF(_book!$V$293=0,"—",_book!$W$293)</f>
        <v>—</v>
      </c>
      <c r="N298" s="63">
        <f>_book!$Y$293</f>
        <v>0.57100357053069128</v>
      </c>
      <c r="O298" s="66" t="str">
        <f>IF(_book!$V$293=0,"—",_book!$AA$293)</f>
        <v>—</v>
      </c>
      <c r="P298" s="67">
        <f>_book!$AC$293</f>
        <v>1</v>
      </c>
      <c r="Q298" s="67">
        <f>_book!$AD$293</f>
        <v>0</v>
      </c>
    </row>
    <row r="299" spans="1:17" x14ac:dyDescent="0.3">
      <c r="A299" s="61" t="str">
        <f>_book!$A$294</f>
        <v>Umbrella</v>
      </c>
      <c r="B299" s="61" t="str">
        <f>_book!$B$294</f>
        <v>MM</v>
      </c>
      <c r="C299" s="61" t="str">
        <f>_book!$C$294</f>
        <v>WV</v>
      </c>
      <c r="D299" s="62">
        <f>_book!$F$294</f>
        <v>21600</v>
      </c>
      <c r="E299" s="63">
        <f>_book!$N$294</f>
        <v>0.55000000000000004</v>
      </c>
      <c r="F299" s="64">
        <f>_book!$K$294</f>
        <v>1.001090512540894</v>
      </c>
      <c r="G299" s="64">
        <f>_book!$L$294</f>
        <v>1.011120201892163</v>
      </c>
      <c r="H299" s="64">
        <f>_book!$M$294</f>
        <v>1</v>
      </c>
      <c r="I299" s="63">
        <f>_book!$O$294</f>
        <v>0.5567225626339728</v>
      </c>
      <c r="J299" s="63">
        <f>_book!$P$294</f>
        <v>0.55799505253914239</v>
      </c>
      <c r="K299" s="65">
        <f>_book!$T$294</f>
        <v>-1.089324618736343E-3</v>
      </c>
      <c r="L299" s="65">
        <f>_book!$U$294</f>
        <v>1.090512540893984E-3</v>
      </c>
      <c r="M299" s="65" t="str">
        <f>IF(_book!$V$294=0,"—",_book!$W$294)</f>
        <v>—</v>
      </c>
      <c r="N299" s="63">
        <f>_book!$Y$294</f>
        <v>0.5567225626339728</v>
      </c>
      <c r="O299" s="66" t="str">
        <f>IF(_book!$V$294=0,"—",_book!$AA$294)</f>
        <v>—</v>
      </c>
      <c r="P299" s="67">
        <f>_book!$AC$294</f>
        <v>1</v>
      </c>
      <c r="Q299" s="67">
        <f>_book!$AD$294</f>
        <v>0</v>
      </c>
    </row>
    <row r="300" spans="1:17" x14ac:dyDescent="0.3">
      <c r="A300" s="61" t="str">
        <f>_book!$A$295</f>
        <v>Umbrella</v>
      </c>
      <c r="B300" s="61" t="str">
        <f>_book!$B$295</f>
        <v>MM</v>
      </c>
      <c r="C300" s="61" t="str">
        <f>_book!$C$295</f>
        <v>WI</v>
      </c>
      <c r="D300" s="62">
        <f>_book!$F$295</f>
        <v>16800</v>
      </c>
      <c r="E300" s="63">
        <f>_book!$N$295</f>
        <v>0.53400000000000003</v>
      </c>
      <c r="F300" s="64">
        <f>_book!$K$295</f>
        <v>0.98347220325092199</v>
      </c>
      <c r="G300" s="64">
        <f>_book!$L$295</f>
        <v>1.008068778084247</v>
      </c>
      <c r="H300" s="64">
        <f>_book!$M$295</f>
        <v>1</v>
      </c>
      <c r="I300" s="63">
        <f>_book!$O$295</f>
        <v>0.52941167026066283</v>
      </c>
      <c r="J300" s="63">
        <f>_book!$P$295</f>
        <v>0.51422104870919894</v>
      </c>
      <c r="K300" s="65">
        <f>_book!$T$295</f>
        <v>1.6805555555555522E-2</v>
      </c>
      <c r="L300" s="65">
        <f>_book!$U$295</f>
        <v>2.2674498019396468E-2</v>
      </c>
      <c r="M300" s="65" t="str">
        <f>IF(_book!$V$295=0,"—",_book!$W$295)</f>
        <v>—</v>
      </c>
      <c r="N300" s="63">
        <f>_book!$Y$295</f>
        <v>0.52941167026066283</v>
      </c>
      <c r="O300" s="66" t="str">
        <f>IF(_book!$V$295=0,"—",_book!$AA$295)</f>
        <v>—</v>
      </c>
      <c r="P300" s="67">
        <f>_book!$AC$295</f>
        <v>0</v>
      </c>
      <c r="Q300" s="67">
        <f>_book!$AD$295</f>
        <v>1</v>
      </c>
    </row>
    <row r="301" spans="1:17" x14ac:dyDescent="0.3">
      <c r="A301" s="61" t="str">
        <f>_book!$A$296</f>
        <v>Umbrella</v>
      </c>
      <c r="B301" s="61" t="str">
        <f>_book!$B$296</f>
        <v>SBA</v>
      </c>
      <c r="C301" s="61" t="str">
        <f>_book!$C$296</f>
        <v>AZ</v>
      </c>
      <c r="D301" s="62">
        <f>_book!$F$296</f>
        <v>12000</v>
      </c>
      <c r="E301" s="63">
        <f>_book!$N$296</f>
        <v>0.56200000000000006</v>
      </c>
      <c r="F301" s="64">
        <f>_book!$K$296</f>
        <v>1.0048309178743959</v>
      </c>
      <c r="G301" s="64">
        <f>_book!$L$296</f>
        <v>1.012141452489427</v>
      </c>
      <c r="H301" s="64">
        <f>_book!$M$296</f>
        <v>1</v>
      </c>
      <c r="I301" s="63">
        <f>_book!$O$296</f>
        <v>0.57157143589470549</v>
      </c>
      <c r="J301" s="63">
        <f>_book!$P$296</f>
        <v>0.57268420053263169</v>
      </c>
      <c r="K301" s="65">
        <f>_book!$T$296</f>
        <v>-4.8076923076921796E-3</v>
      </c>
      <c r="L301" s="65">
        <f>_book!$U$296</f>
        <v>4.8309178743961567E-3</v>
      </c>
      <c r="M301" s="65" t="str">
        <f>IF(_book!$V$296=0,"—",_book!$W$296)</f>
        <v>—</v>
      </c>
      <c r="N301" s="63">
        <f>_book!$Y$296</f>
        <v>0.57157143589470549</v>
      </c>
      <c r="O301" s="66" t="str">
        <f>IF(_book!$V$296=0,"—",_book!$AA$296)</f>
        <v>—</v>
      </c>
      <c r="P301" s="67">
        <f>_book!$AC$296</f>
        <v>1</v>
      </c>
      <c r="Q301" s="67">
        <f>_book!$AD$296</f>
        <v>0</v>
      </c>
    </row>
    <row r="302" spans="1:17" x14ac:dyDescent="0.3">
      <c r="A302" s="61" t="str">
        <f>_book!$A$297</f>
        <v>Umbrella</v>
      </c>
      <c r="B302" s="61" t="str">
        <f>_book!$B$297</f>
        <v>SBA</v>
      </c>
      <c r="C302" s="61" t="str">
        <f>_book!$C$297</f>
        <v>CO</v>
      </c>
      <c r="D302" s="62">
        <f>_book!$F$297</f>
        <v>27600</v>
      </c>
      <c r="E302" s="63">
        <f>_book!$N$297</f>
        <v>0.54600000000000004</v>
      </c>
      <c r="F302" s="64">
        <f>_book!$K$297</f>
        <v>1.0081680280046681</v>
      </c>
      <c r="G302" s="64">
        <f>_book!$L$297</f>
        <v>1.009083870896514</v>
      </c>
      <c r="H302" s="64">
        <f>_book!$M$297</f>
        <v>1</v>
      </c>
      <c r="I302" s="63">
        <f>_book!$O$297</f>
        <v>0.55546004853232822</v>
      </c>
      <c r="J302" s="63">
        <f>_book!$P$297</f>
        <v>0.5491144794836551</v>
      </c>
      <c r="K302" s="65">
        <f>_book!$T$297</f>
        <v>-8.1018518518519711E-3</v>
      </c>
      <c r="L302" s="65">
        <f>_book!$U$297</f>
        <v>8.168028004667649E-3</v>
      </c>
      <c r="M302" s="65" t="str">
        <f>IF(_book!$V$297=0,"—",_book!$W$297)</f>
        <v>—</v>
      </c>
      <c r="N302" s="63">
        <f>_book!$Y$297</f>
        <v>0.55546004853232822</v>
      </c>
      <c r="O302" s="66" t="str">
        <f>IF(_book!$V$297=0,"—",_book!$AA$297)</f>
        <v>—</v>
      </c>
      <c r="P302" s="67">
        <f>_book!$AC$297</f>
        <v>1</v>
      </c>
      <c r="Q302" s="67">
        <f>_book!$AD$297</f>
        <v>0</v>
      </c>
    </row>
    <row r="303" spans="1:17" x14ac:dyDescent="0.3">
      <c r="A303" s="61" t="str">
        <f>_book!$A$298</f>
        <v>Umbrella</v>
      </c>
      <c r="B303" s="61" t="str">
        <f>_book!$B$298</f>
        <v>SBA</v>
      </c>
      <c r="C303" s="61" t="str">
        <f>_book!$C$298</f>
        <v>DE</v>
      </c>
      <c r="D303" s="62">
        <f>_book!$F$298</f>
        <v>22800</v>
      </c>
      <c r="E303" s="63">
        <f>_book!$N$298</f>
        <v>0.53</v>
      </c>
      <c r="F303" s="64">
        <f>_book!$K$298</f>
        <v>1</v>
      </c>
      <c r="G303" s="64">
        <f>_book!$L$298</f>
        <v>1.006044706983058</v>
      </c>
      <c r="H303" s="64">
        <f>_book!$M$298</f>
        <v>1</v>
      </c>
      <c r="I303" s="63">
        <f>_book!$O$298</f>
        <v>0.53320369470102102</v>
      </c>
      <c r="J303" s="63">
        <f>_book!$P$298</f>
        <v>0.52615239865115349</v>
      </c>
      <c r="K303" s="65">
        <f>_book!$T$298</f>
        <v>0</v>
      </c>
      <c r="L303" s="65">
        <f>_book!$U$298</f>
        <v>0</v>
      </c>
      <c r="M303" s="65" t="str">
        <f>IF(_book!$V$298=0,"—",_book!$W$298)</f>
        <v>—</v>
      </c>
      <c r="N303" s="63">
        <f>_book!$Y$298</f>
        <v>0.53320369470102102</v>
      </c>
      <c r="O303" s="66" t="str">
        <f>IF(_book!$V$298=0,"—",_book!$AA$298)</f>
        <v>—</v>
      </c>
      <c r="P303" s="67">
        <f>_book!$AC$298</f>
        <v>0</v>
      </c>
      <c r="Q303" s="67">
        <f>_book!$AD$298</f>
        <v>0</v>
      </c>
    </row>
    <row r="304" spans="1:17" x14ac:dyDescent="0.3">
      <c r="A304" s="61" t="str">
        <f>_book!$A$299</f>
        <v>Umbrella</v>
      </c>
      <c r="B304" s="61" t="str">
        <f>_book!$B$299</f>
        <v>SBA</v>
      </c>
      <c r="C304" s="61" t="str">
        <f>_book!$C$299</f>
        <v>FL</v>
      </c>
      <c r="D304" s="62">
        <f>_book!$F$299</f>
        <v>18000</v>
      </c>
      <c r="E304" s="63">
        <f>_book!$N$299</f>
        <v>0.55800000000000005</v>
      </c>
      <c r="F304" s="64">
        <f>_book!$K$299</f>
        <v>0.99871081447151555</v>
      </c>
      <c r="G304" s="64">
        <f>_book!$L$299</f>
        <v>1.0101010101010099</v>
      </c>
      <c r="H304" s="64">
        <f>_book!$M$299</f>
        <v>1</v>
      </c>
      <c r="I304" s="63">
        <f>_book!$O$299</f>
        <v>0.56290973179303594</v>
      </c>
      <c r="J304" s="63">
        <f>_book!$P$299</f>
        <v>0.54377352514830712</v>
      </c>
      <c r="K304" s="65">
        <f>_book!$T$299</f>
        <v>1.290849673202477E-3</v>
      </c>
      <c r="L304" s="65">
        <f>_book!$U$299</f>
        <v>3.5191501166794703E-2</v>
      </c>
      <c r="M304" s="65" t="str">
        <f>IF(_book!$V$299=0,"—",_book!$W$299)</f>
        <v>—</v>
      </c>
      <c r="N304" s="63">
        <f>_book!$Y$299</f>
        <v>0.56290973179303594</v>
      </c>
      <c r="O304" s="66" t="str">
        <f>IF(_book!$V$299=0,"—",_book!$AA$299)</f>
        <v>—</v>
      </c>
      <c r="P304" s="67">
        <f>_book!$AC$299</f>
        <v>1</v>
      </c>
      <c r="Q304" s="67">
        <f>_book!$AD$299</f>
        <v>1</v>
      </c>
    </row>
    <row r="305" spans="1:17" x14ac:dyDescent="0.3">
      <c r="A305" s="61" t="str">
        <f>_book!$A$300</f>
        <v>Umbrella</v>
      </c>
      <c r="B305" s="61" t="str">
        <f>_book!$B$300</f>
        <v>SBA</v>
      </c>
      <c r="C305" s="61" t="str">
        <f>_book!$C$300</f>
        <v>GA</v>
      </c>
      <c r="D305" s="62">
        <f>_book!$F$300</f>
        <v>13200</v>
      </c>
      <c r="E305" s="63">
        <f>_book!$N$300</f>
        <v>0.54200000000000004</v>
      </c>
      <c r="F305" s="64">
        <f>_book!$K$300</f>
        <v>1</v>
      </c>
      <c r="G305" s="64">
        <f>_book!$L$300</f>
        <v>1.007055725494679</v>
      </c>
      <c r="H305" s="64">
        <f>_book!$M$300</f>
        <v>1</v>
      </c>
      <c r="I305" s="63">
        <f>_book!$O$300</f>
        <v>0.5458242032181162</v>
      </c>
      <c r="J305" s="63">
        <f>_book!$P$300</f>
        <v>0.54038719574119365</v>
      </c>
      <c r="K305" s="65">
        <f>_book!$T$300</f>
        <v>0</v>
      </c>
      <c r="L305" s="65">
        <f>_book!$U$300</f>
        <v>0</v>
      </c>
      <c r="M305" s="65" t="str">
        <f>IF(_book!$V$300=0,"—",_book!$W$300)</f>
        <v>—</v>
      </c>
      <c r="N305" s="63">
        <f>_book!$Y$300</f>
        <v>0.5458242032181162</v>
      </c>
      <c r="O305" s="66" t="str">
        <f>IF(_book!$V$300=0,"—",_book!$AA$300)</f>
        <v>—</v>
      </c>
      <c r="P305" s="67">
        <f>_book!$AC$300</f>
        <v>0</v>
      </c>
      <c r="Q305" s="67">
        <f>_book!$AD$300</f>
        <v>0</v>
      </c>
    </row>
    <row r="306" spans="1:17" x14ac:dyDescent="0.3">
      <c r="A306" s="61" t="str">
        <f>_book!$A$301</f>
        <v>Umbrella</v>
      </c>
      <c r="B306" s="61" t="str">
        <f>_book!$B$301</f>
        <v>SBA</v>
      </c>
      <c r="C306" s="61" t="str">
        <f>_book!$C$301</f>
        <v>IA</v>
      </c>
      <c r="D306" s="62">
        <f>_book!$F$301</f>
        <v>28800</v>
      </c>
      <c r="E306" s="63">
        <f>_book!$N$301</f>
        <v>0.56999999999999995</v>
      </c>
      <c r="F306" s="64">
        <f>_book!$K$301</f>
        <v>1</v>
      </c>
      <c r="G306" s="64">
        <f>_book!$L$301</f>
        <v>1.011120201892163</v>
      </c>
      <c r="H306" s="64">
        <f>_book!$M$301</f>
        <v>1</v>
      </c>
      <c r="I306" s="63">
        <f>_book!$O$301</f>
        <v>0.57633851507853284</v>
      </c>
      <c r="J306" s="63">
        <f>_book!$P$301</f>
        <v>0.57828578172238365</v>
      </c>
      <c r="K306" s="65">
        <f>_book!$T$301</f>
        <v>0</v>
      </c>
      <c r="L306" s="65">
        <f>_book!$U$301</f>
        <v>0</v>
      </c>
      <c r="M306" s="65" t="str">
        <f>IF(_book!$V$301=0,"—",_book!$W$301)</f>
        <v>—</v>
      </c>
      <c r="N306" s="63">
        <f>_book!$Y$301</f>
        <v>0.57633851507853284</v>
      </c>
      <c r="O306" s="66" t="str">
        <f>IF(_book!$V$301=0,"—",_book!$AA$301)</f>
        <v>—</v>
      </c>
      <c r="P306" s="67">
        <f>_book!$AC$301</f>
        <v>0</v>
      </c>
      <c r="Q306" s="67">
        <f>_book!$AD$301</f>
        <v>0</v>
      </c>
    </row>
    <row r="307" spans="1:17" x14ac:dyDescent="0.3">
      <c r="A307" s="61" t="str">
        <f>_book!$A$302</f>
        <v>Umbrella</v>
      </c>
      <c r="B307" s="61" t="str">
        <f>_book!$B$302</f>
        <v>SBA</v>
      </c>
      <c r="C307" s="61" t="str">
        <f>_book!$C$302</f>
        <v>IL</v>
      </c>
      <c r="D307" s="62">
        <f>_book!$F$302</f>
        <v>24000</v>
      </c>
      <c r="E307" s="63">
        <f>_book!$N$302</f>
        <v>0.55400000000000005</v>
      </c>
      <c r="F307" s="64">
        <f>_book!$K$302</f>
        <v>0.94618568894145472</v>
      </c>
      <c r="G307" s="64">
        <f>_book!$L$302</f>
        <v>1.0032993480379631</v>
      </c>
      <c r="H307" s="64">
        <f>_book!$M$302</f>
        <v>1</v>
      </c>
      <c r="I307" s="63">
        <f>_book!$O$302</f>
        <v>0.52591634660014819</v>
      </c>
      <c r="J307" s="63">
        <f>_book!$P$302</f>
        <v>0.51297920070736391</v>
      </c>
      <c r="K307" s="65">
        <f>_book!$T$302</f>
        <v>5.6875000000000009E-2</v>
      </c>
      <c r="L307" s="65">
        <f>_book!$U$302</f>
        <v>7.6877587226491517E-3</v>
      </c>
      <c r="M307" s="65" t="str">
        <f>IF(_book!$V$302=0,"—",_book!$W$302)</f>
        <v>—</v>
      </c>
      <c r="N307" s="63">
        <f>_book!$Y$302</f>
        <v>0.52591634660014819</v>
      </c>
      <c r="O307" s="66" t="str">
        <f>IF(_book!$V$302=0,"—",_book!$AA$302)</f>
        <v>—</v>
      </c>
      <c r="P307" s="67">
        <f>_book!$AC$302</f>
        <v>0</v>
      </c>
      <c r="Q307" s="67">
        <f>_book!$AD$302</f>
        <v>1</v>
      </c>
    </row>
    <row r="308" spans="1:17" x14ac:dyDescent="0.3">
      <c r="A308" s="61" t="str">
        <f>_book!$A$303</f>
        <v>Umbrella</v>
      </c>
      <c r="B308" s="61" t="str">
        <f>_book!$B$303</f>
        <v>SBA</v>
      </c>
      <c r="C308" s="61" t="str">
        <f>_book!$C$303</f>
        <v>IN</v>
      </c>
      <c r="D308" s="62">
        <f>_book!$F$303</f>
        <v>19200</v>
      </c>
      <c r="E308" s="63">
        <f>_book!$N$303</f>
        <v>0.53800000000000003</v>
      </c>
      <c r="F308" s="64">
        <f>_book!$K$303</f>
        <v>0.99894764948874615</v>
      </c>
      <c r="G308" s="64">
        <f>_book!$L$303</f>
        <v>1.012141452489427</v>
      </c>
      <c r="H308" s="64">
        <f>_book!$M$303</f>
        <v>1</v>
      </c>
      <c r="I308" s="63">
        <f>_book!$O$303</f>
        <v>0.543959062803968</v>
      </c>
      <c r="J308" s="63">
        <f>_book!$P$303</f>
        <v>0.5329068634179368</v>
      </c>
      <c r="K308" s="65">
        <f>_book!$T$303</f>
        <v>1.0534591194968359E-3</v>
      </c>
      <c r="L308" s="65">
        <f>_book!$U$303</f>
        <v>2.7667394411547749E-2</v>
      </c>
      <c r="M308" s="65" t="str">
        <f>IF(_book!$V$303=0,"—",_book!$W$303)</f>
        <v>—</v>
      </c>
      <c r="N308" s="63">
        <f>_book!$Y$303</f>
        <v>0.543959062803968</v>
      </c>
      <c r="O308" s="66" t="str">
        <f>IF(_book!$V$303=0,"—",_book!$AA$303)</f>
        <v>—</v>
      </c>
      <c r="P308" s="67">
        <f>_book!$AC$303</f>
        <v>1</v>
      </c>
      <c r="Q308" s="67">
        <f>_book!$AD$303</f>
        <v>1</v>
      </c>
    </row>
    <row r="309" spans="1:17" x14ac:dyDescent="0.3">
      <c r="A309" s="61" t="str">
        <f>_book!$A$304</f>
        <v>Umbrella</v>
      </c>
      <c r="B309" s="61" t="str">
        <f>_book!$B$304</f>
        <v>SBA</v>
      </c>
      <c r="C309" s="61" t="str">
        <f>_book!$C$304</f>
        <v>KY</v>
      </c>
      <c r="D309" s="62">
        <f>_book!$F$304</f>
        <v>14400</v>
      </c>
      <c r="E309" s="63">
        <f>_book!$N$304</f>
        <v>0.56599999999999995</v>
      </c>
      <c r="F309" s="64">
        <f>_book!$K$304</f>
        <v>0.94030013234140641</v>
      </c>
      <c r="G309" s="64">
        <f>_book!$L$304</f>
        <v>1</v>
      </c>
      <c r="H309" s="64">
        <f>_book!$M$304</f>
        <v>1</v>
      </c>
      <c r="I309" s="63">
        <f>_book!$O$304</f>
        <v>0.53220987490523597</v>
      </c>
      <c r="J309" s="63">
        <f>_book!$P$304</f>
        <v>0.48382715900475998</v>
      </c>
      <c r="K309" s="65">
        <f>_book!$T$304</f>
        <v>6.3490225732434125E-2</v>
      </c>
      <c r="L309" s="65">
        <f>_book!$U$304</f>
        <v>9.9999999999999867E-2</v>
      </c>
      <c r="M309" s="65">
        <f>IF(_book!$V$304=0,"—",_book!$W$304)</f>
        <v>0.1</v>
      </c>
      <c r="N309" s="63">
        <f>_book!$Y$304</f>
        <v>0.5267617901106082</v>
      </c>
      <c r="O309" s="66">
        <f>IF(_book!$V$304=0,"—",_book!$AA$304)</f>
        <v>-0.54480847946277722</v>
      </c>
      <c r="P309" s="67">
        <f>_book!$AC$304</f>
        <v>1</v>
      </c>
      <c r="Q309" s="67">
        <f>_book!$AD$304</f>
        <v>1</v>
      </c>
    </row>
    <row r="310" spans="1:17" x14ac:dyDescent="0.3">
      <c r="A310" s="61" t="str">
        <f>_book!$A$305</f>
        <v>Umbrella</v>
      </c>
      <c r="B310" s="61" t="str">
        <f>_book!$B$305</f>
        <v>SBA</v>
      </c>
      <c r="C310" s="61" t="str">
        <f>_book!$C$305</f>
        <v>MD</v>
      </c>
      <c r="D310" s="62">
        <f>_book!$F$305</f>
        <v>9600</v>
      </c>
      <c r="E310" s="63">
        <f>_book!$N$305</f>
        <v>0.55000000000000004</v>
      </c>
      <c r="F310" s="64">
        <f>_book!$K$305</f>
        <v>1.000911023382933</v>
      </c>
      <c r="G310" s="64">
        <f>_book!$L$305</f>
        <v>1.006044706983058</v>
      </c>
      <c r="H310" s="64">
        <f>_book!$M$305</f>
        <v>1</v>
      </c>
      <c r="I310" s="63">
        <f>_book!$O$305</f>
        <v>0.55382868047946798</v>
      </c>
      <c r="J310" s="63">
        <f>_book!$P$305</f>
        <v>0.54600720614742337</v>
      </c>
      <c r="K310" s="65">
        <f>_book!$T$305</f>
        <v>-9.1019417475712849E-4</v>
      </c>
      <c r="L310" s="65">
        <f>_book!$U$305</f>
        <v>9.1102338293347351E-4</v>
      </c>
      <c r="M310" s="65" t="str">
        <f>IF(_book!$V$305=0,"—",_book!$W$305)</f>
        <v>—</v>
      </c>
      <c r="N310" s="63">
        <f>_book!$Y$305</f>
        <v>0.55382868047946798</v>
      </c>
      <c r="O310" s="66" t="str">
        <f>IF(_book!$V$305=0,"—",_book!$AA$305)</f>
        <v>—</v>
      </c>
      <c r="P310" s="67">
        <f>_book!$AC$305</f>
        <v>1</v>
      </c>
      <c r="Q310" s="67">
        <f>_book!$AD$305</f>
        <v>0</v>
      </c>
    </row>
    <row r="311" spans="1:17" x14ac:dyDescent="0.3">
      <c r="A311" s="61" t="str">
        <f>_book!$A$306</f>
        <v>Umbrella</v>
      </c>
      <c r="B311" s="61" t="str">
        <f>_book!$B$306</f>
        <v>SBA</v>
      </c>
      <c r="C311" s="61" t="str">
        <f>_book!$C$306</f>
        <v>MI</v>
      </c>
      <c r="D311" s="62">
        <f>_book!$F$306</f>
        <v>25200</v>
      </c>
      <c r="E311" s="63">
        <f>_book!$N$306</f>
        <v>0.53400000000000003</v>
      </c>
      <c r="F311" s="64">
        <f>_book!$K$306</f>
        <v>1.0021413276231259</v>
      </c>
      <c r="G311" s="64">
        <f>_book!$L$306</f>
        <v>1.0101010101010099</v>
      </c>
      <c r="H311" s="64">
        <f>_book!$M$306</f>
        <v>1</v>
      </c>
      <c r="I311" s="63">
        <f>_book!$O$306</f>
        <v>0.54054895853611051</v>
      </c>
      <c r="J311" s="63">
        <f>_book!$P$306</f>
        <v>0.5393939393939392</v>
      </c>
      <c r="K311" s="65">
        <f>_book!$T$306</f>
        <v>-2.1367521367520181E-3</v>
      </c>
      <c r="L311" s="65">
        <f>_book!$U$306</f>
        <v>2.1413276231263541E-3</v>
      </c>
      <c r="M311" s="65" t="str">
        <f>IF(_book!$V$306=0,"—",_book!$W$306)</f>
        <v>—</v>
      </c>
      <c r="N311" s="63">
        <f>_book!$Y$306</f>
        <v>0.54054895853611051</v>
      </c>
      <c r="O311" s="66" t="str">
        <f>IF(_book!$V$306=0,"—",_book!$AA$306)</f>
        <v>—</v>
      </c>
      <c r="P311" s="67">
        <f>_book!$AC$306</f>
        <v>1</v>
      </c>
      <c r="Q311" s="67">
        <f>_book!$AD$306</f>
        <v>0</v>
      </c>
    </row>
    <row r="312" spans="1:17" x14ac:dyDescent="0.3">
      <c r="A312" s="61" t="str">
        <f>_book!$A$307</f>
        <v>Umbrella</v>
      </c>
      <c r="B312" s="61" t="str">
        <f>_book!$B$307</f>
        <v>SBA</v>
      </c>
      <c r="C312" s="61" t="str">
        <f>_book!$C$307</f>
        <v>MN</v>
      </c>
      <c r="D312" s="62">
        <f>_book!$F$307</f>
        <v>20400</v>
      </c>
      <c r="E312" s="63">
        <f>_book!$N$307</f>
        <v>0.56200000000000006</v>
      </c>
      <c r="F312" s="64">
        <f>_book!$K$307</f>
        <v>0.9888751545117429</v>
      </c>
      <c r="G312" s="64">
        <f>_book!$L$307</f>
        <v>1.007055725494679</v>
      </c>
      <c r="H312" s="64">
        <f>_book!$M$307</f>
        <v>1</v>
      </c>
      <c r="I312" s="63">
        <f>_book!$O$307</f>
        <v>0.55966904101657333</v>
      </c>
      <c r="J312" s="63">
        <f>_book!$P$307</f>
        <v>0.53942496526489814</v>
      </c>
      <c r="K312" s="65">
        <f>_book!$T$307</f>
        <v>1.1249999999999981E-2</v>
      </c>
      <c r="L312" s="65">
        <f>_book!$U$307</f>
        <v>2.7194066749073102E-2</v>
      </c>
      <c r="M312" s="65" t="str">
        <f>IF(_book!$V$307=0,"—",_book!$W$307)</f>
        <v>—</v>
      </c>
      <c r="N312" s="63">
        <f>_book!$Y$307</f>
        <v>0.55966904101657333</v>
      </c>
      <c r="O312" s="66" t="str">
        <f>IF(_book!$V$307=0,"—",_book!$AA$307)</f>
        <v>—</v>
      </c>
      <c r="P312" s="67">
        <f>_book!$AC$307</f>
        <v>0</v>
      </c>
      <c r="Q312" s="67">
        <f>_book!$AD$307</f>
        <v>1</v>
      </c>
    </row>
    <row r="313" spans="1:17" x14ac:dyDescent="0.3">
      <c r="A313" s="61" t="str">
        <f>_book!$A$308</f>
        <v>Umbrella</v>
      </c>
      <c r="B313" s="61" t="str">
        <f>_book!$B$308</f>
        <v>SBA</v>
      </c>
      <c r="C313" s="61" t="str">
        <f>_book!$C$308</f>
        <v>NM</v>
      </c>
      <c r="D313" s="62">
        <f>_book!$F$308</f>
        <v>15600</v>
      </c>
      <c r="E313" s="63">
        <f>_book!$N$308</f>
        <v>0.54600000000000004</v>
      </c>
      <c r="F313" s="64">
        <f>_book!$K$308</f>
        <v>1.0071258907363421</v>
      </c>
      <c r="G313" s="64">
        <f>_book!$L$308</f>
        <v>1.011120201892163</v>
      </c>
      <c r="H313" s="64">
        <f>_book!$M$308</f>
        <v>1</v>
      </c>
      <c r="I313" s="63">
        <f>_book!$O$308</f>
        <v>0.55600563234879641</v>
      </c>
      <c r="J313" s="63">
        <f>_book!$P$308</f>
        <v>0.55393690670249385</v>
      </c>
      <c r="K313" s="65">
        <f>_book!$T$308</f>
        <v>-7.0754716981130672E-3</v>
      </c>
      <c r="L313" s="65">
        <f>_book!$U$308</f>
        <v>7.1258907363420656E-3</v>
      </c>
      <c r="M313" s="65" t="str">
        <f>IF(_book!$V$308=0,"—",_book!$W$308)</f>
        <v>—</v>
      </c>
      <c r="N313" s="63">
        <f>_book!$Y$308</f>
        <v>0.55600563234879641</v>
      </c>
      <c r="O313" s="66" t="str">
        <f>IF(_book!$V$308=0,"—",_book!$AA$308)</f>
        <v>—</v>
      </c>
      <c r="P313" s="67">
        <f>_book!$AC$308</f>
        <v>1</v>
      </c>
      <c r="Q313" s="67">
        <f>_book!$AD$308</f>
        <v>0</v>
      </c>
    </row>
    <row r="314" spans="1:17" x14ac:dyDescent="0.3">
      <c r="A314" s="61" t="str">
        <f>_book!$A$309</f>
        <v>Umbrella</v>
      </c>
      <c r="B314" s="61" t="str">
        <f>_book!$B$309</f>
        <v>SBA</v>
      </c>
      <c r="C314" s="61" t="str">
        <f>_book!$C$309</f>
        <v>NC</v>
      </c>
      <c r="D314" s="62">
        <f>_book!$F$309</f>
        <v>10800</v>
      </c>
      <c r="E314" s="63">
        <f>_book!$N$309</f>
        <v>0.53</v>
      </c>
      <c r="F314" s="64">
        <f>_book!$K$309</f>
        <v>1.0033472231709819</v>
      </c>
      <c r="G314" s="64">
        <f>_book!$L$309</f>
        <v>1.008068778084247</v>
      </c>
      <c r="H314" s="64">
        <f>_book!$M$309</f>
        <v>1</v>
      </c>
      <c r="I314" s="63">
        <f>_book!$O$309</f>
        <v>0.53606479490578263</v>
      </c>
      <c r="J314" s="63">
        <f>_book!$P$309</f>
        <v>0.53071308926171978</v>
      </c>
      <c r="K314" s="65">
        <f>_book!$T$309</f>
        <v>-3.336056644880236E-3</v>
      </c>
      <c r="L314" s="65">
        <f>_book!$U$309</f>
        <v>3.3472231709814611E-3</v>
      </c>
      <c r="M314" s="65" t="str">
        <f>IF(_book!$V$309=0,"—",_book!$W$309)</f>
        <v>—</v>
      </c>
      <c r="N314" s="63">
        <f>_book!$Y$309</f>
        <v>0.53606479490578263</v>
      </c>
      <c r="O314" s="66" t="str">
        <f>IF(_book!$V$309=0,"—",_book!$AA$309)</f>
        <v>—</v>
      </c>
      <c r="P314" s="67">
        <f>_book!$AC$309</f>
        <v>1</v>
      </c>
      <c r="Q314" s="67">
        <f>_book!$AD$309</f>
        <v>0</v>
      </c>
    </row>
    <row r="315" spans="1:17" x14ac:dyDescent="0.3">
      <c r="A315" s="61" t="str">
        <f>_book!$A$310</f>
        <v>Umbrella</v>
      </c>
      <c r="B315" s="61" t="str">
        <f>_book!$B$310</f>
        <v>SBA</v>
      </c>
      <c r="C315" s="61" t="str">
        <f>_book!$C$310</f>
        <v>OH</v>
      </c>
      <c r="D315" s="62">
        <f>_book!$F$310</f>
        <v>26400</v>
      </c>
      <c r="E315" s="63">
        <f>_book!$N$310</f>
        <v>0.55800000000000005</v>
      </c>
      <c r="F315" s="64">
        <f>_book!$K$310</f>
        <v>1</v>
      </c>
      <c r="G315" s="64">
        <f>_book!$L$310</f>
        <v>1.012141452489427</v>
      </c>
      <c r="H315" s="64">
        <f>_book!$M$310</f>
        <v>1</v>
      </c>
      <c r="I315" s="63">
        <f>_book!$O$310</f>
        <v>0.56477493048910032</v>
      </c>
      <c r="J315" s="63">
        <f>_book!$P$310</f>
        <v>0.56860815640072693</v>
      </c>
      <c r="K315" s="65">
        <f>_book!$T$310</f>
        <v>0</v>
      </c>
      <c r="L315" s="65">
        <f>_book!$U$310</f>
        <v>0</v>
      </c>
      <c r="M315" s="65" t="str">
        <f>IF(_book!$V$310=0,"—",_book!$W$310)</f>
        <v>—</v>
      </c>
      <c r="N315" s="63">
        <f>_book!$Y$310</f>
        <v>0.56477493048910032</v>
      </c>
      <c r="O315" s="66" t="str">
        <f>IF(_book!$V$310=0,"—",_book!$AA$310)</f>
        <v>—</v>
      </c>
      <c r="P315" s="67">
        <f>_book!$AC$310</f>
        <v>0</v>
      </c>
      <c r="Q315" s="67">
        <f>_book!$AD$310</f>
        <v>0</v>
      </c>
    </row>
    <row r="316" spans="1:17" x14ac:dyDescent="0.3">
      <c r="A316" s="61" t="str">
        <f>_book!$A$311</f>
        <v>Umbrella</v>
      </c>
      <c r="B316" s="61" t="str">
        <f>_book!$B$311</f>
        <v>SBA</v>
      </c>
      <c r="C316" s="61" t="str">
        <f>_book!$C$311</f>
        <v>PA</v>
      </c>
      <c r="D316" s="62">
        <f>_book!$F$311</f>
        <v>21600</v>
      </c>
      <c r="E316" s="63">
        <f>_book!$N$311</f>
        <v>0.54200000000000004</v>
      </c>
      <c r="F316" s="64">
        <f>_book!$K$311</f>
        <v>1.0073994349522399</v>
      </c>
      <c r="G316" s="64">
        <f>_book!$L$311</f>
        <v>1.009083870896514</v>
      </c>
      <c r="H316" s="64">
        <f>_book!$M$311</f>
        <v>1</v>
      </c>
      <c r="I316" s="63">
        <f>_book!$O$311</f>
        <v>0.55097038257742781</v>
      </c>
      <c r="J316" s="63">
        <f>_book!$P$311</f>
        <v>0.52757897191098468</v>
      </c>
      <c r="K316" s="65">
        <f>_book!$T$311</f>
        <v>-7.3450854700855004E-3</v>
      </c>
      <c r="L316" s="65">
        <f>_book!$U$311</f>
        <v>4.0839499529127243E-2</v>
      </c>
      <c r="M316" s="65" t="str">
        <f>IF(_book!$V$311=0,"—",_book!$W$311)</f>
        <v>—</v>
      </c>
      <c r="N316" s="63">
        <f>_book!$Y$311</f>
        <v>0.55097038257742781</v>
      </c>
      <c r="O316" s="66" t="str">
        <f>IF(_book!$V$311=0,"—",_book!$AA$311)</f>
        <v>—</v>
      </c>
      <c r="P316" s="67">
        <f>_book!$AC$311</f>
        <v>1</v>
      </c>
      <c r="Q316" s="67">
        <f>_book!$AD$311</f>
        <v>1</v>
      </c>
    </row>
    <row r="317" spans="1:17" x14ac:dyDescent="0.3">
      <c r="A317" s="61" t="str">
        <f>_book!$A$312</f>
        <v>Umbrella</v>
      </c>
      <c r="B317" s="61" t="str">
        <f>_book!$B$312</f>
        <v>SBA</v>
      </c>
      <c r="C317" s="61" t="str">
        <f>_book!$C$312</f>
        <v>SC</v>
      </c>
      <c r="D317" s="62">
        <f>_book!$F$312</f>
        <v>16800</v>
      </c>
      <c r="E317" s="63">
        <f>_book!$N$312</f>
        <v>0.56999999999999995</v>
      </c>
      <c r="F317" s="64">
        <f>_book!$K$312</f>
        <v>1.0168123739071959</v>
      </c>
      <c r="G317" s="64">
        <f>_book!$L$312</f>
        <v>1.006044706983058</v>
      </c>
      <c r="H317" s="64">
        <f>_book!$M$312</f>
        <v>1</v>
      </c>
      <c r="I317" s="63">
        <f>_book!$O$312</f>
        <v>0.58308646285560117</v>
      </c>
      <c r="J317" s="63">
        <f>_book!$P$312</f>
        <v>0.56586201364369337</v>
      </c>
      <c r="K317" s="65">
        <f>_book!$T$312</f>
        <v>-1.653439153439162E-2</v>
      </c>
      <c r="L317" s="65">
        <f>_book!$U$312</f>
        <v>1.6812373907195699E-2</v>
      </c>
      <c r="M317" s="65" t="str">
        <f>IF(_book!$V$312=0,"—",_book!$W$312)</f>
        <v>—</v>
      </c>
      <c r="N317" s="63">
        <f>_book!$Y$312</f>
        <v>0.58308646285560117</v>
      </c>
      <c r="O317" s="66" t="str">
        <f>IF(_book!$V$312=0,"—",_book!$AA$312)</f>
        <v>—</v>
      </c>
      <c r="P317" s="67">
        <f>_book!$AC$312</f>
        <v>1</v>
      </c>
      <c r="Q317" s="67">
        <f>_book!$AD$312</f>
        <v>0</v>
      </c>
    </row>
    <row r="318" spans="1:17" x14ac:dyDescent="0.3">
      <c r="A318" s="61" t="str">
        <f>_book!$A$313</f>
        <v>Umbrella</v>
      </c>
      <c r="B318" s="61" t="str">
        <f>_book!$B$313</f>
        <v>SBA</v>
      </c>
      <c r="C318" s="61" t="str">
        <f>_book!$C$313</f>
        <v>TN</v>
      </c>
      <c r="D318" s="62">
        <f>_book!$F$313</f>
        <v>12000</v>
      </c>
      <c r="E318" s="63">
        <f>_book!$N$313</f>
        <v>0.55400000000000005</v>
      </c>
      <c r="F318" s="64">
        <f>_book!$K$313</f>
        <v>1</v>
      </c>
      <c r="G318" s="64">
        <f>_book!$L$313</f>
        <v>1.0101010101010099</v>
      </c>
      <c r="H318" s="64">
        <f>_book!$M$313</f>
        <v>1</v>
      </c>
      <c r="I318" s="63">
        <f>_book!$O$313</f>
        <v>0.55959595959595954</v>
      </c>
      <c r="J318" s="63">
        <f>_book!$P$313</f>
        <v>0.55959595959595954</v>
      </c>
      <c r="K318" s="65">
        <f>_book!$T$313</f>
        <v>0</v>
      </c>
      <c r="L318" s="65">
        <f>_book!$U$313</f>
        <v>0</v>
      </c>
      <c r="M318" s="65" t="str">
        <f>IF(_book!$V$313=0,"—",_book!$W$313)</f>
        <v>—</v>
      </c>
      <c r="N318" s="63">
        <f>_book!$Y$313</f>
        <v>0.55959595959595954</v>
      </c>
      <c r="O318" s="66" t="str">
        <f>IF(_book!$V$313=0,"—",_book!$AA$313)</f>
        <v>—</v>
      </c>
      <c r="P318" s="67">
        <f>_book!$AC$313</f>
        <v>0</v>
      </c>
      <c r="Q318" s="67">
        <f>_book!$AD$313</f>
        <v>0</v>
      </c>
    </row>
    <row r="319" spans="1:17" x14ac:dyDescent="0.3">
      <c r="A319" s="61" t="str">
        <f>_book!$A$314</f>
        <v>Umbrella</v>
      </c>
      <c r="B319" s="61" t="str">
        <f>_book!$B$314</f>
        <v>SBA</v>
      </c>
      <c r="C319" s="61" t="str">
        <f>_book!$C$314</f>
        <v>VA</v>
      </c>
      <c r="D319" s="62">
        <f>_book!$F$314</f>
        <v>27600</v>
      </c>
      <c r="E319" s="63">
        <f>_book!$N$314</f>
        <v>0.53800000000000003</v>
      </c>
      <c r="F319" s="64">
        <f>_book!$K$314</f>
        <v>1</v>
      </c>
      <c r="G319" s="64">
        <f>_book!$L$314</f>
        <v>1.007055725494679</v>
      </c>
      <c r="H319" s="64">
        <f>_book!$M$314</f>
        <v>1</v>
      </c>
      <c r="I319" s="63">
        <f>_book!$O$314</f>
        <v>0.54179598031613763</v>
      </c>
      <c r="J319" s="63">
        <f>_book!$P$314</f>
        <v>0.53639909835564992</v>
      </c>
      <c r="K319" s="65">
        <f>_book!$T$314</f>
        <v>0</v>
      </c>
      <c r="L319" s="65">
        <f>_book!$U$314</f>
        <v>0</v>
      </c>
      <c r="M319" s="65" t="str">
        <f>IF(_book!$V$314=0,"—",_book!$W$314)</f>
        <v>—</v>
      </c>
      <c r="N319" s="63">
        <f>_book!$Y$314</f>
        <v>0.54179598031613763</v>
      </c>
      <c r="O319" s="66" t="str">
        <f>IF(_book!$V$314=0,"—",_book!$AA$314)</f>
        <v>—</v>
      </c>
      <c r="P319" s="67">
        <f>_book!$AC$314</f>
        <v>1</v>
      </c>
      <c r="Q319" s="67">
        <f>_book!$AD$314</f>
        <v>0</v>
      </c>
    </row>
    <row r="320" spans="1:17" x14ac:dyDescent="0.3">
      <c r="A320" s="61" t="str">
        <f>_book!$A$315</f>
        <v>Umbrella</v>
      </c>
      <c r="B320" s="61" t="str">
        <f>_book!$B$315</f>
        <v>SBA</v>
      </c>
      <c r="C320" s="61" t="str">
        <f>_book!$C$315</f>
        <v>WV</v>
      </c>
      <c r="D320" s="62">
        <f>_book!$F$315</f>
        <v>22800</v>
      </c>
      <c r="E320" s="63">
        <f>_book!$N$315</f>
        <v>0.56599999999999995</v>
      </c>
      <c r="F320" s="64">
        <f>_book!$K$315</f>
        <v>0.98357003029225942</v>
      </c>
      <c r="G320" s="64">
        <f>_book!$L$315</f>
        <v>1.011120201892163</v>
      </c>
      <c r="H320" s="64">
        <f>_book!$M$315</f>
        <v>1</v>
      </c>
      <c r="I320" s="63">
        <f>_book!$O$315</f>
        <v>0.56289126062397155</v>
      </c>
      <c r="J320" s="63">
        <f>_book!$P$315</f>
        <v>0.55221570433782474</v>
      </c>
      <c r="K320" s="65">
        <f>_book!$T$315</f>
        <v>1.6704422869471269E-2</v>
      </c>
      <c r="L320" s="65">
        <f>_book!$U$315</f>
        <v>2.277622455529826E-2</v>
      </c>
      <c r="M320" s="65" t="str">
        <f>IF(_book!$V$315=0,"—",_book!$W$315)</f>
        <v>—</v>
      </c>
      <c r="N320" s="63">
        <f>_book!$Y$315</f>
        <v>0.56289126062397155</v>
      </c>
      <c r="O320" s="66" t="str">
        <f>IF(_book!$V$315=0,"—",_book!$AA$315)</f>
        <v>—</v>
      </c>
      <c r="P320" s="67">
        <f>_book!$AC$315</f>
        <v>1</v>
      </c>
      <c r="Q320" s="67">
        <f>_book!$AD$315</f>
        <v>1</v>
      </c>
    </row>
    <row r="321" spans="1:17" x14ac:dyDescent="0.3">
      <c r="A321" s="61" t="str">
        <f>_book!$A$316</f>
        <v>Umbrella</v>
      </c>
      <c r="B321" s="61" t="str">
        <f>_book!$B$316</f>
        <v>SBA</v>
      </c>
      <c r="C321" s="61" t="str">
        <f>_book!$C$316</f>
        <v>WI</v>
      </c>
      <c r="D321" s="62">
        <f>_book!$F$316</f>
        <v>18000</v>
      </c>
      <c r="E321" s="63">
        <f>_book!$N$316</f>
        <v>0.55000000000000004</v>
      </c>
      <c r="F321" s="64">
        <f>_book!$K$316</f>
        <v>1</v>
      </c>
      <c r="G321" s="64">
        <f>_book!$L$316</f>
        <v>1.008068778084247</v>
      </c>
      <c r="H321" s="64">
        <f>_book!$M$316</f>
        <v>1</v>
      </c>
      <c r="I321" s="63">
        <f>_book!$O$316</f>
        <v>0.55443782794633578</v>
      </c>
      <c r="J321" s="63">
        <f>_book!$P$316</f>
        <v>0.55073999829046383</v>
      </c>
      <c r="K321" s="65">
        <f>_book!$T$316</f>
        <v>0</v>
      </c>
      <c r="L321" s="65">
        <f>_book!$U$316</f>
        <v>0</v>
      </c>
      <c r="M321" s="65" t="str">
        <f>IF(_book!$V$316=0,"—",_book!$W$316)</f>
        <v>—</v>
      </c>
      <c r="N321" s="63">
        <f>_book!$Y$316</f>
        <v>0.55443782794633578</v>
      </c>
      <c r="O321" s="66" t="str">
        <f>IF(_book!$V$316=0,"—",_book!$AA$316)</f>
        <v>—</v>
      </c>
      <c r="P321" s="67">
        <f>_book!$AC$316</f>
        <v>0</v>
      </c>
      <c r="Q321" s="67">
        <f>_book!$AD$316</f>
        <v>0</v>
      </c>
    </row>
    <row r="322" spans="1:17" x14ac:dyDescent="0.3">
      <c r="A322" s="61" t="str">
        <f>_book!$A$317</f>
        <v>Inland Marine</v>
      </c>
      <c r="B322" s="61" t="str">
        <f>_book!$B$317</f>
        <v>ABD</v>
      </c>
      <c r="C322" s="61" t="str">
        <f>_book!$C$317</f>
        <v>AZ</v>
      </c>
      <c r="D322" s="62">
        <f>_book!$F$317</f>
        <v>6400</v>
      </c>
      <c r="E322" s="63">
        <f>_book!$N$317</f>
        <v>0.65</v>
      </c>
      <c r="F322" s="64">
        <f>_book!$K$317</f>
        <v>0.97560975609756095</v>
      </c>
      <c r="G322" s="64">
        <f>_book!$L$317</f>
        <v>0.97479571511472884</v>
      </c>
      <c r="H322" s="64">
        <f>_book!$M$317</f>
        <v>1</v>
      </c>
      <c r="I322" s="63">
        <f>_book!$O$317</f>
        <v>0.61816313641421827</v>
      </c>
      <c r="J322" s="63">
        <f>_book!$P$317</f>
        <v>0.59190316879792326</v>
      </c>
      <c r="K322" s="65">
        <f>_book!$T$317</f>
        <v>2.500000000000013E-2</v>
      </c>
      <c r="L322" s="65">
        <f>_book!$U$317</f>
        <v>2.439024390243905E-2</v>
      </c>
      <c r="M322" s="65" t="str">
        <f>IF(_book!$V$317=0,"—",_book!$W$317)</f>
        <v>—</v>
      </c>
      <c r="N322" s="63">
        <f>_book!$Y$317</f>
        <v>0.61816313641421827</v>
      </c>
      <c r="O322" s="66" t="str">
        <f>IF(_book!$V$317=0,"—",_book!$AA$317)</f>
        <v>—</v>
      </c>
      <c r="P322" s="67">
        <f>_book!$AC$317</f>
        <v>2</v>
      </c>
      <c r="Q322" s="67">
        <f>_book!$AD$317</f>
        <v>1</v>
      </c>
    </row>
    <row r="323" spans="1:17" x14ac:dyDescent="0.3">
      <c r="A323" s="61" t="str">
        <f>_book!$A$318</f>
        <v>Inland Marine</v>
      </c>
      <c r="B323" s="61" t="str">
        <f>_book!$B$318</f>
        <v>ABD</v>
      </c>
      <c r="C323" s="61" t="str">
        <f>_book!$C$318</f>
        <v>CO</v>
      </c>
      <c r="D323" s="62">
        <f>_book!$F$318</f>
        <v>16800</v>
      </c>
      <c r="E323" s="63">
        <f>_book!$N$318</f>
        <v>0.58799999999999997</v>
      </c>
      <c r="F323" s="64">
        <f>_book!$K$318</f>
        <v>0.9740259740259738</v>
      </c>
      <c r="G323" s="64">
        <f>_book!$L$318</f>
        <v>1.008776064642062</v>
      </c>
      <c r="H323" s="64">
        <f>_book!$M$318</f>
        <v>1</v>
      </c>
      <c r="I323" s="63">
        <f>_book!$O$318</f>
        <v>0.57775356429499869</v>
      </c>
      <c r="J323" s="63">
        <f>_book!$P$318</f>
        <v>0.56857971706612476</v>
      </c>
      <c r="K323" s="65">
        <f>_book!$T$318</f>
        <v>2.666666666666706E-2</v>
      </c>
      <c r="L323" s="65">
        <f>_book!$U$318</f>
        <v>1.2987012987013101E-2</v>
      </c>
      <c r="M323" s="65" t="str">
        <f>IF(_book!$V$318=0,"—",_book!$W$318)</f>
        <v>—</v>
      </c>
      <c r="N323" s="63">
        <f>_book!$Y$318</f>
        <v>0.57775356429499869</v>
      </c>
      <c r="O323" s="66" t="str">
        <f>IF(_book!$V$318=0,"—",_book!$AA$318)</f>
        <v>—</v>
      </c>
      <c r="P323" s="67">
        <f>_book!$AC$318</f>
        <v>1</v>
      </c>
      <c r="Q323" s="67">
        <f>_book!$AD$318</f>
        <v>1</v>
      </c>
    </row>
    <row r="324" spans="1:17" x14ac:dyDescent="0.3">
      <c r="A324" s="61" t="str">
        <f>_book!$A$319</f>
        <v>Inland Marine</v>
      </c>
      <c r="B324" s="61" t="str">
        <f>_book!$B$319</f>
        <v>ABD</v>
      </c>
      <c r="C324" s="61" t="str">
        <f>_book!$C$319</f>
        <v>DE</v>
      </c>
      <c r="D324" s="62">
        <f>_book!$F$319</f>
        <v>13600</v>
      </c>
      <c r="E324" s="63">
        <f>_book!$N$319</f>
        <v>0.57199999999999995</v>
      </c>
      <c r="F324" s="64">
        <f>_book!$K$319</f>
        <v>1</v>
      </c>
      <c r="G324" s="64">
        <f>_book!$L$319</f>
        <v>1.002194973213381</v>
      </c>
      <c r="H324" s="64">
        <f>_book!$M$319</f>
        <v>1</v>
      </c>
      <c r="I324" s="63">
        <f>_book!$O$319</f>
        <v>0.57325552467805407</v>
      </c>
      <c r="J324" s="63">
        <f>_book!$P$319</f>
        <v>0.56626323190648564</v>
      </c>
      <c r="K324" s="65">
        <f>_book!$T$319</f>
        <v>0</v>
      </c>
      <c r="L324" s="65">
        <f>_book!$U$319</f>
        <v>0</v>
      </c>
      <c r="M324" s="65" t="str">
        <f>IF(_book!$V$319=0,"—",_book!$W$319)</f>
        <v>—</v>
      </c>
      <c r="N324" s="63">
        <f>_book!$Y$319</f>
        <v>0.57325552467805407</v>
      </c>
      <c r="O324" s="66" t="str">
        <f>IF(_book!$V$319=0,"—",_book!$AA$319)</f>
        <v>—</v>
      </c>
      <c r="P324" s="67">
        <f>_book!$AC$319</f>
        <v>0</v>
      </c>
      <c r="Q324" s="67">
        <f>_book!$AD$319</f>
        <v>0</v>
      </c>
    </row>
    <row r="325" spans="1:17" x14ac:dyDescent="0.3">
      <c r="A325" s="61" t="str">
        <f>_book!$A$320</f>
        <v>Inland Marine</v>
      </c>
      <c r="B325" s="61" t="str">
        <f>_book!$B$320</f>
        <v>ABD</v>
      </c>
      <c r="C325" s="61" t="str">
        <f>_book!$C$320</f>
        <v>FL</v>
      </c>
      <c r="D325" s="62">
        <f>_book!$F$320</f>
        <v>10400</v>
      </c>
      <c r="E325" s="63">
        <f>_book!$N$320</f>
        <v>0.6</v>
      </c>
      <c r="F325" s="64">
        <f>_book!$K$320</f>
        <v>1</v>
      </c>
      <c r="G325" s="64">
        <f>_book!$L$320</f>
        <v>1</v>
      </c>
      <c r="H325" s="64">
        <f>_book!$M$320</f>
        <v>1</v>
      </c>
      <c r="I325" s="63">
        <f>_book!$O$320</f>
        <v>0.6</v>
      </c>
      <c r="J325" s="63">
        <f>_book!$P$320</f>
        <v>0.6</v>
      </c>
      <c r="K325" s="65">
        <f>_book!$T$320</f>
        <v>0</v>
      </c>
      <c r="L325" s="65">
        <f>_book!$U$320</f>
        <v>0</v>
      </c>
      <c r="M325" s="65" t="str">
        <f>IF(_book!$V$320=0,"—",_book!$W$320)</f>
        <v>—</v>
      </c>
      <c r="N325" s="63">
        <f>_book!$Y$320</f>
        <v>0.6</v>
      </c>
      <c r="O325" s="66" t="str">
        <f>IF(_book!$V$320=0,"—",_book!$AA$320)</f>
        <v>—</v>
      </c>
      <c r="P325" s="67">
        <f>_book!$AC$320</f>
        <v>1</v>
      </c>
      <c r="Q325" s="67">
        <f>_book!$AD$320</f>
        <v>0</v>
      </c>
    </row>
    <row r="326" spans="1:17" x14ac:dyDescent="0.3">
      <c r="A326" s="61" t="str">
        <f>_book!$A$321</f>
        <v>Inland Marine</v>
      </c>
      <c r="B326" s="61" t="str">
        <f>_book!$B$321</f>
        <v>ABD</v>
      </c>
      <c r="C326" s="61" t="str">
        <f>_book!$C$321</f>
        <v>GA</v>
      </c>
      <c r="D326" s="62">
        <f>_book!$F$321</f>
        <v>7200</v>
      </c>
      <c r="E326" s="63">
        <f>_book!$N$321</f>
        <v>0.58399999999999996</v>
      </c>
      <c r="F326" s="64">
        <f>_book!$K$321</f>
        <v>0.99999999999999978</v>
      </c>
      <c r="G326" s="64">
        <f>_book!$L$321</f>
        <v>1.0043791086804299</v>
      </c>
      <c r="H326" s="64">
        <f>_book!$M$321</f>
        <v>1</v>
      </c>
      <c r="I326" s="63">
        <f>_book!$O$321</f>
        <v>0.58655739946937091</v>
      </c>
      <c r="J326" s="63">
        <f>_book!$P$321</f>
        <v>0.58116345769792543</v>
      </c>
      <c r="K326" s="65">
        <f>_book!$T$321</f>
        <v>0</v>
      </c>
      <c r="L326" s="65">
        <f>_book!$U$321</f>
        <v>0</v>
      </c>
      <c r="M326" s="65" t="str">
        <f>IF(_book!$V$321=0,"—",_book!$W$321)</f>
        <v>—</v>
      </c>
      <c r="N326" s="63">
        <f>_book!$Y$321</f>
        <v>0.58655739946937091</v>
      </c>
      <c r="O326" s="66" t="str">
        <f>IF(_book!$V$321=0,"—",_book!$AA$321)</f>
        <v>—</v>
      </c>
      <c r="P326" s="67">
        <f>_book!$AC$321</f>
        <v>1</v>
      </c>
      <c r="Q326" s="67">
        <f>_book!$AD$321</f>
        <v>0</v>
      </c>
    </row>
    <row r="327" spans="1:17" x14ac:dyDescent="0.3">
      <c r="A327" s="61" t="str">
        <f>_book!$A$322</f>
        <v>Inland Marine</v>
      </c>
      <c r="B327" s="61" t="str">
        <f>_book!$B$322</f>
        <v>ABD</v>
      </c>
      <c r="C327" s="61" t="str">
        <f>_book!$C$322</f>
        <v>IA</v>
      </c>
      <c r="D327" s="62">
        <f>_book!$F$322</f>
        <v>17600</v>
      </c>
      <c r="E327" s="63">
        <f>_book!$N$322</f>
        <v>0.56799999999999995</v>
      </c>
      <c r="F327" s="64">
        <f>_book!$K$322</f>
        <v>0.9868421052631583</v>
      </c>
      <c r="G327" s="64">
        <f>_book!$L$322</f>
        <v>1.013297255604982</v>
      </c>
      <c r="H327" s="64">
        <f>_book!$M$322</f>
        <v>1</v>
      </c>
      <c r="I327" s="63">
        <f>_book!$O$322</f>
        <v>0.56797977748384532</v>
      </c>
      <c r="J327" s="63">
        <f>_book!$P$322</f>
        <v>0.55421018020661728</v>
      </c>
      <c r="K327" s="65">
        <f>_book!$T$322</f>
        <v>1.333333333333298E-2</v>
      </c>
      <c r="L327" s="65">
        <f>_book!$U$322</f>
        <v>2.6315789473684289E-2</v>
      </c>
      <c r="M327" s="65" t="str">
        <f>IF(_book!$V$322=0,"—",_book!$W$322)</f>
        <v>—</v>
      </c>
      <c r="N327" s="63">
        <f>_book!$Y$322</f>
        <v>0.56797977748384532</v>
      </c>
      <c r="O327" s="66" t="str">
        <f>IF(_book!$V$322=0,"—",_book!$AA$322)</f>
        <v>—</v>
      </c>
      <c r="P327" s="67">
        <f>_book!$AC$322</f>
        <v>1</v>
      </c>
      <c r="Q327" s="67">
        <f>_book!$AD$322</f>
        <v>1</v>
      </c>
    </row>
    <row r="328" spans="1:17" x14ac:dyDescent="0.3">
      <c r="A328" s="61" t="str">
        <f>_book!$A$323</f>
        <v>Inland Marine</v>
      </c>
      <c r="B328" s="61" t="str">
        <f>_book!$B$323</f>
        <v>ABD</v>
      </c>
      <c r="C328" s="61" t="str">
        <f>_book!$C$323</f>
        <v>IL</v>
      </c>
      <c r="D328" s="62">
        <f>_book!$F$323</f>
        <v>14400</v>
      </c>
      <c r="E328" s="63">
        <f>_book!$N$323</f>
        <v>0.59599999999999997</v>
      </c>
      <c r="F328" s="64">
        <f>_book!$K$323</f>
        <v>1</v>
      </c>
      <c r="G328" s="64">
        <f>_book!$L$323</f>
        <v>1.006572784939554</v>
      </c>
      <c r="H328" s="64">
        <f>_book!$M$323</f>
        <v>1</v>
      </c>
      <c r="I328" s="63">
        <f>_book!$O$323</f>
        <v>0.59991737982397431</v>
      </c>
      <c r="J328" s="63">
        <f>_book!$P$323</f>
        <v>0.59622019728689213</v>
      </c>
      <c r="K328" s="65">
        <f>_book!$T$323</f>
        <v>0</v>
      </c>
      <c r="L328" s="65">
        <f>_book!$U$323</f>
        <v>0</v>
      </c>
      <c r="M328" s="65" t="str">
        <f>IF(_book!$V$323=0,"—",_book!$W$323)</f>
        <v>—</v>
      </c>
      <c r="N328" s="63">
        <f>_book!$Y$323</f>
        <v>0.59991737982397431</v>
      </c>
      <c r="O328" s="66" t="str">
        <f>IF(_book!$V$323=0,"—",_book!$AA$323)</f>
        <v>—</v>
      </c>
      <c r="P328" s="67">
        <f>_book!$AC$323</f>
        <v>1</v>
      </c>
      <c r="Q328" s="67">
        <f>_book!$AD$323</f>
        <v>0</v>
      </c>
    </row>
    <row r="329" spans="1:17" x14ac:dyDescent="0.3">
      <c r="A329" s="61" t="str">
        <f>_book!$A$324</f>
        <v>Inland Marine</v>
      </c>
      <c r="B329" s="61" t="str">
        <f>_book!$B$324</f>
        <v>ABD</v>
      </c>
      <c r="C329" s="61" t="str">
        <f>_book!$C$324</f>
        <v>IN</v>
      </c>
      <c r="D329" s="62">
        <f>_book!$F$324</f>
        <v>11200</v>
      </c>
      <c r="E329" s="63">
        <f>_book!$N$324</f>
        <v>0.57999999999999996</v>
      </c>
      <c r="F329" s="64">
        <f>_book!$K$324</f>
        <v>1.0002671653753681</v>
      </c>
      <c r="G329" s="64">
        <f>_book!$L$324</f>
        <v>1.0154441592055621</v>
      </c>
      <c r="H329" s="64">
        <f>_book!$M$324</f>
        <v>1</v>
      </c>
      <c r="I329" s="63">
        <f>_book!$O$324</f>
        <v>0.58911496142080233</v>
      </c>
      <c r="J329" s="63">
        <f>_book!$P$324</f>
        <v>0.59266514046686603</v>
      </c>
      <c r="K329" s="65">
        <f>_book!$T$324</f>
        <v>-2.6709401709423819E-4</v>
      </c>
      <c r="L329" s="65">
        <f>_book!$U$324</f>
        <v>2.6716537536741752E-4</v>
      </c>
      <c r="M329" s="65" t="str">
        <f>IF(_book!$V$324=0,"—",_book!$W$324)</f>
        <v>—</v>
      </c>
      <c r="N329" s="63">
        <f>_book!$Y$324</f>
        <v>0.58911496142080233</v>
      </c>
      <c r="O329" s="66" t="str">
        <f>IF(_book!$V$324=0,"—",_book!$AA$324)</f>
        <v>—</v>
      </c>
      <c r="P329" s="67">
        <f>_book!$AC$324</f>
        <v>1</v>
      </c>
      <c r="Q329" s="67">
        <f>_book!$AD$324</f>
        <v>0</v>
      </c>
    </row>
    <row r="330" spans="1:17" x14ac:dyDescent="0.3">
      <c r="A330" s="61" t="str">
        <f>_book!$A$325</f>
        <v>Inland Marine</v>
      </c>
      <c r="B330" s="61" t="str">
        <f>_book!$B$325</f>
        <v>ABD</v>
      </c>
      <c r="C330" s="61" t="str">
        <f>_book!$C$325</f>
        <v>KY</v>
      </c>
      <c r="D330" s="62">
        <f>_book!$F$325</f>
        <v>8000</v>
      </c>
      <c r="E330" s="63">
        <f>_book!$N$325</f>
        <v>0.56399999999999995</v>
      </c>
      <c r="F330" s="64">
        <f>_book!$K$325</f>
        <v>1</v>
      </c>
      <c r="G330" s="64">
        <f>_book!$L$325</f>
        <v>1.008776064642062</v>
      </c>
      <c r="H330" s="64">
        <f>_book!$M$325</f>
        <v>1</v>
      </c>
      <c r="I330" s="63">
        <f>_book!$O$325</f>
        <v>0.56894970045812265</v>
      </c>
      <c r="J330" s="63">
        <f>_book!$P$325</f>
        <v>0.56718727694269777</v>
      </c>
      <c r="K330" s="65">
        <f>_book!$T$325</f>
        <v>0</v>
      </c>
      <c r="L330" s="65">
        <f>_book!$U$325</f>
        <v>0</v>
      </c>
      <c r="M330" s="65" t="str">
        <f>IF(_book!$V$325=0,"—",_book!$W$325)</f>
        <v>—</v>
      </c>
      <c r="N330" s="63">
        <f>_book!$Y$325</f>
        <v>0.56894970045812265</v>
      </c>
      <c r="O330" s="66" t="str">
        <f>IF(_book!$V$325=0,"—",_book!$AA$325)</f>
        <v>—</v>
      </c>
      <c r="P330" s="67">
        <f>_book!$AC$325</f>
        <v>0</v>
      </c>
      <c r="Q330" s="67">
        <f>_book!$AD$325</f>
        <v>0</v>
      </c>
    </row>
    <row r="331" spans="1:17" x14ac:dyDescent="0.3">
      <c r="A331" s="61" t="str">
        <f>_book!$A$326</f>
        <v>Inland Marine</v>
      </c>
      <c r="B331" s="61" t="str">
        <f>_book!$B$326</f>
        <v>ABD</v>
      </c>
      <c r="C331" s="61" t="str">
        <f>_book!$C$326</f>
        <v>MD</v>
      </c>
      <c r="D331" s="62">
        <f>_book!$F$326</f>
        <v>18400</v>
      </c>
      <c r="E331" s="63">
        <f>_book!$N$326</f>
        <v>0.59199999999999997</v>
      </c>
      <c r="F331" s="64">
        <f>_book!$K$326</f>
        <v>1.001038813863443</v>
      </c>
      <c r="G331" s="64">
        <f>_book!$L$326</f>
        <v>1.002194973213381</v>
      </c>
      <c r="H331" s="64">
        <f>_book!$M$326</f>
        <v>1</v>
      </c>
      <c r="I331" s="63">
        <f>_book!$O$326</f>
        <v>0.59391575180929357</v>
      </c>
      <c r="J331" s="63">
        <f>_book!$P$326</f>
        <v>0.56487965841880439</v>
      </c>
      <c r="K331" s="65">
        <f>_book!$T$326</f>
        <v>-1.0377358490565309E-3</v>
      </c>
      <c r="L331" s="65">
        <f>_book!$U$326</f>
        <v>3.8577769383322247E-2</v>
      </c>
      <c r="M331" s="65" t="str">
        <f>IF(_book!$V$326=0,"—",_book!$W$326)</f>
        <v>—</v>
      </c>
      <c r="N331" s="63">
        <f>_book!$Y$326</f>
        <v>0.59391575180929357</v>
      </c>
      <c r="O331" s="66" t="str">
        <f>IF(_book!$V$326=0,"—",_book!$AA$326)</f>
        <v>—</v>
      </c>
      <c r="P331" s="67">
        <f>_book!$AC$326</f>
        <v>1</v>
      </c>
      <c r="Q331" s="67">
        <f>_book!$AD$326</f>
        <v>1</v>
      </c>
    </row>
    <row r="332" spans="1:17" x14ac:dyDescent="0.3">
      <c r="A332" s="61" t="str">
        <f>_book!$A$327</f>
        <v>Inland Marine</v>
      </c>
      <c r="B332" s="61" t="str">
        <f>_book!$B$327</f>
        <v>ABD</v>
      </c>
      <c r="C332" s="61" t="str">
        <f>_book!$C$327</f>
        <v>MI</v>
      </c>
      <c r="D332" s="62">
        <f>_book!$F$327</f>
        <v>15200</v>
      </c>
      <c r="E332" s="63">
        <f>_book!$N$327</f>
        <v>0.57599999999999996</v>
      </c>
      <c r="F332" s="64">
        <f>_book!$K$327</f>
        <v>1.0021834061135371</v>
      </c>
      <c r="G332" s="64">
        <f>_book!$L$327</f>
        <v>1.0109890109890109</v>
      </c>
      <c r="H332" s="64">
        <f>_book!$M$327</f>
        <v>1</v>
      </c>
      <c r="I332" s="63">
        <f>_book!$O$327</f>
        <v>0.58360113249196222</v>
      </c>
      <c r="J332" s="63">
        <f>_book!$P$327</f>
        <v>0.58232967032967031</v>
      </c>
      <c r="K332" s="65">
        <f>_book!$T$327</f>
        <v>-2.1786492374726851E-3</v>
      </c>
      <c r="L332" s="65">
        <f>_book!$U$327</f>
        <v>2.18340611353729E-3</v>
      </c>
      <c r="M332" s="65" t="str">
        <f>IF(_book!$V$327=0,"—",_book!$W$327)</f>
        <v>—</v>
      </c>
      <c r="N332" s="63">
        <f>_book!$Y$327</f>
        <v>0.58360113249196222</v>
      </c>
      <c r="O332" s="66" t="str">
        <f>IF(_book!$V$327=0,"—",_book!$AA$327)</f>
        <v>—</v>
      </c>
      <c r="P332" s="67">
        <f>_book!$AC$327</f>
        <v>1</v>
      </c>
      <c r="Q332" s="67">
        <f>_book!$AD$327</f>
        <v>0</v>
      </c>
    </row>
    <row r="333" spans="1:17" x14ac:dyDescent="0.3">
      <c r="A333" s="61" t="str">
        <f>_book!$A$328</f>
        <v>Inland Marine</v>
      </c>
      <c r="B333" s="61" t="str">
        <f>_book!$B$328</f>
        <v>ABD</v>
      </c>
      <c r="C333" s="61" t="str">
        <f>_book!$C$328</f>
        <v>MN</v>
      </c>
      <c r="D333" s="62">
        <f>_book!$F$328</f>
        <v>12000</v>
      </c>
      <c r="E333" s="63">
        <f>_book!$N$328</f>
        <v>0.56000000000000005</v>
      </c>
      <c r="F333" s="64">
        <f>_book!$K$328</f>
        <v>1</v>
      </c>
      <c r="G333" s="64">
        <f>_book!$L$328</f>
        <v>1.0043791086804299</v>
      </c>
      <c r="H333" s="64">
        <f>_book!$M$328</f>
        <v>1</v>
      </c>
      <c r="I333" s="63">
        <f>_book!$O$328</f>
        <v>0.56245230086104081</v>
      </c>
      <c r="J333" s="63">
        <f>_book!$P$328</f>
        <v>0.5572800279295177</v>
      </c>
      <c r="K333" s="65">
        <f>_book!$T$328</f>
        <v>0</v>
      </c>
      <c r="L333" s="65">
        <f>_book!$U$328</f>
        <v>0</v>
      </c>
      <c r="M333" s="65" t="str">
        <f>IF(_book!$V$328=0,"—",_book!$W$328)</f>
        <v>—</v>
      </c>
      <c r="N333" s="63">
        <f>_book!$Y$328</f>
        <v>0.56245230086104081</v>
      </c>
      <c r="O333" s="66" t="str">
        <f>IF(_book!$V$328=0,"—",_book!$AA$328)</f>
        <v>—</v>
      </c>
      <c r="P333" s="67">
        <f>_book!$AC$328</f>
        <v>0</v>
      </c>
      <c r="Q333" s="67">
        <f>_book!$AD$328</f>
        <v>0</v>
      </c>
    </row>
    <row r="334" spans="1:17" x14ac:dyDescent="0.3">
      <c r="A334" s="61" t="str">
        <f>_book!$A$329</f>
        <v>Inland Marine</v>
      </c>
      <c r="B334" s="61" t="str">
        <f>_book!$B$329</f>
        <v>ABD</v>
      </c>
      <c r="C334" s="61" t="str">
        <f>_book!$C$329</f>
        <v>NM</v>
      </c>
      <c r="D334" s="62">
        <f>_book!$F$329</f>
        <v>8800</v>
      </c>
      <c r="E334" s="63">
        <f>_book!$N$329</f>
        <v>0.58799999999999997</v>
      </c>
      <c r="F334" s="64">
        <f>_book!$K$329</f>
        <v>1</v>
      </c>
      <c r="G334" s="64">
        <f>_book!$L$329</f>
        <v>1.0132116877372539</v>
      </c>
      <c r="H334" s="64">
        <f>_book!$M$329</f>
        <v>1</v>
      </c>
      <c r="I334" s="63">
        <f>_book!$O$329</f>
        <v>0.59576847238950559</v>
      </c>
      <c r="J334" s="63">
        <f>_book!$P$329</f>
        <v>0.59763366753168101</v>
      </c>
      <c r="K334" s="65">
        <f>_book!$T$329</f>
        <v>0</v>
      </c>
      <c r="L334" s="65">
        <f>_book!$U$329</f>
        <v>0</v>
      </c>
      <c r="M334" s="65" t="str">
        <f>IF(_book!$V$329=0,"—",_book!$W$329)</f>
        <v>—</v>
      </c>
      <c r="N334" s="63">
        <f>_book!$Y$329</f>
        <v>0.59576847238950559</v>
      </c>
      <c r="O334" s="66" t="str">
        <f>IF(_book!$V$329=0,"—",_book!$AA$329)</f>
        <v>—</v>
      </c>
      <c r="P334" s="67">
        <f>_book!$AC$329</f>
        <v>1</v>
      </c>
      <c r="Q334" s="67">
        <f>_book!$AD$329</f>
        <v>0</v>
      </c>
    </row>
    <row r="335" spans="1:17" x14ac:dyDescent="0.3">
      <c r="A335" s="61" t="str">
        <f>_book!$A$330</f>
        <v>Inland Marine</v>
      </c>
      <c r="B335" s="61" t="str">
        <f>_book!$B$330</f>
        <v>ABD</v>
      </c>
      <c r="C335" s="61" t="str">
        <f>_book!$C$330</f>
        <v>NC</v>
      </c>
      <c r="D335" s="62">
        <f>_book!$F$330</f>
        <v>19200</v>
      </c>
      <c r="E335" s="63">
        <f>_book!$N$330</f>
        <v>0.57199999999999995</v>
      </c>
      <c r="F335" s="64">
        <f>_book!$K$330</f>
        <v>0.98039215686274517</v>
      </c>
      <c r="G335" s="64">
        <f>_book!$L$330</f>
        <v>1.006572784939554</v>
      </c>
      <c r="H335" s="64">
        <f>_book!$M$330</f>
        <v>1</v>
      </c>
      <c r="I335" s="63">
        <f>_book!$O$330</f>
        <v>0.56447022841708339</v>
      </c>
      <c r="J335" s="63">
        <f>_book!$P$330</f>
        <v>0.55020320219427954</v>
      </c>
      <c r="K335" s="65">
        <f>_book!$T$330</f>
        <v>2.0000000000000021E-2</v>
      </c>
      <c r="L335" s="65">
        <f>_book!$U$330</f>
        <v>1.960784313725528E-2</v>
      </c>
      <c r="M335" s="65" t="str">
        <f>IF(_book!$V$330=0,"—",_book!$W$330)</f>
        <v>—</v>
      </c>
      <c r="N335" s="63">
        <f>_book!$Y$330</f>
        <v>0.56447022841708339</v>
      </c>
      <c r="O335" s="66" t="str">
        <f>IF(_book!$V$330=0,"—",_book!$AA$330)</f>
        <v>—</v>
      </c>
      <c r="P335" s="67">
        <f>_book!$AC$330</f>
        <v>1</v>
      </c>
      <c r="Q335" s="67">
        <f>_book!$AD$330</f>
        <v>1</v>
      </c>
    </row>
    <row r="336" spans="1:17" x14ac:dyDescent="0.3">
      <c r="A336" s="61" t="str">
        <f>_book!$A$331</f>
        <v>Inland Marine</v>
      </c>
      <c r="B336" s="61" t="str">
        <f>_book!$B$331</f>
        <v>ABD</v>
      </c>
      <c r="C336" s="61" t="str">
        <f>_book!$C$331</f>
        <v>OH</v>
      </c>
      <c r="D336" s="62">
        <f>_book!$F$331</f>
        <v>16000</v>
      </c>
      <c r="E336" s="63">
        <f>_book!$N$331</f>
        <v>0.6</v>
      </c>
      <c r="F336" s="64">
        <f>_book!$K$331</f>
        <v>1</v>
      </c>
      <c r="G336" s="64">
        <f>_book!$L$331</f>
        <v>1.0154441592055621</v>
      </c>
      <c r="H336" s="64">
        <f>_book!$M$331</f>
        <v>1</v>
      </c>
      <c r="I336" s="63">
        <f>_book!$O$331</f>
        <v>0.60926649552333734</v>
      </c>
      <c r="J336" s="63">
        <f>_book!$P$331</f>
        <v>0.613101869448482</v>
      </c>
      <c r="K336" s="65">
        <f>_book!$T$331</f>
        <v>0</v>
      </c>
      <c r="L336" s="65">
        <f>_book!$U$331</f>
        <v>0</v>
      </c>
      <c r="M336" s="65" t="str">
        <f>IF(_book!$V$331=0,"—",_book!$W$331)</f>
        <v>—</v>
      </c>
      <c r="N336" s="63">
        <f>_book!$Y$331</f>
        <v>0.60926649552333734</v>
      </c>
      <c r="O336" s="66" t="str">
        <f>IF(_book!$V$331=0,"—",_book!$AA$331)</f>
        <v>—</v>
      </c>
      <c r="P336" s="67">
        <f>_book!$AC$331</f>
        <v>0</v>
      </c>
      <c r="Q336" s="67">
        <f>_book!$AD$331</f>
        <v>0</v>
      </c>
    </row>
    <row r="337" spans="1:17" x14ac:dyDescent="0.3">
      <c r="A337" s="61" t="str">
        <f>_book!$A$332</f>
        <v>Inland Marine</v>
      </c>
      <c r="B337" s="61" t="str">
        <f>_book!$B$332</f>
        <v>ABD</v>
      </c>
      <c r="C337" s="61" t="str">
        <f>_book!$C$332</f>
        <v>PA</v>
      </c>
      <c r="D337" s="62">
        <f>_book!$F$332</f>
        <v>12800</v>
      </c>
      <c r="E337" s="63">
        <f>_book!$N$332</f>
        <v>0.58399999999999996</v>
      </c>
      <c r="F337" s="64">
        <f>_book!$K$332</f>
        <v>0.99999999999999978</v>
      </c>
      <c r="G337" s="64">
        <f>_book!$L$332</f>
        <v>1.008776064642062</v>
      </c>
      <c r="H337" s="64">
        <f>_book!$M$332</f>
        <v>1</v>
      </c>
      <c r="I337" s="63">
        <f>_book!$O$332</f>
        <v>0.58912522175096382</v>
      </c>
      <c r="J337" s="63">
        <f>_book!$P$332</f>
        <v>0.58730030094775787</v>
      </c>
      <c r="K337" s="65">
        <f>_book!$T$332</f>
        <v>0</v>
      </c>
      <c r="L337" s="65">
        <f>_book!$U$332</f>
        <v>0</v>
      </c>
      <c r="M337" s="65" t="str">
        <f>IF(_book!$V$332=0,"—",_book!$W$332)</f>
        <v>—</v>
      </c>
      <c r="N337" s="63">
        <f>_book!$Y$332</f>
        <v>0.58912522175096382</v>
      </c>
      <c r="O337" s="66" t="str">
        <f>IF(_book!$V$332=0,"—",_book!$AA$332)</f>
        <v>—</v>
      </c>
      <c r="P337" s="67">
        <f>_book!$AC$332</f>
        <v>1</v>
      </c>
      <c r="Q337" s="67">
        <f>_book!$AD$332</f>
        <v>0</v>
      </c>
    </row>
    <row r="338" spans="1:17" x14ac:dyDescent="0.3">
      <c r="A338" s="61" t="str">
        <f>_book!$A$333</f>
        <v>Inland Marine</v>
      </c>
      <c r="B338" s="61" t="str">
        <f>_book!$B$333</f>
        <v>ABD</v>
      </c>
      <c r="C338" s="61" t="str">
        <f>_book!$C$333</f>
        <v>SC</v>
      </c>
      <c r="D338" s="62">
        <f>_book!$F$333</f>
        <v>9600</v>
      </c>
      <c r="E338" s="63">
        <f>_book!$N$333</f>
        <v>0.56799999999999995</v>
      </c>
      <c r="F338" s="64">
        <f>_book!$K$333</f>
        <v>1</v>
      </c>
      <c r="G338" s="64">
        <f>_book!$L$333</f>
        <v>1.002194973213381</v>
      </c>
      <c r="H338" s="64">
        <f>_book!$M$333</f>
        <v>1</v>
      </c>
      <c r="I338" s="63">
        <f>_book!$O$333</f>
        <v>0.56924674478520054</v>
      </c>
      <c r="J338" s="63">
        <f>_book!$P$333</f>
        <v>0.56230334916588076</v>
      </c>
      <c r="K338" s="65">
        <f>_book!$T$333</f>
        <v>0</v>
      </c>
      <c r="L338" s="65">
        <f>_book!$U$333</f>
        <v>0</v>
      </c>
      <c r="M338" s="65" t="str">
        <f>IF(_book!$V$333=0,"—",_book!$W$333)</f>
        <v>—</v>
      </c>
      <c r="N338" s="63">
        <f>_book!$Y$333</f>
        <v>0.56924674478520054</v>
      </c>
      <c r="O338" s="66" t="str">
        <f>IF(_book!$V$333=0,"—",_book!$AA$333)</f>
        <v>—</v>
      </c>
      <c r="P338" s="67">
        <f>_book!$AC$333</f>
        <v>1</v>
      </c>
      <c r="Q338" s="67">
        <f>_book!$AD$333</f>
        <v>0</v>
      </c>
    </row>
    <row r="339" spans="1:17" x14ac:dyDescent="0.3">
      <c r="A339" s="61" t="str">
        <f>_book!$A$334</f>
        <v>Inland Marine</v>
      </c>
      <c r="B339" s="61" t="str">
        <f>_book!$B$334</f>
        <v>ABD</v>
      </c>
      <c r="C339" s="61" t="str">
        <f>_book!$C$334</f>
        <v>TN</v>
      </c>
      <c r="D339" s="62">
        <f>_book!$F$334</f>
        <v>6400</v>
      </c>
      <c r="E339" s="63">
        <f>_book!$N$334</f>
        <v>0.59599999999999997</v>
      </c>
      <c r="F339" s="64">
        <f>_book!$K$334</f>
        <v>0.99310344827586206</v>
      </c>
      <c r="G339" s="64">
        <f>_book!$L$334</f>
        <v>1.0109890109890109</v>
      </c>
      <c r="H339" s="64">
        <f>_book!$M$334</f>
        <v>1</v>
      </c>
      <c r="I339" s="63">
        <f>_book!$O$334</f>
        <v>0.59839393709738542</v>
      </c>
      <c r="J339" s="63">
        <f>_book!$P$334</f>
        <v>0.57952926048036946</v>
      </c>
      <c r="K339" s="65">
        <f>_book!$T$334</f>
        <v>6.9444444444444198E-3</v>
      </c>
      <c r="L339" s="65">
        <f>_book!$U$334</f>
        <v>3.2551724137930733E-2</v>
      </c>
      <c r="M339" s="65" t="str">
        <f>IF(_book!$V$334=0,"—",_book!$W$334)</f>
        <v>—</v>
      </c>
      <c r="N339" s="63">
        <f>_book!$Y$334</f>
        <v>0.59839393709738542</v>
      </c>
      <c r="O339" s="66" t="str">
        <f>IF(_book!$V$334=0,"—",_book!$AA$334)</f>
        <v>—</v>
      </c>
      <c r="P339" s="67">
        <f>_book!$AC$334</f>
        <v>0</v>
      </c>
      <c r="Q339" s="67">
        <f>_book!$AD$334</f>
        <v>1</v>
      </c>
    </row>
    <row r="340" spans="1:17" x14ac:dyDescent="0.3">
      <c r="A340" s="61" t="str">
        <f>_book!$A$335</f>
        <v>Inland Marine</v>
      </c>
      <c r="B340" s="61" t="str">
        <f>_book!$B$335</f>
        <v>ABD</v>
      </c>
      <c r="C340" s="61" t="str">
        <f>_book!$C$335</f>
        <v>VA</v>
      </c>
      <c r="D340" s="62">
        <f>_book!$F$335</f>
        <v>16800</v>
      </c>
      <c r="E340" s="63">
        <f>_book!$N$335</f>
        <v>0.57999999999999996</v>
      </c>
      <c r="F340" s="64">
        <f>_book!$K$335</f>
        <v>1</v>
      </c>
      <c r="G340" s="64">
        <f>_book!$L$335</f>
        <v>1.0043791086804299</v>
      </c>
      <c r="H340" s="64">
        <f>_book!$M$335</f>
        <v>1</v>
      </c>
      <c r="I340" s="63">
        <f>_book!$O$335</f>
        <v>0.58253988303464932</v>
      </c>
      <c r="J340" s="63">
        <f>_book!$P$335</f>
        <v>0.57718288606985757</v>
      </c>
      <c r="K340" s="65">
        <f>_book!$T$335</f>
        <v>0</v>
      </c>
      <c r="L340" s="65">
        <f>_book!$U$335</f>
        <v>0</v>
      </c>
      <c r="M340" s="65" t="str">
        <f>IF(_book!$V$335=0,"—",_book!$W$335)</f>
        <v>—</v>
      </c>
      <c r="N340" s="63">
        <f>_book!$Y$335</f>
        <v>0.58253988303464932</v>
      </c>
      <c r="O340" s="66" t="str">
        <f>IF(_book!$V$335=0,"—",_book!$AA$335)</f>
        <v>—</v>
      </c>
      <c r="P340" s="67">
        <f>_book!$AC$335</f>
        <v>1</v>
      </c>
      <c r="Q340" s="67">
        <f>_book!$AD$335</f>
        <v>0</v>
      </c>
    </row>
    <row r="341" spans="1:17" x14ac:dyDescent="0.3">
      <c r="A341" s="61" t="str">
        <f>_book!$A$336</f>
        <v>Inland Marine</v>
      </c>
      <c r="B341" s="61" t="str">
        <f>_book!$B$336</f>
        <v>ABD</v>
      </c>
      <c r="C341" s="61" t="str">
        <f>_book!$C$336</f>
        <v>WV</v>
      </c>
      <c r="D341" s="62">
        <f>_book!$F$336</f>
        <v>13600</v>
      </c>
      <c r="E341" s="63">
        <f>_book!$N$336</f>
        <v>0.56399999999999995</v>
      </c>
      <c r="F341" s="64">
        <f>_book!$K$336</f>
        <v>1.000393236335037</v>
      </c>
      <c r="G341" s="64">
        <f>_book!$L$336</f>
        <v>1.0132116877372539</v>
      </c>
      <c r="H341" s="64">
        <f>_book!$M$336</f>
        <v>1</v>
      </c>
      <c r="I341" s="63">
        <f>_book!$O$336</f>
        <v>0.57167610733480778</v>
      </c>
      <c r="J341" s="63">
        <f>_book!$P$336</f>
        <v>0.57324045661202039</v>
      </c>
      <c r="K341" s="65">
        <f>_book!$T$336</f>
        <v>-3.9308176100616432E-4</v>
      </c>
      <c r="L341" s="65">
        <f>_book!$U$336</f>
        <v>3.9323633503740568E-4</v>
      </c>
      <c r="M341" s="65" t="str">
        <f>IF(_book!$V$336=0,"—",_book!$W$336)</f>
        <v>—</v>
      </c>
      <c r="N341" s="63">
        <f>_book!$Y$336</f>
        <v>0.57167610733480778</v>
      </c>
      <c r="O341" s="66" t="str">
        <f>IF(_book!$V$336=0,"—",_book!$AA$336)</f>
        <v>—</v>
      </c>
      <c r="P341" s="67">
        <f>_book!$AC$336</f>
        <v>1</v>
      </c>
      <c r="Q341" s="67">
        <f>_book!$AD$336</f>
        <v>0</v>
      </c>
    </row>
    <row r="342" spans="1:17" x14ac:dyDescent="0.3">
      <c r="A342" s="61" t="str">
        <f>_book!$A$337</f>
        <v>Inland Marine</v>
      </c>
      <c r="B342" s="61" t="str">
        <f>_book!$B$337</f>
        <v>ABD</v>
      </c>
      <c r="C342" s="61" t="str">
        <f>_book!$C$337</f>
        <v>WI</v>
      </c>
      <c r="D342" s="62">
        <f>_book!$F$337</f>
        <v>10400</v>
      </c>
      <c r="E342" s="63">
        <f>_book!$N$337</f>
        <v>0.59199999999999997</v>
      </c>
      <c r="F342" s="64">
        <f>_book!$K$337</f>
        <v>1</v>
      </c>
      <c r="G342" s="64">
        <f>_book!$L$337</f>
        <v>1.006572784939554</v>
      </c>
      <c r="H342" s="64">
        <f>_book!$M$337</f>
        <v>1</v>
      </c>
      <c r="I342" s="63">
        <f>_book!$O$337</f>
        <v>0.59589108868421614</v>
      </c>
      <c r="J342" s="63">
        <f>_book!$P$337</f>
        <v>0.59221871945275195</v>
      </c>
      <c r="K342" s="65">
        <f>_book!$T$337</f>
        <v>0</v>
      </c>
      <c r="L342" s="65">
        <f>_book!$U$337</f>
        <v>0</v>
      </c>
      <c r="M342" s="65" t="str">
        <f>IF(_book!$V$337=0,"—",_book!$W$337)</f>
        <v>—</v>
      </c>
      <c r="N342" s="63">
        <f>_book!$Y$337</f>
        <v>0.59589108868421614</v>
      </c>
      <c r="O342" s="66" t="str">
        <f>IF(_book!$V$337=0,"—",_book!$AA$337)</f>
        <v>—</v>
      </c>
      <c r="P342" s="67">
        <f>_book!$AC$337</f>
        <v>0</v>
      </c>
      <c r="Q342" s="67">
        <f>_book!$AD$337</f>
        <v>0</v>
      </c>
    </row>
    <row r="343" spans="1:17" x14ac:dyDescent="0.3">
      <c r="A343" s="61" t="str">
        <f>_book!$A$338</f>
        <v>Inland Marine</v>
      </c>
      <c r="B343" s="61" t="str">
        <f>_book!$B$338</f>
        <v>MM</v>
      </c>
      <c r="C343" s="61" t="str">
        <f>_book!$C$338</f>
        <v>AZ</v>
      </c>
      <c r="D343" s="62">
        <f>_book!$F$338</f>
        <v>7200</v>
      </c>
      <c r="E343" s="63">
        <f>_book!$N$338</f>
        <v>0.57599999999999996</v>
      </c>
      <c r="F343" s="64">
        <f>_book!$K$338</f>
        <v>0.97575609255472817</v>
      </c>
      <c r="G343" s="64">
        <f>_book!$L$338</f>
        <v>1.0154441592055621</v>
      </c>
      <c r="H343" s="64">
        <f>_book!$M$338</f>
        <v>1</v>
      </c>
      <c r="I343" s="63">
        <f>_book!$O$338</f>
        <v>0.57071567519650979</v>
      </c>
      <c r="J343" s="63">
        <f>_book!$P$338</f>
        <v>0.56594018718321404</v>
      </c>
      <c r="K343" s="65">
        <f>_book!$T$338</f>
        <v>2.4846278317152359E-2</v>
      </c>
      <c r="L343" s="65">
        <f>_book!$U$338</f>
        <v>1.4786336256917609E-2</v>
      </c>
      <c r="M343" s="65" t="str">
        <f>IF(_book!$V$338=0,"—",_book!$W$338)</f>
        <v>—</v>
      </c>
      <c r="N343" s="63">
        <f>_book!$Y$338</f>
        <v>0.57071567519650979</v>
      </c>
      <c r="O343" s="66" t="str">
        <f>IF(_book!$V$338=0,"—",_book!$AA$338)</f>
        <v>—</v>
      </c>
      <c r="P343" s="67">
        <f>_book!$AC$338</f>
        <v>1</v>
      </c>
      <c r="Q343" s="67">
        <f>_book!$AD$338</f>
        <v>1</v>
      </c>
    </row>
    <row r="344" spans="1:17" x14ac:dyDescent="0.3">
      <c r="A344" s="61" t="str">
        <f>_book!$A$339</f>
        <v>Inland Marine</v>
      </c>
      <c r="B344" s="61" t="str">
        <f>_book!$B$339</f>
        <v>MM</v>
      </c>
      <c r="C344" s="61" t="str">
        <f>_book!$C$339</f>
        <v>CO</v>
      </c>
      <c r="D344" s="62">
        <f>_book!$F$339</f>
        <v>17600</v>
      </c>
      <c r="E344" s="63">
        <f>_book!$N$339</f>
        <v>0.60480000000000012</v>
      </c>
      <c r="F344" s="64">
        <f>_book!$K$339</f>
        <v>1.004291845493563</v>
      </c>
      <c r="G344" s="64">
        <f>_book!$L$339</f>
        <v>1.008776064642062</v>
      </c>
      <c r="H344" s="64">
        <f>_book!$M$339</f>
        <v>1</v>
      </c>
      <c r="I344" s="63">
        <f>_book!$O$339</f>
        <v>0.61272625215258147</v>
      </c>
      <c r="J344" s="63">
        <f>_book!$P$339</f>
        <v>0.61430002437215103</v>
      </c>
      <c r="K344" s="65">
        <f>_book!$T$339</f>
        <v>-4.2735042735044804E-3</v>
      </c>
      <c r="L344" s="65">
        <f>_book!$U$339</f>
        <v>4.2918454935623176E-3</v>
      </c>
      <c r="M344" s="65" t="str">
        <f>IF(_book!$V$339=0,"—",_book!$W$339)</f>
        <v>—</v>
      </c>
      <c r="N344" s="63">
        <f>_book!$Y$339</f>
        <v>0.61272625215258147</v>
      </c>
      <c r="O344" s="66" t="str">
        <f>IF(_book!$V$339=0,"—",_book!$AA$339)</f>
        <v>—</v>
      </c>
      <c r="P344" s="67">
        <f>_book!$AC$339</f>
        <v>1</v>
      </c>
      <c r="Q344" s="67">
        <f>_book!$AD$339</f>
        <v>0</v>
      </c>
    </row>
    <row r="345" spans="1:17" x14ac:dyDescent="0.3">
      <c r="A345" s="61" t="str">
        <f>_book!$A$340</f>
        <v>Inland Marine</v>
      </c>
      <c r="B345" s="61" t="str">
        <f>_book!$B$340</f>
        <v>MM</v>
      </c>
      <c r="C345" s="61" t="str">
        <f>_book!$C$340</f>
        <v>DE</v>
      </c>
      <c r="D345" s="62">
        <f>_book!$F$340</f>
        <v>14400</v>
      </c>
      <c r="E345" s="63">
        <f>_book!$N$340</f>
        <v>0.58799999999999997</v>
      </c>
      <c r="F345" s="64">
        <f>_book!$K$340</f>
        <v>0.98875687744199026</v>
      </c>
      <c r="G345" s="64">
        <f>_book!$L$340</f>
        <v>0.98909806288509927</v>
      </c>
      <c r="H345" s="64">
        <f>_book!$M$340</f>
        <v>1.02</v>
      </c>
      <c r="I345" s="63">
        <f>_book!$O$340</f>
        <v>0.58655179268240099</v>
      </c>
      <c r="J345" s="63">
        <f>_book!$P$340</f>
        <v>0.56510500613678705</v>
      </c>
      <c r="K345" s="65">
        <f>_book!$T$340</f>
        <v>1.137096774193558E-2</v>
      </c>
      <c r="L345" s="65">
        <f>_book!$U$340</f>
        <v>1.8419583765250099E-2</v>
      </c>
      <c r="M345" s="65" t="str">
        <f>IF(_book!$V$340=0,"—",_book!$W$340)</f>
        <v>—</v>
      </c>
      <c r="N345" s="63">
        <f>_book!$Y$340</f>
        <v>0.58655179268240099</v>
      </c>
      <c r="O345" s="66" t="str">
        <f>IF(_book!$V$340=0,"—",_book!$AA$340)</f>
        <v>—</v>
      </c>
      <c r="P345" s="67">
        <f>_book!$AC$340</f>
        <v>1</v>
      </c>
      <c r="Q345" s="67">
        <f>_book!$AD$340</f>
        <v>1</v>
      </c>
    </row>
    <row r="346" spans="1:17" x14ac:dyDescent="0.3">
      <c r="A346" s="61" t="str">
        <f>_book!$A$341</f>
        <v>Inland Marine</v>
      </c>
      <c r="B346" s="61" t="str">
        <f>_book!$B$341</f>
        <v>MM</v>
      </c>
      <c r="C346" s="61" t="str">
        <f>_book!$C$341</f>
        <v>FL</v>
      </c>
      <c r="D346" s="62">
        <f>_book!$F$341</f>
        <v>11200</v>
      </c>
      <c r="E346" s="63">
        <f>_book!$N$341</f>
        <v>0.57199999999999995</v>
      </c>
      <c r="F346" s="64">
        <f>_book!$K$341</f>
        <v>0.97716333104122188</v>
      </c>
      <c r="G346" s="64">
        <f>_book!$L$341</f>
        <v>1.0109890109890109</v>
      </c>
      <c r="H346" s="64">
        <f>_book!$M$341</f>
        <v>1</v>
      </c>
      <c r="I346" s="63">
        <f>_book!$O$341</f>
        <v>0.56507959486498094</v>
      </c>
      <c r="J346" s="63">
        <f>_book!$P$341</f>
        <v>0.55179934569247557</v>
      </c>
      <c r="K346" s="65">
        <f>_book!$T$341</f>
        <v>2.337037037037026E-2</v>
      </c>
      <c r="L346" s="65">
        <f>_book!$U$341</f>
        <v>2.4067170931200591E-2</v>
      </c>
      <c r="M346" s="65" t="str">
        <f>IF(_book!$V$341=0,"—",_book!$W$341)</f>
        <v>—</v>
      </c>
      <c r="N346" s="63">
        <f>_book!$Y$341</f>
        <v>0.56507959486498094</v>
      </c>
      <c r="O346" s="66" t="str">
        <f>IF(_book!$V$341=0,"—",_book!$AA$341)</f>
        <v>—</v>
      </c>
      <c r="P346" s="67">
        <f>_book!$AC$341</f>
        <v>1</v>
      </c>
      <c r="Q346" s="67">
        <f>_book!$AD$341</f>
        <v>1</v>
      </c>
    </row>
    <row r="347" spans="1:17" x14ac:dyDescent="0.3">
      <c r="A347" s="61" t="str">
        <f>_book!$A$342</f>
        <v>Inland Marine</v>
      </c>
      <c r="B347" s="61" t="str">
        <f>_book!$B$342</f>
        <v>MM</v>
      </c>
      <c r="C347" s="61" t="str">
        <f>_book!$C$342</f>
        <v>GA</v>
      </c>
      <c r="D347" s="62">
        <f>_book!$F$342</f>
        <v>8000</v>
      </c>
      <c r="E347" s="63">
        <f>_book!$N$342</f>
        <v>0.6</v>
      </c>
      <c r="F347" s="64">
        <f>_book!$K$342</f>
        <v>0.98684210526315785</v>
      </c>
      <c r="G347" s="64">
        <f>_book!$L$342</f>
        <v>1.0043791086804299</v>
      </c>
      <c r="H347" s="64">
        <f>_book!$M$342</f>
        <v>1</v>
      </c>
      <c r="I347" s="63">
        <f>_book!$O$342</f>
        <v>0.5946981564555176</v>
      </c>
      <c r="J347" s="63">
        <f>_book!$P$342</f>
        <v>0.5741209078944205</v>
      </c>
      <c r="K347" s="65">
        <f>_book!$T$342</f>
        <v>1.3333333333333419E-2</v>
      </c>
      <c r="L347" s="65">
        <f>_book!$U$342</f>
        <v>2.6315789473684289E-2</v>
      </c>
      <c r="M347" s="65" t="str">
        <f>IF(_book!$V$342=0,"—",_book!$W$342)</f>
        <v>—</v>
      </c>
      <c r="N347" s="63">
        <f>_book!$Y$342</f>
        <v>0.5946981564555176</v>
      </c>
      <c r="O347" s="66" t="str">
        <f>IF(_book!$V$342=0,"—",_book!$AA$342)</f>
        <v>—</v>
      </c>
      <c r="P347" s="67">
        <f>_book!$AC$342</f>
        <v>1</v>
      </c>
      <c r="Q347" s="67">
        <f>_book!$AD$342</f>
        <v>1</v>
      </c>
    </row>
    <row r="348" spans="1:17" x14ac:dyDescent="0.3">
      <c r="A348" s="61" t="str">
        <f>_book!$A$343</f>
        <v>Inland Marine</v>
      </c>
      <c r="B348" s="61" t="str">
        <f>_book!$B$343</f>
        <v>MM</v>
      </c>
      <c r="C348" s="61" t="str">
        <f>_book!$C$343</f>
        <v>IA</v>
      </c>
      <c r="D348" s="62">
        <f>_book!$F$343</f>
        <v>18400</v>
      </c>
      <c r="E348" s="63">
        <f>_book!$N$343</f>
        <v>0.58399999999999996</v>
      </c>
      <c r="F348" s="64">
        <f>_book!$K$343</f>
        <v>1</v>
      </c>
      <c r="G348" s="64">
        <f>_book!$L$343</f>
        <v>1.0132116877372539</v>
      </c>
      <c r="H348" s="64">
        <f>_book!$M$343</f>
        <v>1</v>
      </c>
      <c r="I348" s="63">
        <f>_book!$O$343</f>
        <v>0.59171562563855651</v>
      </c>
      <c r="J348" s="63">
        <f>_book!$P$343</f>
        <v>0.59356813237840422</v>
      </c>
      <c r="K348" s="65">
        <f>_book!$T$343</f>
        <v>0</v>
      </c>
      <c r="L348" s="65">
        <f>_book!$U$343</f>
        <v>0</v>
      </c>
      <c r="M348" s="65" t="str">
        <f>IF(_book!$V$343=0,"—",_book!$W$343)</f>
        <v>—</v>
      </c>
      <c r="N348" s="63">
        <f>_book!$Y$343</f>
        <v>0.59171562563855651</v>
      </c>
      <c r="O348" s="66" t="str">
        <f>IF(_book!$V$343=0,"—",_book!$AA$343)</f>
        <v>—</v>
      </c>
      <c r="P348" s="67">
        <f>_book!$AC$343</f>
        <v>0</v>
      </c>
      <c r="Q348" s="67">
        <f>_book!$AD$343</f>
        <v>0</v>
      </c>
    </row>
    <row r="349" spans="1:17" x14ac:dyDescent="0.3">
      <c r="A349" s="61" t="str">
        <f>_book!$A$344</f>
        <v>Inland Marine</v>
      </c>
      <c r="B349" s="61" t="str">
        <f>_book!$B$344</f>
        <v>MM</v>
      </c>
      <c r="C349" s="61" t="str">
        <f>_book!$C$344</f>
        <v>IL</v>
      </c>
      <c r="D349" s="62">
        <f>_book!$F$344</f>
        <v>15200</v>
      </c>
      <c r="E349" s="63">
        <f>_book!$N$344</f>
        <v>0.56799999999999995</v>
      </c>
      <c r="F349" s="64">
        <f>_book!$K$344</f>
        <v>1</v>
      </c>
      <c r="G349" s="64">
        <f>_book!$L$344</f>
        <v>1.006572784939554</v>
      </c>
      <c r="H349" s="64">
        <f>_book!$M$344</f>
        <v>1</v>
      </c>
      <c r="I349" s="63">
        <f>_book!$O$344</f>
        <v>0.57173334184566693</v>
      </c>
      <c r="J349" s="63">
        <f>_book!$P$344</f>
        <v>0.56820985244791078</v>
      </c>
      <c r="K349" s="65">
        <f>_book!$T$344</f>
        <v>0</v>
      </c>
      <c r="L349" s="65">
        <f>_book!$U$344</f>
        <v>0</v>
      </c>
      <c r="M349" s="65" t="str">
        <f>IF(_book!$V$344=0,"—",_book!$W$344)</f>
        <v>—</v>
      </c>
      <c r="N349" s="63">
        <f>_book!$Y$344</f>
        <v>0.57173334184566693</v>
      </c>
      <c r="O349" s="66" t="str">
        <f>IF(_book!$V$344=0,"—",_book!$AA$344)</f>
        <v>—</v>
      </c>
      <c r="P349" s="67">
        <f>_book!$AC$344</f>
        <v>1</v>
      </c>
      <c r="Q349" s="67">
        <f>_book!$AD$344</f>
        <v>0</v>
      </c>
    </row>
    <row r="350" spans="1:17" x14ac:dyDescent="0.3">
      <c r="A350" s="61" t="str">
        <f>_book!$A$345</f>
        <v>Inland Marine</v>
      </c>
      <c r="B350" s="61" t="str">
        <f>_book!$B$345</f>
        <v>MM</v>
      </c>
      <c r="C350" s="61" t="str">
        <f>_book!$C$345</f>
        <v>IN</v>
      </c>
      <c r="D350" s="62">
        <f>_book!$F$345</f>
        <v>12000</v>
      </c>
      <c r="E350" s="63">
        <f>_book!$N$345</f>
        <v>0.59599999999999997</v>
      </c>
      <c r="F350" s="64">
        <f>_book!$K$345</f>
        <v>1</v>
      </c>
      <c r="G350" s="64">
        <f>_book!$L$345</f>
        <v>1.0154441592055621</v>
      </c>
      <c r="H350" s="64">
        <f>_book!$M$345</f>
        <v>1</v>
      </c>
      <c r="I350" s="63">
        <f>_book!$O$345</f>
        <v>0.60520471888651506</v>
      </c>
      <c r="J350" s="63">
        <f>_book!$P$345</f>
        <v>0.6090145236521588</v>
      </c>
      <c r="K350" s="65">
        <f>_book!$T$345</f>
        <v>0</v>
      </c>
      <c r="L350" s="65">
        <f>_book!$U$345</f>
        <v>0</v>
      </c>
      <c r="M350" s="65" t="str">
        <f>IF(_book!$V$345=0,"—",_book!$W$345)</f>
        <v>—</v>
      </c>
      <c r="N350" s="63">
        <f>_book!$Y$345</f>
        <v>0.60520471888651506</v>
      </c>
      <c r="O350" s="66" t="str">
        <f>IF(_book!$V$345=0,"—",_book!$AA$345)</f>
        <v>—</v>
      </c>
      <c r="P350" s="67">
        <f>_book!$AC$345</f>
        <v>1</v>
      </c>
      <c r="Q350" s="67">
        <f>_book!$AD$345</f>
        <v>0</v>
      </c>
    </row>
    <row r="351" spans="1:17" x14ac:dyDescent="0.3">
      <c r="A351" s="61" t="str">
        <f>_book!$A$346</f>
        <v>Inland Marine</v>
      </c>
      <c r="B351" s="61" t="str">
        <f>_book!$B$346</f>
        <v>MM</v>
      </c>
      <c r="C351" s="61" t="str">
        <f>_book!$C$346</f>
        <v>KY</v>
      </c>
      <c r="D351" s="62">
        <f>_book!$F$346</f>
        <v>8800</v>
      </c>
      <c r="E351" s="63">
        <f>_book!$N$346</f>
        <v>0.57999999999999996</v>
      </c>
      <c r="F351" s="64">
        <f>_book!$K$346</f>
        <v>0.99750623441396513</v>
      </c>
      <c r="G351" s="64">
        <f>_book!$L$346</f>
        <v>1.008776064642062</v>
      </c>
      <c r="H351" s="64">
        <f>_book!$M$346</f>
        <v>1</v>
      </c>
      <c r="I351" s="63">
        <f>_book!$O$346</f>
        <v>0.58363103989266396</v>
      </c>
      <c r="J351" s="63">
        <f>_book!$P$346</f>
        <v>0.56219536977999618</v>
      </c>
      <c r="K351" s="65">
        <f>_book!$T$346</f>
        <v>2.4999999999999471E-3</v>
      </c>
      <c r="L351" s="65">
        <f>_book!$U$346</f>
        <v>3.4912718204488602E-2</v>
      </c>
      <c r="M351" s="65" t="str">
        <f>IF(_book!$V$346=0,"—",_book!$W$346)</f>
        <v>—</v>
      </c>
      <c r="N351" s="63">
        <f>_book!$Y$346</f>
        <v>0.58363103989266396</v>
      </c>
      <c r="O351" s="66" t="str">
        <f>IF(_book!$V$346=0,"—",_book!$AA$346)</f>
        <v>—</v>
      </c>
      <c r="P351" s="67">
        <f>_book!$AC$346</f>
        <v>0</v>
      </c>
      <c r="Q351" s="67">
        <f>_book!$AD$346</f>
        <v>1</v>
      </c>
    </row>
    <row r="352" spans="1:17" x14ac:dyDescent="0.3">
      <c r="A352" s="61" t="str">
        <f>_book!$A$347</f>
        <v>Inland Marine</v>
      </c>
      <c r="B352" s="61" t="str">
        <f>_book!$B$347</f>
        <v>MM</v>
      </c>
      <c r="C352" s="61" t="str">
        <f>_book!$C$347</f>
        <v>MD</v>
      </c>
      <c r="D352" s="62">
        <f>_book!$F$347</f>
        <v>19200</v>
      </c>
      <c r="E352" s="63">
        <f>_book!$N$347</f>
        <v>0.56399999999999995</v>
      </c>
      <c r="F352" s="64">
        <f>_book!$K$347</f>
        <v>0.99999999999999978</v>
      </c>
      <c r="G352" s="64">
        <f>_book!$L$347</f>
        <v>1.002194973213381</v>
      </c>
      <c r="H352" s="64">
        <f>_book!$M$347</f>
        <v>1</v>
      </c>
      <c r="I352" s="63">
        <f>_book!$O$347</f>
        <v>0.5652379648923469</v>
      </c>
      <c r="J352" s="63">
        <f>_book!$P$347</f>
        <v>0.55834346642527588</v>
      </c>
      <c r="K352" s="65">
        <f>_book!$T$347</f>
        <v>0</v>
      </c>
      <c r="L352" s="65">
        <f>_book!$U$347</f>
        <v>0</v>
      </c>
      <c r="M352" s="65" t="str">
        <f>IF(_book!$V$347=0,"—",_book!$W$347)</f>
        <v>—</v>
      </c>
      <c r="N352" s="63">
        <f>_book!$Y$347</f>
        <v>0.5652379648923469</v>
      </c>
      <c r="O352" s="66" t="str">
        <f>IF(_book!$V$347=0,"—",_book!$AA$347)</f>
        <v>—</v>
      </c>
      <c r="P352" s="67">
        <f>_book!$AC$347</f>
        <v>1</v>
      </c>
      <c r="Q352" s="67">
        <f>_book!$AD$347</f>
        <v>0</v>
      </c>
    </row>
    <row r="353" spans="1:17" x14ac:dyDescent="0.3">
      <c r="A353" s="61" t="str">
        <f>_book!$A$348</f>
        <v>Inland Marine</v>
      </c>
      <c r="B353" s="61" t="str">
        <f>_book!$B$348</f>
        <v>MM</v>
      </c>
      <c r="C353" s="61" t="str">
        <f>_book!$C$348</f>
        <v>MI</v>
      </c>
      <c r="D353" s="62">
        <f>_book!$F$348</f>
        <v>16000</v>
      </c>
      <c r="E353" s="63">
        <f>_book!$N$348</f>
        <v>0.59199999999999997</v>
      </c>
      <c r="F353" s="64">
        <f>_book!$K$348</f>
        <v>1.000202306291726</v>
      </c>
      <c r="G353" s="64">
        <f>_book!$L$348</f>
        <v>1.0109890109890109</v>
      </c>
      <c r="H353" s="64">
        <f>_book!$M$348</f>
        <v>1</v>
      </c>
      <c r="I353" s="63">
        <f>_book!$O$348</f>
        <v>0.59862657593266544</v>
      </c>
      <c r="J353" s="63">
        <f>_book!$P$348</f>
        <v>0.59850549450549462</v>
      </c>
      <c r="K353" s="65">
        <f>_book!$T$348</f>
        <v>-2.022653721680534E-4</v>
      </c>
      <c r="L353" s="65">
        <f>_book!$U$348</f>
        <v>2.023062917255736E-4</v>
      </c>
      <c r="M353" s="65" t="str">
        <f>IF(_book!$V$348=0,"—",_book!$W$348)</f>
        <v>—</v>
      </c>
      <c r="N353" s="63">
        <f>_book!$Y$348</f>
        <v>0.59862657593266544</v>
      </c>
      <c r="O353" s="66" t="str">
        <f>IF(_book!$V$348=0,"—",_book!$AA$348)</f>
        <v>—</v>
      </c>
      <c r="P353" s="67">
        <f>_book!$AC$348</f>
        <v>1</v>
      </c>
      <c r="Q353" s="67">
        <f>_book!$AD$348</f>
        <v>0</v>
      </c>
    </row>
    <row r="354" spans="1:17" x14ac:dyDescent="0.3">
      <c r="A354" s="61" t="str">
        <f>_book!$A$349</f>
        <v>Inland Marine</v>
      </c>
      <c r="B354" s="61" t="str">
        <f>_book!$B$349</f>
        <v>MM</v>
      </c>
      <c r="C354" s="61" t="str">
        <f>_book!$C$349</f>
        <v>MN</v>
      </c>
      <c r="D354" s="62">
        <f>_book!$F$349</f>
        <v>12800</v>
      </c>
      <c r="E354" s="63">
        <f>_book!$N$349</f>
        <v>0.57599999999999996</v>
      </c>
      <c r="F354" s="64">
        <f>_book!$K$349</f>
        <v>1</v>
      </c>
      <c r="G354" s="64">
        <f>_book!$L$349</f>
        <v>1.0043791086804299</v>
      </c>
      <c r="H354" s="64">
        <f>_book!$M$349</f>
        <v>1</v>
      </c>
      <c r="I354" s="63">
        <f>_book!$O$349</f>
        <v>0.57852236659992762</v>
      </c>
      <c r="J354" s="63">
        <f>_book!$P$349</f>
        <v>0.5732023144417896</v>
      </c>
      <c r="K354" s="65">
        <f>_book!$T$349</f>
        <v>0</v>
      </c>
      <c r="L354" s="65">
        <f>_book!$U$349</f>
        <v>0</v>
      </c>
      <c r="M354" s="65" t="str">
        <f>IF(_book!$V$349=0,"—",_book!$W$349)</f>
        <v>—</v>
      </c>
      <c r="N354" s="63">
        <f>_book!$Y$349</f>
        <v>0.57852236659992762</v>
      </c>
      <c r="O354" s="66" t="str">
        <f>IF(_book!$V$349=0,"—",_book!$AA$349)</f>
        <v>—</v>
      </c>
      <c r="P354" s="67">
        <f>_book!$AC$349</f>
        <v>0</v>
      </c>
      <c r="Q354" s="67">
        <f>_book!$AD$349</f>
        <v>0</v>
      </c>
    </row>
    <row r="355" spans="1:17" x14ac:dyDescent="0.3">
      <c r="A355" s="61" t="str">
        <f>_book!$A$350</f>
        <v>Inland Marine</v>
      </c>
      <c r="B355" s="61" t="str">
        <f>_book!$B$350</f>
        <v>MM</v>
      </c>
      <c r="C355" s="61" t="str">
        <f>_book!$C$350</f>
        <v>NM</v>
      </c>
      <c r="D355" s="62">
        <f>_book!$F$350</f>
        <v>9600</v>
      </c>
      <c r="E355" s="63">
        <f>_book!$N$350</f>
        <v>0.56000000000000005</v>
      </c>
      <c r="F355" s="64">
        <f>_book!$K$350</f>
        <v>0.98326114947910559</v>
      </c>
      <c r="G355" s="64">
        <f>_book!$L$350</f>
        <v>1.0132116877372539</v>
      </c>
      <c r="H355" s="64">
        <f>_book!$M$350</f>
        <v>1</v>
      </c>
      <c r="I355" s="63">
        <f>_book!$O$350</f>
        <v>0.55790094570011051</v>
      </c>
      <c r="J355" s="63">
        <f>_book!$P$350</f>
        <v>0.54728357832571517</v>
      </c>
      <c r="K355" s="65">
        <f>_book!$T$350</f>
        <v>1.7023809523809549E-2</v>
      </c>
      <c r="L355" s="65">
        <f>_book!$U$350</f>
        <v>2.2591595458270049E-2</v>
      </c>
      <c r="M355" s="65" t="str">
        <f>IF(_book!$V$350=0,"—",_book!$W$350)</f>
        <v>—</v>
      </c>
      <c r="N355" s="63">
        <f>_book!$Y$350</f>
        <v>0.55790094570011051</v>
      </c>
      <c r="O355" s="66" t="str">
        <f>IF(_book!$V$350=0,"—",_book!$AA$350)</f>
        <v>—</v>
      </c>
      <c r="P355" s="67">
        <f>_book!$AC$350</f>
        <v>1</v>
      </c>
      <c r="Q355" s="67">
        <f>_book!$AD$350</f>
        <v>1</v>
      </c>
    </row>
    <row r="356" spans="1:17" x14ac:dyDescent="0.3">
      <c r="A356" s="61" t="str">
        <f>_book!$A$351</f>
        <v>Inland Marine</v>
      </c>
      <c r="B356" s="61" t="str">
        <f>_book!$B$351</f>
        <v>MM</v>
      </c>
      <c r="C356" s="61" t="str">
        <f>_book!$C$351</f>
        <v>NC</v>
      </c>
      <c r="D356" s="62">
        <f>_book!$F$351</f>
        <v>6400</v>
      </c>
      <c r="E356" s="63">
        <f>_book!$N$351</f>
        <v>0.58799999999999997</v>
      </c>
      <c r="F356" s="64">
        <f>_book!$K$351</f>
        <v>1.0063291139240511</v>
      </c>
      <c r="G356" s="64">
        <f>_book!$L$351</f>
        <v>1.006572784939554</v>
      </c>
      <c r="H356" s="64">
        <f>_book!$M$351</f>
        <v>1</v>
      </c>
      <c r="I356" s="63">
        <f>_book!$O$351</f>
        <v>0.59561077727575185</v>
      </c>
      <c r="J356" s="63">
        <f>_book!$P$351</f>
        <v>0.58821724161861155</v>
      </c>
      <c r="K356" s="65">
        <f>_book!$T$351</f>
        <v>-6.2893081761005174E-3</v>
      </c>
      <c r="L356" s="65">
        <f>_book!$U$351</f>
        <v>6.3291139240508887E-3</v>
      </c>
      <c r="M356" s="65" t="str">
        <f>IF(_book!$V$351=0,"—",_book!$W$351)</f>
        <v>—</v>
      </c>
      <c r="N356" s="63">
        <f>_book!$Y$351</f>
        <v>0.59561077727575185</v>
      </c>
      <c r="O356" s="66" t="str">
        <f>IF(_book!$V$351=0,"—",_book!$AA$351)</f>
        <v>—</v>
      </c>
      <c r="P356" s="67">
        <f>_book!$AC$351</f>
        <v>1</v>
      </c>
      <c r="Q356" s="67">
        <f>_book!$AD$351</f>
        <v>0</v>
      </c>
    </row>
    <row r="357" spans="1:17" x14ac:dyDescent="0.3">
      <c r="A357" s="61" t="str">
        <f>_book!$A$352</f>
        <v>Inland Marine</v>
      </c>
      <c r="B357" s="61" t="str">
        <f>_book!$B$352</f>
        <v>MM</v>
      </c>
      <c r="C357" s="61" t="str">
        <f>_book!$C$352</f>
        <v>OH</v>
      </c>
      <c r="D357" s="62">
        <f>_book!$F$352</f>
        <v>16800</v>
      </c>
      <c r="E357" s="63">
        <f>_book!$N$352</f>
        <v>0.57199999999999995</v>
      </c>
      <c r="F357" s="64">
        <f>_book!$K$352</f>
        <v>1</v>
      </c>
      <c r="G357" s="64">
        <f>_book!$L$352</f>
        <v>1.0154441592055621</v>
      </c>
      <c r="H357" s="64">
        <f>_book!$M$352</f>
        <v>1</v>
      </c>
      <c r="I357" s="63">
        <f>_book!$O$352</f>
        <v>0.58083405906558161</v>
      </c>
      <c r="J357" s="63">
        <f>_book!$P$352</f>
        <v>0.58449044887421953</v>
      </c>
      <c r="K357" s="65">
        <f>_book!$T$352</f>
        <v>0</v>
      </c>
      <c r="L357" s="65">
        <f>_book!$U$352</f>
        <v>0</v>
      </c>
      <c r="M357" s="65" t="str">
        <f>IF(_book!$V$352=0,"—",_book!$W$352)</f>
        <v>—</v>
      </c>
      <c r="N357" s="63">
        <f>_book!$Y$352</f>
        <v>0.58083405906558161</v>
      </c>
      <c r="O357" s="66" t="str">
        <f>IF(_book!$V$352=0,"—",_book!$AA$352)</f>
        <v>—</v>
      </c>
      <c r="P357" s="67">
        <f>_book!$AC$352</f>
        <v>0</v>
      </c>
      <c r="Q357" s="67">
        <f>_book!$AD$352</f>
        <v>0</v>
      </c>
    </row>
    <row r="358" spans="1:17" x14ac:dyDescent="0.3">
      <c r="A358" s="61" t="str">
        <f>_book!$A$353</f>
        <v>Inland Marine</v>
      </c>
      <c r="B358" s="61" t="str">
        <f>_book!$B$353</f>
        <v>MM</v>
      </c>
      <c r="C358" s="61" t="str">
        <f>_book!$C$353</f>
        <v>PA</v>
      </c>
      <c r="D358" s="62">
        <f>_book!$F$353</f>
        <v>13600</v>
      </c>
      <c r="E358" s="63">
        <f>_book!$N$353</f>
        <v>0.6</v>
      </c>
      <c r="F358" s="64">
        <f>_book!$K$353</f>
        <v>1</v>
      </c>
      <c r="G358" s="64">
        <f>_book!$L$353</f>
        <v>1.008776064642062</v>
      </c>
      <c r="H358" s="64">
        <f>_book!$M$353</f>
        <v>1</v>
      </c>
      <c r="I358" s="63">
        <f>_book!$O$353</f>
        <v>0.60526563878523698</v>
      </c>
      <c r="J358" s="63">
        <f>_book!$P$353</f>
        <v>0.60339072015180617</v>
      </c>
      <c r="K358" s="65">
        <f>_book!$T$353</f>
        <v>0</v>
      </c>
      <c r="L358" s="65">
        <f>_book!$U$353</f>
        <v>0</v>
      </c>
      <c r="M358" s="65" t="str">
        <f>IF(_book!$V$353=0,"—",_book!$W$353)</f>
        <v>—</v>
      </c>
      <c r="N358" s="63">
        <f>_book!$Y$353</f>
        <v>0.60526563878523698</v>
      </c>
      <c r="O358" s="66" t="str">
        <f>IF(_book!$V$353=0,"—",_book!$AA$353)</f>
        <v>—</v>
      </c>
      <c r="P358" s="67">
        <f>_book!$AC$353</f>
        <v>1</v>
      </c>
      <c r="Q358" s="67">
        <f>_book!$AD$353</f>
        <v>0</v>
      </c>
    </row>
    <row r="359" spans="1:17" x14ac:dyDescent="0.3">
      <c r="A359" s="61" t="str">
        <f>_book!$A$354</f>
        <v>Inland Marine</v>
      </c>
      <c r="B359" s="61" t="str">
        <f>_book!$B$354</f>
        <v>MM</v>
      </c>
      <c r="C359" s="61" t="str">
        <f>_book!$C$354</f>
        <v>SC</v>
      </c>
      <c r="D359" s="62">
        <f>_book!$F$354</f>
        <v>10400</v>
      </c>
      <c r="E359" s="63">
        <f>_book!$N$354</f>
        <v>0.58399999999999996</v>
      </c>
      <c r="F359" s="64">
        <f>_book!$K$354</f>
        <v>0.99310344827586206</v>
      </c>
      <c r="G359" s="64">
        <f>_book!$L$354</f>
        <v>1.002194973213381</v>
      </c>
      <c r="H359" s="64">
        <f>_book!$M$354</f>
        <v>1</v>
      </c>
      <c r="I359" s="63">
        <f>_book!$O$354</f>
        <v>0.58124543770587933</v>
      </c>
      <c r="J359" s="63">
        <f>_book!$P$354</f>
        <v>0.55605513450758215</v>
      </c>
      <c r="K359" s="65">
        <f>_book!$T$354</f>
        <v>6.9444444444444198E-3</v>
      </c>
      <c r="L359" s="65">
        <f>_book!$U$354</f>
        <v>3.2551724137930949E-2</v>
      </c>
      <c r="M359" s="65" t="str">
        <f>IF(_book!$V$354=0,"—",_book!$W$354)</f>
        <v>—</v>
      </c>
      <c r="N359" s="63">
        <f>_book!$Y$354</f>
        <v>0.58124543770587933</v>
      </c>
      <c r="O359" s="66" t="str">
        <f>IF(_book!$V$354=0,"—",_book!$AA$354)</f>
        <v>—</v>
      </c>
      <c r="P359" s="67">
        <f>_book!$AC$354</f>
        <v>1</v>
      </c>
      <c r="Q359" s="67">
        <f>_book!$AD$354</f>
        <v>1</v>
      </c>
    </row>
    <row r="360" spans="1:17" x14ac:dyDescent="0.3">
      <c r="A360" s="61" t="str">
        <f>_book!$A$355</f>
        <v>Inland Marine</v>
      </c>
      <c r="B360" s="61" t="str">
        <f>_book!$B$355</f>
        <v>MM</v>
      </c>
      <c r="C360" s="61" t="str">
        <f>_book!$C$355</f>
        <v>TN</v>
      </c>
      <c r="D360" s="62">
        <f>_book!$F$355</f>
        <v>7200</v>
      </c>
      <c r="E360" s="63">
        <f>_book!$N$355</f>
        <v>0.56799999999999995</v>
      </c>
      <c r="F360" s="64">
        <f>_book!$K$355</f>
        <v>1</v>
      </c>
      <c r="G360" s="64">
        <f>_book!$L$355</f>
        <v>1.0109890109890109</v>
      </c>
      <c r="H360" s="64">
        <f>_book!$M$355</f>
        <v>1</v>
      </c>
      <c r="I360" s="63">
        <f>_book!$O$355</f>
        <v>0.57424175824175827</v>
      </c>
      <c r="J360" s="63">
        <f>_book!$P$355</f>
        <v>0.57424175824175827</v>
      </c>
      <c r="K360" s="65">
        <f>_book!$T$355</f>
        <v>0</v>
      </c>
      <c r="L360" s="65">
        <f>_book!$U$355</f>
        <v>0</v>
      </c>
      <c r="M360" s="65" t="str">
        <f>IF(_book!$V$355=0,"—",_book!$W$355)</f>
        <v>—</v>
      </c>
      <c r="N360" s="63">
        <f>_book!$Y$355</f>
        <v>0.57424175824175827</v>
      </c>
      <c r="O360" s="66" t="str">
        <f>IF(_book!$V$355=0,"—",_book!$AA$355)</f>
        <v>—</v>
      </c>
      <c r="P360" s="67">
        <f>_book!$AC$355</f>
        <v>0</v>
      </c>
      <c r="Q360" s="67">
        <f>_book!$AD$355</f>
        <v>0</v>
      </c>
    </row>
    <row r="361" spans="1:17" x14ac:dyDescent="0.3">
      <c r="A361" s="61" t="str">
        <f>_book!$A$356</f>
        <v>Inland Marine</v>
      </c>
      <c r="B361" s="61" t="str">
        <f>_book!$B$356</f>
        <v>MM</v>
      </c>
      <c r="C361" s="61" t="str">
        <f>_book!$C$356</f>
        <v>VA</v>
      </c>
      <c r="D361" s="62">
        <f>_book!$F$356</f>
        <v>17600</v>
      </c>
      <c r="E361" s="63">
        <f>_book!$N$356</f>
        <v>0.59599999999999997</v>
      </c>
      <c r="F361" s="64">
        <f>_book!$K$356</f>
        <v>0.99999999999999978</v>
      </c>
      <c r="G361" s="64">
        <f>_book!$L$356</f>
        <v>1.0043791086804299</v>
      </c>
      <c r="H361" s="64">
        <f>_book!$M$356</f>
        <v>1</v>
      </c>
      <c r="I361" s="63">
        <f>_book!$O$356</f>
        <v>0.59860994877353613</v>
      </c>
      <c r="J361" s="63">
        <f>_book!$P$356</f>
        <v>0.59310517258212936</v>
      </c>
      <c r="K361" s="65">
        <f>_book!$T$356</f>
        <v>0</v>
      </c>
      <c r="L361" s="65">
        <f>_book!$U$356</f>
        <v>0</v>
      </c>
      <c r="M361" s="65" t="str">
        <f>IF(_book!$V$356=0,"—",_book!$W$356)</f>
        <v>—</v>
      </c>
      <c r="N361" s="63">
        <f>_book!$Y$356</f>
        <v>0.59860994877353613</v>
      </c>
      <c r="O361" s="66" t="str">
        <f>IF(_book!$V$356=0,"—",_book!$AA$356)</f>
        <v>—</v>
      </c>
      <c r="P361" s="67">
        <f>_book!$AC$356</f>
        <v>1</v>
      </c>
      <c r="Q361" s="67">
        <f>_book!$AD$356</f>
        <v>0</v>
      </c>
    </row>
    <row r="362" spans="1:17" x14ac:dyDescent="0.3">
      <c r="A362" s="61" t="str">
        <f>_book!$A$357</f>
        <v>Inland Marine</v>
      </c>
      <c r="B362" s="61" t="str">
        <f>_book!$B$357</f>
        <v>MM</v>
      </c>
      <c r="C362" s="61" t="str">
        <f>_book!$C$357</f>
        <v>WV</v>
      </c>
      <c r="D362" s="62">
        <f>_book!$F$357</f>
        <v>14400</v>
      </c>
      <c r="E362" s="63">
        <f>_book!$N$357</f>
        <v>0.57999999999999996</v>
      </c>
      <c r="F362" s="64">
        <f>_book!$K$357</f>
        <v>0.99999999999999978</v>
      </c>
      <c r="G362" s="64">
        <f>_book!$L$357</f>
        <v>1.0132116877372539</v>
      </c>
      <c r="H362" s="64">
        <f>_book!$M$357</f>
        <v>1</v>
      </c>
      <c r="I362" s="63">
        <f>_book!$O$357</f>
        <v>0.58766277888760732</v>
      </c>
      <c r="J362" s="63">
        <f>_book!$P$357</f>
        <v>0.58950259722512732</v>
      </c>
      <c r="K362" s="65">
        <f>_book!$T$357</f>
        <v>0</v>
      </c>
      <c r="L362" s="65">
        <f>_book!$U$357</f>
        <v>0</v>
      </c>
      <c r="M362" s="65" t="str">
        <f>IF(_book!$V$357=0,"—",_book!$W$357)</f>
        <v>—</v>
      </c>
      <c r="N362" s="63">
        <f>_book!$Y$357</f>
        <v>0.58766277888760732</v>
      </c>
      <c r="O362" s="66" t="str">
        <f>IF(_book!$V$357=0,"—",_book!$AA$357)</f>
        <v>—</v>
      </c>
      <c r="P362" s="67">
        <f>_book!$AC$357</f>
        <v>1</v>
      </c>
      <c r="Q362" s="67">
        <f>_book!$AD$357</f>
        <v>0</v>
      </c>
    </row>
    <row r="363" spans="1:17" x14ac:dyDescent="0.3">
      <c r="A363" s="61" t="str">
        <f>_book!$A$358</f>
        <v>Inland Marine</v>
      </c>
      <c r="B363" s="61" t="str">
        <f>_book!$B$358</f>
        <v>MM</v>
      </c>
      <c r="C363" s="61" t="str">
        <f>_book!$C$358</f>
        <v>WI</v>
      </c>
      <c r="D363" s="62">
        <f>_book!$F$358</f>
        <v>11200</v>
      </c>
      <c r="E363" s="63">
        <f>_book!$N$358</f>
        <v>0.56399999999999995</v>
      </c>
      <c r="F363" s="64">
        <f>_book!$K$358</f>
        <v>0.97402597402597413</v>
      </c>
      <c r="G363" s="64">
        <f>_book!$L$358</f>
        <v>1.006572784939554</v>
      </c>
      <c r="H363" s="64">
        <f>_book!$M$358</f>
        <v>1</v>
      </c>
      <c r="I363" s="63">
        <f>_book!$O$358</f>
        <v>0.55296141302523572</v>
      </c>
      <c r="J363" s="63">
        <f>_book!$P$358</f>
        <v>0.54250805251324086</v>
      </c>
      <c r="K363" s="65">
        <f>_book!$T$358</f>
        <v>2.666666666666662E-2</v>
      </c>
      <c r="L363" s="65">
        <f>_book!$U$358</f>
        <v>1.298701298701288E-2</v>
      </c>
      <c r="M363" s="65" t="str">
        <f>IF(_book!$V$358=0,"—",_book!$W$358)</f>
        <v>—</v>
      </c>
      <c r="N363" s="63">
        <f>_book!$Y$358</f>
        <v>0.55296141302523572</v>
      </c>
      <c r="O363" s="66" t="str">
        <f>IF(_book!$V$358=0,"—",_book!$AA$358)</f>
        <v>—</v>
      </c>
      <c r="P363" s="67">
        <f>_book!$AC$358</f>
        <v>0</v>
      </c>
      <c r="Q363" s="67">
        <f>_book!$AD$358</f>
        <v>1</v>
      </c>
    </row>
    <row r="364" spans="1:17" x14ac:dyDescent="0.3">
      <c r="A364" s="61" t="str">
        <f>_book!$A$359</f>
        <v>Inland Marine</v>
      </c>
      <c r="B364" s="61" t="str">
        <f>_book!$B$359</f>
        <v>SBA</v>
      </c>
      <c r="C364" s="61" t="str">
        <f>_book!$C$359</f>
        <v>AZ</v>
      </c>
      <c r="D364" s="62">
        <f>_book!$F$359</f>
        <v>8000</v>
      </c>
      <c r="E364" s="63">
        <f>_book!$N$359</f>
        <v>0.59199999999999997</v>
      </c>
      <c r="F364" s="64">
        <f>_book!$K$359</f>
        <v>1</v>
      </c>
      <c r="G364" s="64">
        <f>_book!$L$359</f>
        <v>1.0154441592055621</v>
      </c>
      <c r="H364" s="64">
        <f>_book!$M$359</f>
        <v>1</v>
      </c>
      <c r="I364" s="63">
        <f>_book!$O$359</f>
        <v>0.601142942249693</v>
      </c>
      <c r="J364" s="63">
        <f>_book!$P$359</f>
        <v>0.60492717785583572</v>
      </c>
      <c r="K364" s="65">
        <f>_book!$T$359</f>
        <v>0</v>
      </c>
      <c r="L364" s="65">
        <f>_book!$U$359</f>
        <v>0</v>
      </c>
      <c r="M364" s="65" t="str">
        <f>IF(_book!$V$359=0,"—",_book!$W$359)</f>
        <v>—</v>
      </c>
      <c r="N364" s="63">
        <f>_book!$Y$359</f>
        <v>0.601142942249693</v>
      </c>
      <c r="O364" s="66" t="str">
        <f>IF(_book!$V$359=0,"—",_book!$AA$359)</f>
        <v>—</v>
      </c>
      <c r="P364" s="67">
        <f>_book!$AC$359</f>
        <v>1</v>
      </c>
      <c r="Q364" s="67">
        <f>_book!$AD$359</f>
        <v>0</v>
      </c>
    </row>
    <row r="365" spans="1:17" x14ac:dyDescent="0.3">
      <c r="A365" s="61" t="str">
        <f>_book!$A$360</f>
        <v>Inland Marine</v>
      </c>
      <c r="B365" s="61" t="str">
        <f>_book!$B$360</f>
        <v>SBA</v>
      </c>
      <c r="C365" s="61" t="str">
        <f>_book!$C$360</f>
        <v>CO</v>
      </c>
      <c r="D365" s="62">
        <f>_book!$F$360</f>
        <v>18400</v>
      </c>
      <c r="E365" s="63">
        <f>_book!$N$360</f>
        <v>0.57599999999999996</v>
      </c>
      <c r="F365" s="64">
        <f>_book!$K$360</f>
        <v>1.0003307972213029</v>
      </c>
      <c r="G365" s="64">
        <f>_book!$L$360</f>
        <v>1.008776064642062</v>
      </c>
      <c r="H365" s="64">
        <f>_book!$M$360</f>
        <v>1</v>
      </c>
      <c r="I365" s="63">
        <f>_book!$O$360</f>
        <v>0.58124722461762945</v>
      </c>
      <c r="J365" s="63">
        <f>_book!$P$360</f>
        <v>0.57925509134573383</v>
      </c>
      <c r="K365" s="65">
        <f>_book!$T$360</f>
        <v>-3.3068783068768148E-4</v>
      </c>
      <c r="L365" s="65">
        <f>_book!$U$360</f>
        <v>3.3079722130313632E-4</v>
      </c>
      <c r="M365" s="65" t="str">
        <f>IF(_book!$V$360=0,"—",_book!$W$360)</f>
        <v>—</v>
      </c>
      <c r="N365" s="63">
        <f>_book!$Y$360</f>
        <v>0.58124722461762945</v>
      </c>
      <c r="O365" s="66" t="str">
        <f>IF(_book!$V$360=0,"—",_book!$AA$360)</f>
        <v>—</v>
      </c>
      <c r="P365" s="67">
        <f>_book!$AC$360</f>
        <v>1</v>
      </c>
      <c r="Q365" s="67">
        <f>_book!$AD$360</f>
        <v>0</v>
      </c>
    </row>
    <row r="366" spans="1:17" x14ac:dyDescent="0.3">
      <c r="A366" s="61" t="str">
        <f>_book!$A$361</f>
        <v>Inland Marine</v>
      </c>
      <c r="B366" s="61" t="str">
        <f>_book!$B$361</f>
        <v>SBA</v>
      </c>
      <c r="C366" s="61" t="str">
        <f>_book!$C$361</f>
        <v>DE</v>
      </c>
      <c r="D366" s="62">
        <f>_book!$F$361</f>
        <v>15200</v>
      </c>
      <c r="E366" s="63">
        <f>_book!$N$361</f>
        <v>0.56000000000000005</v>
      </c>
      <c r="F366" s="64">
        <f>_book!$K$361</f>
        <v>1</v>
      </c>
      <c r="G366" s="64">
        <f>_book!$L$361</f>
        <v>1.002194973213381</v>
      </c>
      <c r="H366" s="64">
        <f>_book!$M$361</f>
        <v>1</v>
      </c>
      <c r="I366" s="63">
        <f>_book!$O$361</f>
        <v>0.56122918499949359</v>
      </c>
      <c r="J366" s="63">
        <f>_book!$P$361</f>
        <v>0.55438358368467133</v>
      </c>
      <c r="K366" s="65">
        <f>_book!$T$361</f>
        <v>0</v>
      </c>
      <c r="L366" s="65">
        <f>_book!$U$361</f>
        <v>0</v>
      </c>
      <c r="M366" s="65" t="str">
        <f>IF(_book!$V$361=0,"—",_book!$W$361)</f>
        <v>—</v>
      </c>
      <c r="N366" s="63">
        <f>_book!$Y$361</f>
        <v>0.56122918499949359</v>
      </c>
      <c r="O366" s="66" t="str">
        <f>IF(_book!$V$361=0,"—",_book!$AA$361)</f>
        <v>—</v>
      </c>
      <c r="P366" s="67">
        <f>_book!$AC$361</f>
        <v>0</v>
      </c>
      <c r="Q366" s="67">
        <f>_book!$AD$361</f>
        <v>0</v>
      </c>
    </row>
    <row r="367" spans="1:17" x14ac:dyDescent="0.3">
      <c r="A367" s="61" t="str">
        <f>_book!$A$362</f>
        <v>Inland Marine</v>
      </c>
      <c r="B367" s="61" t="str">
        <f>_book!$B$362</f>
        <v>SBA</v>
      </c>
      <c r="C367" s="61" t="str">
        <f>_book!$C$362</f>
        <v>FL</v>
      </c>
      <c r="D367" s="62">
        <f>_book!$F$362</f>
        <v>12000</v>
      </c>
      <c r="E367" s="63">
        <f>_book!$N$362</f>
        <v>0.58799999999999997</v>
      </c>
      <c r="F367" s="64">
        <f>_book!$K$362</f>
        <v>0.98803700295442454</v>
      </c>
      <c r="G367" s="64">
        <f>_book!$L$362</f>
        <v>1.0109890109890109</v>
      </c>
      <c r="H367" s="64">
        <f>_book!$M$362</f>
        <v>1</v>
      </c>
      <c r="I367" s="63">
        <f>_book!$O$362</f>
        <v>0.58734999683321487</v>
      </c>
      <c r="J367" s="63">
        <f>_book!$P$362</f>
        <v>0.57159763313609468</v>
      </c>
      <c r="K367" s="65">
        <f>_book!$T$362</f>
        <v>1.210784313725477E-2</v>
      </c>
      <c r="L367" s="65">
        <f>_book!$U$362</f>
        <v>2.7558483072601669E-2</v>
      </c>
      <c r="M367" s="65" t="str">
        <f>IF(_book!$V$362=0,"—",_book!$W$362)</f>
        <v>—</v>
      </c>
      <c r="N367" s="63">
        <f>_book!$Y$362</f>
        <v>0.58734999683321487</v>
      </c>
      <c r="O367" s="66" t="str">
        <f>IF(_book!$V$362=0,"—",_book!$AA$362)</f>
        <v>—</v>
      </c>
      <c r="P367" s="67">
        <f>_book!$AC$362</f>
        <v>1</v>
      </c>
      <c r="Q367" s="67">
        <f>_book!$AD$362</f>
        <v>1</v>
      </c>
    </row>
    <row r="368" spans="1:17" x14ac:dyDescent="0.3">
      <c r="A368" s="61" t="str">
        <f>_book!$A$363</f>
        <v>Inland Marine</v>
      </c>
      <c r="B368" s="61" t="str">
        <f>_book!$B$363</f>
        <v>SBA</v>
      </c>
      <c r="C368" s="61" t="str">
        <f>_book!$C$363</f>
        <v>GA</v>
      </c>
      <c r="D368" s="62">
        <f>_book!$F$363</f>
        <v>8800</v>
      </c>
      <c r="E368" s="63">
        <f>_book!$N$363</f>
        <v>0.57199999999999995</v>
      </c>
      <c r="F368" s="64">
        <f>_book!$K$363</f>
        <v>1</v>
      </c>
      <c r="G368" s="64">
        <f>_book!$L$363</f>
        <v>1.0043791086804299</v>
      </c>
      <c r="H368" s="64">
        <f>_book!$M$363</f>
        <v>1</v>
      </c>
      <c r="I368" s="63">
        <f>_book!$O$363</f>
        <v>0.5745048501652058</v>
      </c>
      <c r="J368" s="63">
        <f>_book!$P$363</f>
        <v>0.56922174281372151</v>
      </c>
      <c r="K368" s="65">
        <f>_book!$T$363</f>
        <v>0</v>
      </c>
      <c r="L368" s="65">
        <f>_book!$U$363</f>
        <v>0</v>
      </c>
      <c r="M368" s="65" t="str">
        <f>IF(_book!$V$363=0,"—",_book!$W$363)</f>
        <v>—</v>
      </c>
      <c r="N368" s="63">
        <f>_book!$Y$363</f>
        <v>0.5745048501652058</v>
      </c>
      <c r="O368" s="66" t="str">
        <f>IF(_book!$V$363=0,"—",_book!$AA$363)</f>
        <v>—</v>
      </c>
      <c r="P368" s="67">
        <f>_book!$AC$363</f>
        <v>0</v>
      </c>
      <c r="Q368" s="67">
        <f>_book!$AD$363</f>
        <v>0</v>
      </c>
    </row>
    <row r="369" spans="1:17" x14ac:dyDescent="0.3">
      <c r="A369" s="61" t="str">
        <f>_book!$A$364</f>
        <v>Inland Marine</v>
      </c>
      <c r="B369" s="61" t="str">
        <f>_book!$B$364</f>
        <v>SBA</v>
      </c>
      <c r="C369" s="61" t="str">
        <f>_book!$C$364</f>
        <v>IA</v>
      </c>
      <c r="D369" s="62">
        <f>_book!$F$364</f>
        <v>19200</v>
      </c>
      <c r="E369" s="63">
        <f>_book!$N$364</f>
        <v>0.6</v>
      </c>
      <c r="F369" s="64">
        <f>_book!$K$364</f>
        <v>1</v>
      </c>
      <c r="G369" s="64">
        <f>_book!$L$364</f>
        <v>1.0132116877372539</v>
      </c>
      <c r="H369" s="64">
        <f>_book!$M$364</f>
        <v>1</v>
      </c>
      <c r="I369" s="63">
        <f>_book!$O$364</f>
        <v>0.6079270126423526</v>
      </c>
      <c r="J369" s="63">
        <f>_book!$P$364</f>
        <v>0.60983027299151116</v>
      </c>
      <c r="K369" s="65">
        <f>_book!$T$364</f>
        <v>0</v>
      </c>
      <c r="L369" s="65">
        <f>_book!$U$364</f>
        <v>0</v>
      </c>
      <c r="M369" s="65" t="str">
        <f>IF(_book!$V$364=0,"—",_book!$W$364)</f>
        <v>—</v>
      </c>
      <c r="N369" s="63">
        <f>_book!$Y$364</f>
        <v>0.6079270126423526</v>
      </c>
      <c r="O369" s="66" t="str">
        <f>IF(_book!$V$364=0,"—",_book!$AA$364)</f>
        <v>—</v>
      </c>
      <c r="P369" s="67">
        <f>_book!$AC$364</f>
        <v>0</v>
      </c>
      <c r="Q369" s="67">
        <f>_book!$AD$364</f>
        <v>0</v>
      </c>
    </row>
    <row r="370" spans="1:17" x14ac:dyDescent="0.3">
      <c r="A370" s="61" t="str">
        <f>_book!$A$365</f>
        <v>Inland Marine</v>
      </c>
      <c r="B370" s="61" t="str">
        <f>_book!$B$365</f>
        <v>SBA</v>
      </c>
      <c r="C370" s="61" t="str">
        <f>_book!$C$365</f>
        <v>IL</v>
      </c>
      <c r="D370" s="62">
        <f>_book!$F$365</f>
        <v>16000</v>
      </c>
      <c r="E370" s="63">
        <f>_book!$N$365</f>
        <v>0.58399999999999996</v>
      </c>
      <c r="F370" s="64">
        <f>_book!$K$365</f>
        <v>0.93896713615023497</v>
      </c>
      <c r="G370" s="64">
        <f>_book!$L$365</f>
        <v>0.99718789505319971</v>
      </c>
      <c r="H370" s="64">
        <f>_book!$M$365</f>
        <v>1</v>
      </c>
      <c r="I370" s="63">
        <f>_book!$O$365</f>
        <v>0.54681477062072181</v>
      </c>
      <c r="J370" s="63">
        <f>_book!$P$365</f>
        <v>0.54054244392028095</v>
      </c>
      <c r="K370" s="65">
        <f>_book!$T$365</f>
        <v>6.4999999999999725E-2</v>
      </c>
      <c r="L370" s="65">
        <f>_book!$U$365</f>
        <v>0</v>
      </c>
      <c r="M370" s="65" t="str">
        <f>IF(_book!$V$365=0,"—",_book!$W$365)</f>
        <v>—</v>
      </c>
      <c r="N370" s="63">
        <f>_book!$Y$365</f>
        <v>0.54681477062072181</v>
      </c>
      <c r="O370" s="66" t="str">
        <f>IF(_book!$V$365=0,"—",_book!$AA$365)</f>
        <v>—</v>
      </c>
      <c r="P370" s="67">
        <f>_book!$AC$365</f>
        <v>0</v>
      </c>
      <c r="Q370" s="67">
        <f>_book!$AD$365</f>
        <v>1</v>
      </c>
    </row>
    <row r="371" spans="1:17" x14ac:dyDescent="0.3">
      <c r="A371" s="61" t="str">
        <f>_book!$A$366</f>
        <v>Inland Marine</v>
      </c>
      <c r="B371" s="61" t="str">
        <f>_book!$B$366</f>
        <v>SBA</v>
      </c>
      <c r="C371" s="61" t="str">
        <f>_book!$C$366</f>
        <v>IN</v>
      </c>
      <c r="D371" s="62">
        <f>_book!$F$366</f>
        <v>12800</v>
      </c>
      <c r="E371" s="63">
        <f>_book!$N$366</f>
        <v>0.56799999999999995</v>
      </c>
      <c r="F371" s="64">
        <f>_book!$K$366</f>
        <v>0.9975062344139648</v>
      </c>
      <c r="G371" s="64">
        <f>_book!$L$366</f>
        <v>1.0154441592055621</v>
      </c>
      <c r="H371" s="64">
        <f>_book!$M$366</f>
        <v>1</v>
      </c>
      <c r="I371" s="63">
        <f>_book!$O$366</f>
        <v>0.57533394755985956</v>
      </c>
      <c r="J371" s="63">
        <f>_book!$P$366</f>
        <v>0.55942467766544224</v>
      </c>
      <c r="K371" s="65">
        <f>_book!$T$366</f>
        <v>2.5000000000001692E-3</v>
      </c>
      <c r="L371" s="65">
        <f>_book!$U$366</f>
        <v>3.491271820448838E-2</v>
      </c>
      <c r="M371" s="65" t="str">
        <f>IF(_book!$V$366=0,"—",_book!$W$366)</f>
        <v>—</v>
      </c>
      <c r="N371" s="63">
        <f>_book!$Y$366</f>
        <v>0.57533394755985956</v>
      </c>
      <c r="O371" s="66" t="str">
        <f>IF(_book!$V$366=0,"—",_book!$AA$366)</f>
        <v>—</v>
      </c>
      <c r="P371" s="67">
        <f>_book!$AC$366</f>
        <v>1</v>
      </c>
      <c r="Q371" s="67">
        <f>_book!$AD$366</f>
        <v>1</v>
      </c>
    </row>
    <row r="372" spans="1:17" x14ac:dyDescent="0.3">
      <c r="A372" s="61" t="str">
        <f>_book!$A$367</f>
        <v>Inland Marine</v>
      </c>
      <c r="B372" s="61" t="str">
        <f>_book!$B$367</f>
        <v>SBA</v>
      </c>
      <c r="C372" s="61" t="str">
        <f>_book!$C$367</f>
        <v>KY</v>
      </c>
      <c r="D372" s="62">
        <f>_book!$F$367</f>
        <v>9600</v>
      </c>
      <c r="E372" s="63">
        <f>_book!$N$367</f>
        <v>0.59599999999999997</v>
      </c>
      <c r="F372" s="64">
        <f>_book!$K$367</f>
        <v>0.91956349938248583</v>
      </c>
      <c r="G372" s="64">
        <f>_book!$L$367</f>
        <v>1</v>
      </c>
      <c r="H372" s="64">
        <f>_book!$M$367</f>
        <v>1</v>
      </c>
      <c r="I372" s="63">
        <f>_book!$O$367</f>
        <v>0.54805984563196153</v>
      </c>
      <c r="J372" s="63">
        <f>_book!$P$367</f>
        <v>0.49823622330178319</v>
      </c>
      <c r="K372" s="65">
        <f>_book!$T$367</f>
        <v>8.7472480879819292E-2</v>
      </c>
      <c r="L372" s="65">
        <f>_book!$U$367</f>
        <v>9.9999999999999867E-2</v>
      </c>
      <c r="M372" s="65">
        <f>IF(_book!$V$367=0,"—",_book!$W$367)</f>
        <v>0.1</v>
      </c>
      <c r="N372" s="63">
        <f>_book!$Y$367</f>
        <v>0.53885774996788582</v>
      </c>
      <c r="O372" s="66">
        <f>IF(_book!$V$367=0,"—",_book!$AA$367)</f>
        <v>-0.92020956640757046</v>
      </c>
      <c r="P372" s="67">
        <f>_book!$AC$367</f>
        <v>1</v>
      </c>
      <c r="Q372" s="67">
        <f>_book!$AD$367</f>
        <v>1</v>
      </c>
    </row>
    <row r="373" spans="1:17" x14ac:dyDescent="0.3">
      <c r="A373" s="61" t="str">
        <f>_book!$A$368</f>
        <v>Inland Marine</v>
      </c>
      <c r="B373" s="61" t="str">
        <f>_book!$B$368</f>
        <v>SBA</v>
      </c>
      <c r="C373" s="61" t="str">
        <f>_book!$C$368</f>
        <v>MD</v>
      </c>
      <c r="D373" s="62">
        <f>_book!$F$368</f>
        <v>6400</v>
      </c>
      <c r="E373" s="63">
        <f>_book!$N$368</f>
        <v>0.57999999999999996</v>
      </c>
      <c r="F373" s="64">
        <f>_book!$K$368</f>
        <v>1</v>
      </c>
      <c r="G373" s="64">
        <f>_book!$L$368</f>
        <v>1.002194973213381</v>
      </c>
      <c r="H373" s="64">
        <f>_book!$M$368</f>
        <v>1</v>
      </c>
      <c r="I373" s="63">
        <f>_book!$O$368</f>
        <v>0.58127308446376114</v>
      </c>
      <c r="J373" s="63">
        <f>_book!$P$368</f>
        <v>0.57418299738769518</v>
      </c>
      <c r="K373" s="65">
        <f>_book!$T$368</f>
        <v>0</v>
      </c>
      <c r="L373" s="65">
        <f>_book!$U$368</f>
        <v>0</v>
      </c>
      <c r="M373" s="65" t="str">
        <f>IF(_book!$V$368=0,"—",_book!$W$368)</f>
        <v>—</v>
      </c>
      <c r="N373" s="63">
        <f>_book!$Y$368</f>
        <v>0.58127308446376114</v>
      </c>
      <c r="O373" s="66" t="str">
        <f>IF(_book!$V$368=0,"—",_book!$AA$368)</f>
        <v>—</v>
      </c>
      <c r="P373" s="67">
        <f>_book!$AC$368</f>
        <v>1</v>
      </c>
      <c r="Q373" s="67">
        <f>_book!$AD$368</f>
        <v>0</v>
      </c>
    </row>
    <row r="374" spans="1:17" x14ac:dyDescent="0.3">
      <c r="A374" s="61" t="str">
        <f>_book!$A$369</f>
        <v>Inland Marine</v>
      </c>
      <c r="B374" s="61" t="str">
        <f>_book!$B$369</f>
        <v>SBA</v>
      </c>
      <c r="C374" s="61" t="str">
        <f>_book!$C$369</f>
        <v>MI</v>
      </c>
      <c r="D374" s="62">
        <f>_book!$F$369</f>
        <v>16800</v>
      </c>
      <c r="E374" s="63">
        <f>_book!$N$369</f>
        <v>0.56399999999999995</v>
      </c>
      <c r="F374" s="64">
        <f>_book!$K$369</f>
        <v>1</v>
      </c>
      <c r="G374" s="64">
        <f>_book!$L$369</f>
        <v>1.0109890109890109</v>
      </c>
      <c r="H374" s="64">
        <f>_book!$M$369</f>
        <v>1</v>
      </c>
      <c r="I374" s="63">
        <f>_book!$O$369</f>
        <v>0.57019780219780236</v>
      </c>
      <c r="J374" s="63">
        <f>_book!$P$369</f>
        <v>0.57019780219780236</v>
      </c>
      <c r="K374" s="65">
        <f>_book!$T$369</f>
        <v>0</v>
      </c>
      <c r="L374" s="65">
        <f>_book!$U$369</f>
        <v>0</v>
      </c>
      <c r="M374" s="65" t="str">
        <f>IF(_book!$V$369=0,"—",_book!$W$369)</f>
        <v>—</v>
      </c>
      <c r="N374" s="63">
        <f>_book!$Y$369</f>
        <v>0.57019780219780236</v>
      </c>
      <c r="O374" s="66" t="str">
        <f>IF(_book!$V$369=0,"—",_book!$AA$369)</f>
        <v>—</v>
      </c>
      <c r="P374" s="67">
        <f>_book!$AC$369</f>
        <v>1</v>
      </c>
      <c r="Q374" s="67">
        <f>_book!$AD$369</f>
        <v>0</v>
      </c>
    </row>
    <row r="375" spans="1:17" x14ac:dyDescent="0.3">
      <c r="A375" s="61" t="str">
        <f>_book!$A$370</f>
        <v>Inland Marine</v>
      </c>
      <c r="B375" s="61" t="str">
        <f>_book!$B$370</f>
        <v>SBA</v>
      </c>
      <c r="C375" s="61" t="str">
        <f>_book!$C$370</f>
        <v>MN</v>
      </c>
      <c r="D375" s="62">
        <f>_book!$F$370</f>
        <v>13600</v>
      </c>
      <c r="E375" s="63">
        <f>_book!$N$370</f>
        <v>0.59199999999999997</v>
      </c>
      <c r="F375" s="64">
        <f>_book!$K$370</f>
        <v>0.98039215686274506</v>
      </c>
      <c r="G375" s="64">
        <f>_book!$L$370</f>
        <v>1.0043791086804299</v>
      </c>
      <c r="H375" s="64">
        <f>_book!$M$370</f>
        <v>1</v>
      </c>
      <c r="I375" s="63">
        <f>_book!$O$370</f>
        <v>0.58293375719491614</v>
      </c>
      <c r="J375" s="63">
        <f>_book!$P$370</f>
        <v>0.56646596245582848</v>
      </c>
      <c r="K375" s="65">
        <f>_book!$T$370</f>
        <v>2.0000000000000021E-2</v>
      </c>
      <c r="L375" s="65">
        <f>_book!$U$370</f>
        <v>1.960784313725461E-2</v>
      </c>
      <c r="M375" s="65" t="str">
        <f>IF(_book!$V$370=0,"—",_book!$W$370)</f>
        <v>—</v>
      </c>
      <c r="N375" s="63">
        <f>_book!$Y$370</f>
        <v>0.58293375719491614</v>
      </c>
      <c r="O375" s="66" t="str">
        <f>IF(_book!$V$370=0,"—",_book!$AA$370)</f>
        <v>—</v>
      </c>
      <c r="P375" s="67">
        <f>_book!$AC$370</f>
        <v>0</v>
      </c>
      <c r="Q375" s="67">
        <f>_book!$AD$370</f>
        <v>1</v>
      </c>
    </row>
    <row r="376" spans="1:17" x14ac:dyDescent="0.3">
      <c r="A376" s="61" t="str">
        <f>_book!$A$371</f>
        <v>Inland Marine</v>
      </c>
      <c r="B376" s="61" t="str">
        <f>_book!$B$371</f>
        <v>SBA</v>
      </c>
      <c r="C376" s="61" t="str">
        <f>_book!$C$371</f>
        <v>NM</v>
      </c>
      <c r="D376" s="62">
        <f>_book!$F$371</f>
        <v>10400</v>
      </c>
      <c r="E376" s="63">
        <f>_book!$N$371</f>
        <v>0.57599999999999996</v>
      </c>
      <c r="F376" s="64">
        <f>_book!$K$371</f>
        <v>0.99999999999999978</v>
      </c>
      <c r="G376" s="64">
        <f>_book!$L$371</f>
        <v>1.0132116877372539</v>
      </c>
      <c r="H376" s="64">
        <f>_book!$M$371</f>
        <v>1</v>
      </c>
      <c r="I376" s="63">
        <f>_book!$O$371</f>
        <v>0.58360993213665835</v>
      </c>
      <c r="J376" s="63">
        <f>_book!$P$371</f>
        <v>0.58543706207185053</v>
      </c>
      <c r="K376" s="65">
        <f>_book!$T$371</f>
        <v>0</v>
      </c>
      <c r="L376" s="65">
        <f>_book!$U$371</f>
        <v>0</v>
      </c>
      <c r="M376" s="65" t="str">
        <f>IF(_book!$V$371=0,"—",_book!$W$371)</f>
        <v>—</v>
      </c>
      <c r="N376" s="63">
        <f>_book!$Y$371</f>
        <v>0.58360993213665835</v>
      </c>
      <c r="O376" s="66" t="str">
        <f>IF(_book!$V$371=0,"—",_book!$AA$371)</f>
        <v>—</v>
      </c>
      <c r="P376" s="67">
        <f>_book!$AC$371</f>
        <v>1</v>
      </c>
      <c r="Q376" s="67">
        <f>_book!$AD$371</f>
        <v>0</v>
      </c>
    </row>
    <row r="377" spans="1:17" x14ac:dyDescent="0.3">
      <c r="A377" s="61" t="str">
        <f>_book!$A$372</f>
        <v>Inland Marine</v>
      </c>
      <c r="B377" s="61" t="str">
        <f>_book!$B$372</f>
        <v>SBA</v>
      </c>
      <c r="C377" s="61" t="str">
        <f>_book!$C$372</f>
        <v>NC</v>
      </c>
      <c r="D377" s="62">
        <f>_book!$F$372</f>
        <v>7200</v>
      </c>
      <c r="E377" s="63">
        <f>_book!$N$372</f>
        <v>0.56000000000000005</v>
      </c>
      <c r="F377" s="64">
        <f>_book!$K$372</f>
        <v>1.0001361841209311</v>
      </c>
      <c r="G377" s="64">
        <f>_book!$L$372</f>
        <v>1.006572784939554</v>
      </c>
      <c r="H377" s="64">
        <f>_book!$M$372</f>
        <v>1</v>
      </c>
      <c r="I377" s="63">
        <f>_book!$O$372</f>
        <v>0.56375752393487788</v>
      </c>
      <c r="J377" s="63">
        <f>_book!$P$372</f>
        <v>0.5602068967796302</v>
      </c>
      <c r="K377" s="65">
        <f>_book!$T$372</f>
        <v>-1.3616557734186241E-4</v>
      </c>
      <c r="L377" s="65">
        <f>_book!$U$372</f>
        <v>1.3618412093152621E-4</v>
      </c>
      <c r="M377" s="65" t="str">
        <f>IF(_book!$V$372=0,"—",_book!$W$372)</f>
        <v>—</v>
      </c>
      <c r="N377" s="63">
        <f>_book!$Y$372</f>
        <v>0.56375752393487788</v>
      </c>
      <c r="O377" s="66" t="str">
        <f>IF(_book!$V$372=0,"—",_book!$AA$372)</f>
        <v>—</v>
      </c>
      <c r="P377" s="67">
        <f>_book!$AC$372</f>
        <v>1</v>
      </c>
      <c r="Q377" s="67">
        <f>_book!$AD$372</f>
        <v>0</v>
      </c>
    </row>
    <row r="378" spans="1:17" x14ac:dyDescent="0.3">
      <c r="A378" s="61" t="str">
        <f>_book!$A$373</f>
        <v>Inland Marine</v>
      </c>
      <c r="B378" s="61" t="str">
        <f>_book!$B$373</f>
        <v>SBA</v>
      </c>
      <c r="C378" s="61" t="str">
        <f>_book!$C$373</f>
        <v>OH</v>
      </c>
      <c r="D378" s="62">
        <f>_book!$F$373</f>
        <v>17600</v>
      </c>
      <c r="E378" s="63">
        <f>_book!$N$373</f>
        <v>0.58799999999999997</v>
      </c>
      <c r="F378" s="64">
        <f>_book!$K$373</f>
        <v>1</v>
      </c>
      <c r="G378" s="64">
        <f>_book!$L$373</f>
        <v>1.0154441592055621</v>
      </c>
      <c r="H378" s="64">
        <f>_book!$M$373</f>
        <v>1</v>
      </c>
      <c r="I378" s="63">
        <f>_book!$O$373</f>
        <v>0.59708116561287061</v>
      </c>
      <c r="J378" s="63">
        <f>_book!$P$373</f>
        <v>0.60083983205951241</v>
      </c>
      <c r="K378" s="65">
        <f>_book!$T$373</f>
        <v>0</v>
      </c>
      <c r="L378" s="65">
        <f>_book!$U$373</f>
        <v>0</v>
      </c>
      <c r="M378" s="65" t="str">
        <f>IF(_book!$V$373=0,"—",_book!$W$373)</f>
        <v>—</v>
      </c>
      <c r="N378" s="63">
        <f>_book!$Y$373</f>
        <v>0.59708116561287061</v>
      </c>
      <c r="O378" s="66" t="str">
        <f>IF(_book!$V$373=0,"—",_book!$AA$373)</f>
        <v>—</v>
      </c>
      <c r="P378" s="67">
        <f>_book!$AC$373</f>
        <v>0</v>
      </c>
      <c r="Q378" s="67">
        <f>_book!$AD$373</f>
        <v>0</v>
      </c>
    </row>
    <row r="379" spans="1:17" x14ac:dyDescent="0.3">
      <c r="A379" s="61" t="str">
        <f>_book!$A$374</f>
        <v>Inland Marine</v>
      </c>
      <c r="B379" s="61" t="str">
        <f>_book!$B$374</f>
        <v>SBA</v>
      </c>
      <c r="C379" s="61" t="str">
        <f>_book!$C$374</f>
        <v>PA</v>
      </c>
      <c r="D379" s="62">
        <f>_book!$F$374</f>
        <v>14400</v>
      </c>
      <c r="E379" s="63">
        <f>_book!$N$374</f>
        <v>0.57199999999999995</v>
      </c>
      <c r="F379" s="64">
        <f>_book!$K$374</f>
        <v>0.99547992555171516</v>
      </c>
      <c r="G379" s="64">
        <f>_book!$L$374</f>
        <v>1.008776064642062</v>
      </c>
      <c r="H379" s="64">
        <f>_book!$M$374</f>
        <v>1</v>
      </c>
      <c r="I379" s="63">
        <f>_book!$O$374</f>
        <v>0.57441173602854845</v>
      </c>
      <c r="J379" s="63">
        <f>_book!$P$374</f>
        <v>0.55325593148837793</v>
      </c>
      <c r="K379" s="65">
        <f>_book!$T$374</f>
        <v>4.5405982905981626E-3</v>
      </c>
      <c r="L379" s="65">
        <f>_book!$U$374</f>
        <v>3.5022600372241593E-2</v>
      </c>
      <c r="M379" s="65" t="str">
        <f>IF(_book!$V$374=0,"—",_book!$W$374)</f>
        <v>—</v>
      </c>
      <c r="N379" s="63">
        <f>_book!$Y$374</f>
        <v>0.57441173602854845</v>
      </c>
      <c r="O379" s="66" t="str">
        <f>IF(_book!$V$374=0,"—",_book!$AA$374)</f>
        <v>—</v>
      </c>
      <c r="P379" s="67">
        <f>_book!$AC$374</f>
        <v>1</v>
      </c>
      <c r="Q379" s="67">
        <f>_book!$AD$374</f>
        <v>1</v>
      </c>
    </row>
    <row r="380" spans="1:17" x14ac:dyDescent="0.3">
      <c r="A380" s="61" t="str">
        <f>_book!$A$375</f>
        <v>Inland Marine</v>
      </c>
      <c r="B380" s="61" t="str">
        <f>_book!$B$375</f>
        <v>SBA</v>
      </c>
      <c r="C380" s="61" t="str">
        <f>_book!$C$375</f>
        <v>SC</v>
      </c>
      <c r="D380" s="62">
        <f>_book!$F$375</f>
        <v>11200</v>
      </c>
      <c r="E380" s="63">
        <f>_book!$N$375</f>
        <v>0.6</v>
      </c>
      <c r="F380" s="64">
        <f>_book!$K$375</f>
        <v>1.0053191489361699</v>
      </c>
      <c r="G380" s="64">
        <f>_book!$L$375</f>
        <v>1.002194973213381</v>
      </c>
      <c r="H380" s="64">
        <f>_book!$M$375</f>
        <v>1</v>
      </c>
      <c r="I380" s="63">
        <f>_book!$O$375</f>
        <v>0.6045154785233906</v>
      </c>
      <c r="J380" s="63">
        <f>_book!$P$375</f>
        <v>0.59398241109071914</v>
      </c>
      <c r="K380" s="65">
        <f>_book!$T$375</f>
        <v>-5.2910052910052352E-3</v>
      </c>
      <c r="L380" s="65">
        <f>_book!$U$375</f>
        <v>5.3191489361701372E-3</v>
      </c>
      <c r="M380" s="65" t="str">
        <f>IF(_book!$V$375=0,"—",_book!$W$375)</f>
        <v>—</v>
      </c>
      <c r="N380" s="63">
        <f>_book!$Y$375</f>
        <v>0.6045154785233906</v>
      </c>
      <c r="O380" s="66" t="str">
        <f>IF(_book!$V$375=0,"—",_book!$AA$375)</f>
        <v>—</v>
      </c>
      <c r="P380" s="67">
        <f>_book!$AC$375</f>
        <v>1</v>
      </c>
      <c r="Q380" s="67">
        <f>_book!$AD$375</f>
        <v>0</v>
      </c>
    </row>
    <row r="381" spans="1:17" x14ac:dyDescent="0.3">
      <c r="A381" s="61" t="str">
        <f>_book!$A$376</f>
        <v>Inland Marine</v>
      </c>
      <c r="B381" s="61" t="str">
        <f>_book!$B$376</f>
        <v>SBA</v>
      </c>
      <c r="C381" s="61" t="str">
        <f>_book!$C$376</f>
        <v>TN</v>
      </c>
      <c r="D381" s="62">
        <f>_book!$F$376</f>
        <v>8000</v>
      </c>
      <c r="E381" s="63">
        <f>_book!$N$376</f>
        <v>0.58399999999999996</v>
      </c>
      <c r="F381" s="64">
        <f>_book!$K$376</f>
        <v>1</v>
      </c>
      <c r="G381" s="64">
        <f>_book!$L$376</f>
        <v>1.0109890109890109</v>
      </c>
      <c r="H381" s="64">
        <f>_book!$M$376</f>
        <v>1</v>
      </c>
      <c r="I381" s="63">
        <f>_book!$O$376</f>
        <v>0.59041758241758246</v>
      </c>
      <c r="J381" s="63">
        <f>_book!$P$376</f>
        <v>0.59041758241758246</v>
      </c>
      <c r="K381" s="65">
        <f>_book!$T$376</f>
        <v>0</v>
      </c>
      <c r="L381" s="65">
        <f>_book!$U$376</f>
        <v>0</v>
      </c>
      <c r="M381" s="65" t="str">
        <f>IF(_book!$V$376=0,"—",_book!$W$376)</f>
        <v>—</v>
      </c>
      <c r="N381" s="63">
        <f>_book!$Y$376</f>
        <v>0.59041758241758246</v>
      </c>
      <c r="O381" s="66" t="str">
        <f>IF(_book!$V$376=0,"—",_book!$AA$376)</f>
        <v>—</v>
      </c>
      <c r="P381" s="67">
        <f>_book!$AC$376</f>
        <v>0</v>
      </c>
      <c r="Q381" s="67">
        <f>_book!$AD$376</f>
        <v>0</v>
      </c>
    </row>
    <row r="382" spans="1:17" x14ac:dyDescent="0.3">
      <c r="A382" s="61" t="str">
        <f>_book!$A$377</f>
        <v>Inland Marine</v>
      </c>
      <c r="B382" s="61" t="str">
        <f>_book!$B$377</f>
        <v>SBA</v>
      </c>
      <c r="C382" s="61" t="str">
        <f>_book!$C$377</f>
        <v>VA</v>
      </c>
      <c r="D382" s="62">
        <f>_book!$F$377</f>
        <v>18400</v>
      </c>
      <c r="E382" s="63">
        <f>_book!$N$377</f>
        <v>0.56799999999999995</v>
      </c>
      <c r="F382" s="64">
        <f>_book!$K$377</f>
        <v>0.99999999999999978</v>
      </c>
      <c r="G382" s="64">
        <f>_book!$L$377</f>
        <v>1.0043791086804299</v>
      </c>
      <c r="H382" s="64">
        <f>_book!$M$377</f>
        <v>1</v>
      </c>
      <c r="I382" s="63">
        <f>_book!$O$377</f>
        <v>0.57048733373048399</v>
      </c>
      <c r="J382" s="63">
        <f>_book!$P$377</f>
        <v>0.56524117118565342</v>
      </c>
      <c r="K382" s="65">
        <f>_book!$T$377</f>
        <v>0</v>
      </c>
      <c r="L382" s="65">
        <f>_book!$U$377</f>
        <v>0</v>
      </c>
      <c r="M382" s="65" t="str">
        <f>IF(_book!$V$377=0,"—",_book!$W$377)</f>
        <v>—</v>
      </c>
      <c r="N382" s="63">
        <f>_book!$Y$377</f>
        <v>0.57048733373048399</v>
      </c>
      <c r="O382" s="66" t="str">
        <f>IF(_book!$V$377=0,"—",_book!$AA$377)</f>
        <v>—</v>
      </c>
      <c r="P382" s="67">
        <f>_book!$AC$377</f>
        <v>1</v>
      </c>
      <c r="Q382" s="67">
        <f>_book!$AD$377</f>
        <v>0</v>
      </c>
    </row>
    <row r="383" spans="1:17" x14ac:dyDescent="0.3">
      <c r="A383" s="61" t="str">
        <f>_book!$A$378</f>
        <v>Inland Marine</v>
      </c>
      <c r="B383" s="61" t="str">
        <f>_book!$B$378</f>
        <v>SBA</v>
      </c>
      <c r="C383" s="61" t="str">
        <f>_book!$C$378</f>
        <v>WV</v>
      </c>
      <c r="D383" s="62">
        <f>_book!$F$378</f>
        <v>15200</v>
      </c>
      <c r="E383" s="63">
        <f>_book!$N$378</f>
        <v>0.59599999999999997</v>
      </c>
      <c r="F383" s="64">
        <f>_book!$K$378</f>
        <v>0.9740259740259738</v>
      </c>
      <c r="G383" s="64">
        <f>_book!$L$378</f>
        <v>1.0132116877372539</v>
      </c>
      <c r="H383" s="64">
        <f>_book!$M$378</f>
        <v>1</v>
      </c>
      <c r="I383" s="63">
        <f>_book!$O$378</f>
        <v>0.58818912262149681</v>
      </c>
      <c r="J383" s="63">
        <f>_book!$P$378</f>
        <v>0.5824660940752252</v>
      </c>
      <c r="K383" s="65">
        <f>_book!$T$378</f>
        <v>2.666666666666706E-2</v>
      </c>
      <c r="L383" s="65">
        <f>_book!$U$378</f>
        <v>1.2987012987013101E-2</v>
      </c>
      <c r="M383" s="65" t="str">
        <f>IF(_book!$V$378=0,"—",_book!$W$378)</f>
        <v>—</v>
      </c>
      <c r="N383" s="63">
        <f>_book!$Y$378</f>
        <v>0.58818912262149681</v>
      </c>
      <c r="O383" s="66" t="str">
        <f>IF(_book!$V$378=0,"—",_book!$AA$378)</f>
        <v>—</v>
      </c>
      <c r="P383" s="67">
        <f>_book!$AC$378</f>
        <v>1</v>
      </c>
      <c r="Q383" s="67">
        <f>_book!$AD$378</f>
        <v>1</v>
      </c>
    </row>
    <row r="384" spans="1:17" x14ac:dyDescent="0.3">
      <c r="A384" s="61" t="str">
        <f>_book!$A$379</f>
        <v>Inland Marine</v>
      </c>
      <c r="B384" s="61" t="str">
        <f>_book!$B$379</f>
        <v>SBA</v>
      </c>
      <c r="C384" s="61" t="str">
        <f>_book!$C$379</f>
        <v>WI</v>
      </c>
      <c r="D384" s="62">
        <f>_book!$F$379</f>
        <v>12000</v>
      </c>
      <c r="E384" s="63">
        <f>_book!$N$379</f>
        <v>0.57999999999999996</v>
      </c>
      <c r="F384" s="64">
        <f>_book!$K$379</f>
        <v>1</v>
      </c>
      <c r="G384" s="64">
        <f>_book!$L$379</f>
        <v>1.006572784939554</v>
      </c>
      <c r="H384" s="64">
        <f>_book!$M$379</f>
        <v>1</v>
      </c>
      <c r="I384" s="63">
        <f>_book!$O$379</f>
        <v>0.58381221526494143</v>
      </c>
      <c r="J384" s="63">
        <f>_book!$P$379</f>
        <v>0.58021428595033131</v>
      </c>
      <c r="K384" s="65">
        <f>_book!$T$379</f>
        <v>0</v>
      </c>
      <c r="L384" s="65">
        <f>_book!$U$379</f>
        <v>0</v>
      </c>
      <c r="M384" s="65" t="str">
        <f>IF(_book!$V$379=0,"—",_book!$W$379)</f>
        <v>—</v>
      </c>
      <c r="N384" s="63">
        <f>_book!$Y$379</f>
        <v>0.58381221526494143</v>
      </c>
      <c r="O384" s="66" t="str">
        <f>IF(_book!$V$379=0,"—",_book!$AA$379)</f>
        <v>—</v>
      </c>
      <c r="P384" s="67">
        <f>_book!$AC$379</f>
        <v>0</v>
      </c>
      <c r="Q384" s="67">
        <f>_book!$AD$379</f>
        <v>0</v>
      </c>
    </row>
    <row r="386" spans="1:1" x14ac:dyDescent="0.3">
      <c r="A386" s="9" t="s">
        <v>151</v>
      </c>
    </row>
  </sheetData>
  <autoFilter ref="A6:Q384" xr:uid="{00000000-0009-0000-0000-000003000000}"/>
  <pageMargins left="0.75" right="0.75" top="1" bottom="1" header="0.5" footer="0.5"/>
  <pageSetup fitToHeight="0" orientation="landscape"/>
  <headerFooter>
    <oddHeader>&amp;C&amp;"Calibri,Bold"&amp;10 CY Plan Loss Ratio Workbook</oddHeader>
    <oddFooter>&amp;L&amp;9 &amp;A&amp;R&amp;9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  <pageSetUpPr fitToPage="1"/>
  </sheetPr>
  <dimension ref="A1:K50"/>
  <sheetViews>
    <sheetView showGridLines="0" workbookViewId="0"/>
  </sheetViews>
  <sheetFormatPr defaultRowHeight="14.4" x14ac:dyDescent="0.3"/>
  <cols>
    <col min="1" max="1" width="20" customWidth="1"/>
    <col min="2" max="2" width="9" customWidth="1"/>
    <col min="3" max="3" width="13" customWidth="1"/>
    <col min="4" max="4" width="12" customWidth="1"/>
    <col min="5" max="5" width="11" customWidth="1"/>
    <col min="6" max="6" width="10" customWidth="1"/>
    <col min="7" max="8" width="12" customWidth="1"/>
    <col min="9" max="10" width="13" customWidth="1"/>
    <col min="11" max="11" width="11" customWidth="1"/>
  </cols>
  <sheetData>
    <row r="1" spans="1:11" ht="21" x14ac:dyDescent="0.3">
      <c r="A1" s="1" t="s">
        <v>152</v>
      </c>
    </row>
    <row r="2" spans="1:11" x14ac:dyDescent="0.3">
      <c r="A2" s="2" t="s">
        <v>153</v>
      </c>
    </row>
    <row r="3" spans="1:11" x14ac:dyDescent="0.3">
      <c r="A3" s="7" t="s">
        <v>36</v>
      </c>
      <c r="C3" s="8" t="str">
        <f>HYPERLINK("#Control!A1","Control")</f>
        <v>Control</v>
      </c>
      <c r="E3" s="8" t="str">
        <f>HYPERLINK("#'State Summary'!A1","State Summary")</f>
        <v>State Summary</v>
      </c>
      <c r="G3" s="8" t="str">
        <f>HYPERLINK("#Portfolio!A1","Portfolio")</f>
        <v>Portfolio</v>
      </c>
      <c r="I3" s="8" t="str">
        <f>HYPERLINK("#'Program Flow'!A1","Program Flow")</f>
        <v>Program Flow</v>
      </c>
      <c r="K3" s="8" t="str">
        <f>HYPERLINK("#Checks!A1","Checks")</f>
        <v>Checks</v>
      </c>
    </row>
    <row r="5" spans="1:11" ht="15.6" x14ac:dyDescent="0.3">
      <c r="A5" s="3" t="s">
        <v>154</v>
      </c>
    </row>
    <row r="6" spans="1:11" ht="28.8" x14ac:dyDescent="0.3">
      <c r="A6" s="19"/>
      <c r="B6" s="19" t="s">
        <v>71</v>
      </c>
      <c r="C6" s="19" t="s">
        <v>106</v>
      </c>
      <c r="D6" s="19" t="s">
        <v>142</v>
      </c>
      <c r="E6" s="19" t="s">
        <v>143</v>
      </c>
      <c r="F6" s="19" t="s">
        <v>144</v>
      </c>
      <c r="G6" s="19" t="s">
        <v>146</v>
      </c>
      <c r="H6" s="19" t="s">
        <v>132</v>
      </c>
      <c r="I6" s="19" t="s">
        <v>150</v>
      </c>
      <c r="J6" s="19" t="s">
        <v>134</v>
      </c>
      <c r="K6" s="19" t="s">
        <v>155</v>
      </c>
    </row>
    <row r="7" spans="1:11" x14ac:dyDescent="0.3">
      <c r="A7" s="23" t="s">
        <v>22</v>
      </c>
      <c r="B7" s="68">
        <f>COUNTIFS(_book!$D$2:$D$379,"?*",_book!$A$2:$A$379,$A7,_book!$B$2:$B$379,bkc_bu,_book!$C$2:$C$379,bkc_state)</f>
        <v>63</v>
      </c>
      <c r="C7" s="69">
        <f>SUMIFS(_book!$F$2:$F$379,_book!$A$2:$A$379,$A7,_book!$B$2:$B$379,bkc_bu,_book!$C$2:$C$379,bkc_state)</f>
        <v>4522500</v>
      </c>
      <c r="D7" s="70">
        <f>IF(SUMIFS(_book!$F$2:$F$379,_book!$A$2:$A$379,$A7,_book!$B$2:$B$379,bkc_bu,_book!$C$2:$C$379,bkc_state)=0,"—",SUMIFS(_book!$AN$2:$AN$379,_book!$A$2:$A$379,$A7,_book!$B$2:$B$379,bkc_bu,_book!$C$2:$C$379,bkc_state)/SUMIFS(_book!$F$2:$F$379,_book!$A$2:$A$379,$A7,_book!$B$2:$B$379,bkc_bu,_book!$C$2:$C$379,bkc_state))</f>
        <v>0.6513978109452736</v>
      </c>
      <c r="E7" s="71">
        <f>IF(SUMIFS(_book!$F$2:$F$379,_book!$A$2:$A$379,$A7,_book!$B$2:$B$379,bkc_bu,_book!$C$2:$C$379,bkc_state)=0,"—",SUMIFS(_book!$AK$2:$AK$379,_book!$A$2:$A$379,$A7,_book!$B$2:$B$379,bkc_bu,_book!$C$2:$C$379,bkc_state)/SUMIFS(_book!$F$2:$F$379,_book!$A$2:$A$379,$A7,_book!$B$2:$B$379,bkc_bu,_book!$C$2:$C$379,bkc_state))</f>
        <v>0.9990268086606594</v>
      </c>
      <c r="F7" s="71">
        <f>IF(SUMIFS(_book!$F$2:$F$379,_book!$A$2:$A$379,$A7,_book!$B$2:$B$379,bkc_bu,_book!$C$2:$C$379,bkc_state)=0,"—",SUMIFS(_book!$AL$2:$AL$379,_book!$A$2:$A$379,$A7,_book!$B$2:$B$379,bkc_bu,_book!$C$2:$C$379,bkc_state)/SUMIFS(_book!$F$2:$F$379,_book!$A$2:$A$379,$A7,_book!$B$2:$B$379,bkc_bu,_book!$C$2:$C$379,bkc_state))</f>
        <v>1.0099536502317406</v>
      </c>
      <c r="G7" s="72">
        <f>IF(SUMIFS(_book!$F$2:$F$379,_book!$A$2:$A$379,$A7,_book!$B$2:$B$379,bkc_bu,_book!$C$2:$C$379,bkc_state)=0,"—",SUMIFS(_book!$AO$2:$AO$379,_book!$A$2:$A$379,$A7,_book!$B$2:$B$379,bkc_bu,_book!$C$2:$C$379,bkc_state)/SUMIFS(_book!$F$2:$F$379,_book!$A$2:$A$379,$A7,_book!$B$2:$B$379,bkc_bu,_book!$C$2:$C$379,bkc_state))</f>
        <v>0.65747798871167018</v>
      </c>
      <c r="H7" s="70">
        <f>IF(SUMIFS(_book!$F$2:$F$379,_book!$A$2:$A$379,$A7,_book!$B$2:$B$379,bkc_bu,_book!$C$2:$C$379,bkc_state)=0,"—",SUMIFS(_book!$AP$2:$AP$379,_book!$A$2:$A$379,$A7,_book!$B$2:$B$379,bkc_bu,_book!$C$2:$C$379,bkc_state)/SUMIFS(_book!$F$2:$F$379,_book!$A$2:$A$379,$A7,_book!$B$2:$B$379,bkc_bu,_book!$C$2:$C$379,bkc_state))</f>
        <v>0.64671185125107511</v>
      </c>
      <c r="I7" s="70">
        <f>IF(SUMIFS(_book!$F$2:$F$379,_book!$A$2:$A$379,$A7,_book!$B$2:$B$379,bkc_bu,_book!$C$2:$C$379,bkc_state)=0,"—",SUMIFS(_book!$AT$2:$AT$379,_book!$A$2:$A$379,$A7,_book!$B$2:$B$379,bkc_bu,_book!$C$2:$C$379,bkc_state)/SUMIFS(_book!$F$2:$F$379,_book!$A$2:$A$379,$A7,_book!$B$2:$B$379,bkc_bu,_book!$C$2:$C$379,bkc_state))</f>
        <v>0.65739862906884294</v>
      </c>
      <c r="J7" s="73">
        <f>IF(SUMIFS(_book!$V$2:$V$379,_book!$A$2:$A$379,$A7,_book!$B$2:$B$379,bkc_bu,_book!$C$2:$C$379,bkc_state)=0,"—",($I7-$G7)*100)</f>
        <v>-7.9359642827236954E-3</v>
      </c>
      <c r="K7" s="68">
        <f>SUMIFS(_book!$V$2:$V$379,_book!$A$2:$A$379,$A7,_book!$B$2:$B$379,bkc_bu,_book!$C$2:$C$379,bkc_state)</f>
        <v>1</v>
      </c>
    </row>
    <row r="8" spans="1:11" x14ac:dyDescent="0.3">
      <c r="A8" s="23" t="s">
        <v>24</v>
      </c>
      <c r="B8" s="68">
        <f>COUNTIFS(_book!$D$2:$D$379,"?*",_book!$A$2:$A$379,$A8,_book!$B$2:$B$379,bkc_bu,_book!$C$2:$C$379,bkc_state)</f>
        <v>63</v>
      </c>
      <c r="C8" s="69">
        <f>SUMIFS(_book!$F$2:$F$379,_book!$A$2:$A$379,$A8,_book!$B$2:$B$379,bkc_bu,_book!$C$2:$C$379,bkc_state)</f>
        <v>3517500</v>
      </c>
      <c r="D8" s="70">
        <f>IF(SUMIFS(_book!$F$2:$F$379,_book!$A$2:$A$379,$A8,_book!$B$2:$B$379,bkc_bu,_book!$C$2:$C$379,bkc_state)=0,"—",SUMIFS(_book!$AN$2:$AN$379,_book!$A$2:$A$379,$A8,_book!$B$2:$B$379,bkc_bu,_book!$C$2:$C$379,bkc_state)/SUMIFS(_book!$F$2:$F$379,_book!$A$2:$A$379,$A8,_book!$B$2:$B$379,bkc_bu,_book!$C$2:$C$379,bkc_state))</f>
        <v>0.62158407960199002</v>
      </c>
      <c r="E8" s="71">
        <f>IF(SUMIFS(_book!$F$2:$F$379,_book!$A$2:$A$379,$A8,_book!$B$2:$B$379,bkc_bu,_book!$C$2:$C$379,bkc_state)=0,"—",SUMIFS(_book!$AK$2:$AK$379,_book!$A$2:$A$379,$A8,_book!$B$2:$B$379,bkc_bu,_book!$C$2:$C$379,bkc_state)/SUMIFS(_book!$F$2:$F$379,_book!$A$2:$A$379,$A8,_book!$B$2:$B$379,bkc_bu,_book!$C$2:$C$379,bkc_state))</f>
        <v>0.99901131287304556</v>
      </c>
      <c r="F8" s="71">
        <f>IF(SUMIFS(_book!$F$2:$F$379,_book!$A$2:$A$379,$A8,_book!$B$2:$B$379,bkc_bu,_book!$C$2:$C$379,bkc_state)=0,"—",SUMIFS(_book!$AL$2:$AL$379,_book!$A$2:$A$379,$A8,_book!$B$2:$B$379,bkc_bu,_book!$C$2:$C$379,bkc_state)/SUMIFS(_book!$F$2:$F$379,_book!$A$2:$A$379,$A8,_book!$B$2:$B$379,bkc_bu,_book!$C$2:$C$379,bkc_state))</f>
        <v>1.0088548178550822</v>
      </c>
      <c r="G8" s="72">
        <f>IF(SUMIFS(_book!$F$2:$F$379,_book!$A$2:$A$379,$A8,_book!$B$2:$B$379,bkc_bu,_book!$C$2:$C$379,bkc_state)=0,"—",SUMIFS(_book!$AO$2:$AO$379,_book!$A$2:$A$379,$A8,_book!$B$2:$B$379,bkc_bu,_book!$C$2:$C$379,bkc_state)/SUMIFS(_book!$F$2:$F$379,_book!$A$2:$A$379,$A8,_book!$B$2:$B$379,bkc_bu,_book!$C$2:$C$379,bkc_state))</f>
        <v>0.62668422179172023</v>
      </c>
      <c r="H8" s="70">
        <f>IF(SUMIFS(_book!$F$2:$F$379,_book!$A$2:$A$379,$A8,_book!$B$2:$B$379,bkc_bu,_book!$C$2:$C$379,bkc_state)=0,"—",SUMIFS(_book!$AP$2:$AP$379,_book!$A$2:$A$379,$A8,_book!$B$2:$B$379,bkc_bu,_book!$C$2:$C$379,bkc_state)/SUMIFS(_book!$F$2:$F$379,_book!$A$2:$A$379,$A8,_book!$B$2:$B$379,bkc_bu,_book!$C$2:$C$379,bkc_state))</f>
        <v>0.61665224849139422</v>
      </c>
      <c r="I8" s="70">
        <f>IF(SUMIFS(_book!$F$2:$F$379,_book!$A$2:$A$379,$A8,_book!$B$2:$B$379,bkc_bu,_book!$C$2:$C$379,bkc_state)=0,"—",SUMIFS(_book!$AT$2:$AT$379,_book!$A$2:$A$379,$A8,_book!$B$2:$B$379,bkc_bu,_book!$C$2:$C$379,bkc_state)/SUMIFS(_book!$F$2:$F$379,_book!$A$2:$A$379,$A8,_book!$B$2:$B$379,bkc_bu,_book!$C$2:$C$379,bkc_state))</f>
        <v>0.62661032507858383</v>
      </c>
      <c r="J8" s="73">
        <f>IF(SUMIFS(_book!$V$2:$V$379,_book!$A$2:$A$379,$A8,_book!$B$2:$B$379,bkc_bu,_book!$C$2:$C$379,bkc_state)=0,"—",($I8-$G8)*100)</f>
        <v>-7.3896713136401004E-3</v>
      </c>
      <c r="K8" s="68">
        <f>SUMIFS(_book!$V$2:$V$379,_book!$A$2:$A$379,$A8,_book!$B$2:$B$379,bkc_bu,_book!$C$2:$C$379,bkc_state)</f>
        <v>1</v>
      </c>
    </row>
    <row r="9" spans="1:11" x14ac:dyDescent="0.3">
      <c r="A9" s="23" t="s">
        <v>26</v>
      </c>
      <c r="B9" s="68">
        <f>COUNTIFS(_book!$D$2:$D$379,"?*",_book!$A$2:$A$379,$A9,_book!$B$2:$B$379,bkc_bu,_book!$C$2:$C$379,bkc_state)</f>
        <v>63</v>
      </c>
      <c r="C9" s="69">
        <f>SUMIFS(_book!$F$2:$F$379,_book!$A$2:$A$379,$A9,_book!$B$2:$B$379,bkc_bu,_book!$C$2:$C$379,bkc_state)</f>
        <v>4020000</v>
      </c>
      <c r="D9" s="70">
        <f>IF(SUMIFS(_book!$F$2:$F$379,_book!$A$2:$A$379,$A9,_book!$B$2:$B$379,bkc_bu,_book!$C$2:$C$379,bkc_state)=0,"—",SUMIFS(_book!$AN$2:$AN$379,_book!$A$2:$A$379,$A9,_book!$B$2:$B$379,bkc_bu,_book!$C$2:$C$379,bkc_state)/SUMIFS(_book!$F$2:$F$379,_book!$A$2:$A$379,$A9,_book!$B$2:$B$379,bkc_bu,_book!$C$2:$C$379,bkc_state))</f>
        <v>0.68121154228855718</v>
      </c>
      <c r="E9" s="71">
        <f>IF(SUMIFS(_book!$F$2:$F$379,_book!$A$2:$A$379,$A9,_book!$B$2:$B$379,bkc_bu,_book!$C$2:$C$379,bkc_state)=0,"—",SUMIFS(_book!$AK$2:$AK$379,_book!$A$2:$A$379,$A9,_book!$B$2:$B$379,bkc_bu,_book!$C$2:$C$379,bkc_state)/SUMIFS(_book!$F$2:$F$379,_book!$A$2:$A$379,$A9,_book!$B$2:$B$379,bkc_bu,_book!$C$2:$C$379,bkc_state))</f>
        <v>0.99900474008271289</v>
      </c>
      <c r="F9" s="71">
        <f>IF(SUMIFS(_book!$F$2:$F$379,_book!$A$2:$A$379,$A9,_book!$B$2:$B$379,bkc_bu,_book!$C$2:$C$379,bkc_state)=0,"—",SUMIFS(_book!$AL$2:$AL$379,_book!$A$2:$A$379,$A9,_book!$B$2:$B$379,bkc_bu,_book!$C$2:$C$379,bkc_state)/SUMIFS(_book!$F$2:$F$379,_book!$A$2:$A$379,$A9,_book!$B$2:$B$379,bkc_bu,_book!$C$2:$C$379,bkc_state))</f>
        <v>1.0083886004200964</v>
      </c>
      <c r="G9" s="72">
        <f>IF(SUMIFS(_book!$F$2:$F$379,_book!$A$2:$A$379,$A9,_book!$B$2:$B$379,bkc_bu,_book!$C$2:$C$379,bkc_state)=0,"—",SUMIFS(_book!$AO$2:$AO$379,_book!$A$2:$A$379,$A9,_book!$B$2:$B$379,bkc_bu,_book!$C$2:$C$379,bkc_state)/SUMIFS(_book!$F$2:$F$379,_book!$A$2:$A$379,$A9,_book!$B$2:$B$379,bkc_bu,_book!$C$2:$C$379,bkc_state))</f>
        <v>0.68649759011181155</v>
      </c>
      <c r="H9" s="70">
        <f>IF(SUMIFS(_book!$F$2:$F$379,_book!$A$2:$A$379,$A9,_book!$B$2:$B$379,bkc_bu,_book!$C$2:$C$379,bkc_state)=0,"—",SUMIFS(_book!$AP$2:$AP$379,_book!$A$2:$A$379,$A9,_book!$B$2:$B$379,bkc_bu,_book!$C$2:$C$379,bkc_state)/SUMIFS(_book!$F$2:$F$379,_book!$A$2:$A$379,$A9,_book!$B$2:$B$379,bkc_bu,_book!$C$2:$C$379,bkc_state))</f>
        <v>0.67564326158145593</v>
      </c>
      <c r="I9" s="70">
        <f>IF(SUMIFS(_book!$F$2:$F$379,_book!$A$2:$A$379,$A9,_book!$B$2:$B$379,bkc_bu,_book!$C$2:$C$379,bkc_state)=0,"—",SUMIFS(_book!$AT$2:$AT$379,_book!$A$2:$A$379,$A9,_book!$B$2:$B$379,bkc_bu,_book!$C$2:$C$379,bkc_state)/SUMIFS(_book!$F$2:$F$379,_book!$A$2:$A$379,$A9,_book!$B$2:$B$379,bkc_bu,_book!$C$2:$C$379,bkc_state))</f>
        <v>0.68641759713639761</v>
      </c>
      <c r="J9" s="73">
        <f>IF(SUMIFS(_book!$V$2:$V$379,_book!$A$2:$A$379,$A9,_book!$B$2:$B$379,bkc_bu,_book!$C$2:$C$379,bkc_state)=0,"—",($I9-$G9)*100)</f>
        <v>-7.9992975413945011E-3</v>
      </c>
      <c r="K9" s="68">
        <f>SUMIFS(_book!$V$2:$V$379,_book!$A$2:$A$379,$A9,_book!$B$2:$B$379,bkc_bu,_book!$C$2:$C$379,bkc_state)</f>
        <v>1</v>
      </c>
    </row>
    <row r="10" spans="1:11" x14ac:dyDescent="0.3">
      <c r="A10" s="23" t="s">
        <v>28</v>
      </c>
      <c r="B10" s="68">
        <f>COUNTIFS(_book!$D$2:$D$379,"?*",_book!$A$2:$A$379,$A10,_book!$B$2:$B$379,bkc_bu,_book!$C$2:$C$379,bkc_state)</f>
        <v>63</v>
      </c>
      <c r="C10" s="69">
        <f>SUMIFS(_book!$F$2:$F$379,_book!$A$2:$A$379,$A10,_book!$B$2:$B$379,bkc_bu,_book!$C$2:$C$379,bkc_state)</f>
        <v>3015000</v>
      </c>
      <c r="D10" s="70">
        <f>IF(SUMIFS(_book!$F$2:$F$379,_book!$A$2:$A$379,$A10,_book!$B$2:$B$379,bkc_bu,_book!$C$2:$C$379,bkc_state)=0,"—",SUMIFS(_book!$AN$2:$AN$379,_book!$A$2:$A$379,$A10,_book!$B$2:$B$379,bkc_bu,_book!$C$2:$C$379,bkc_state)/SUMIFS(_book!$F$2:$F$379,_book!$A$2:$A$379,$A10,_book!$B$2:$B$379,bkc_bu,_book!$C$2:$C$379,bkc_state))</f>
        <v>0.6017082587064676</v>
      </c>
      <c r="E10" s="71">
        <f>IF(SUMIFS(_book!$F$2:$F$379,_book!$A$2:$A$379,$A10,_book!$B$2:$B$379,bkc_bu,_book!$C$2:$C$379,bkc_state)=0,"—",SUMIFS(_book!$AK$2:$AK$379,_book!$A$2:$A$379,$A10,_book!$B$2:$B$379,bkc_bu,_book!$C$2:$C$379,bkc_state)/SUMIFS(_book!$F$2:$F$379,_book!$A$2:$A$379,$A10,_book!$B$2:$B$379,bkc_bu,_book!$C$2:$C$379,bkc_state))</f>
        <v>0.99901862500510574</v>
      </c>
      <c r="F10" s="71">
        <f>IF(SUMIFS(_book!$F$2:$F$379,_book!$A$2:$A$379,$A10,_book!$B$2:$B$379,bkc_bu,_book!$C$2:$C$379,bkc_state)=0,"—",SUMIFS(_book!$AL$2:$AL$379,_book!$A$2:$A$379,$A10,_book!$B$2:$B$379,bkc_bu,_book!$C$2:$C$379,bkc_state)/SUMIFS(_book!$F$2:$F$379,_book!$A$2:$A$379,$A10,_book!$B$2:$B$379,bkc_bu,_book!$C$2:$C$379,bkc_state))</f>
        <v>1.0093733869724846</v>
      </c>
      <c r="G10" s="72">
        <f>IF(SUMIFS(_book!$F$2:$F$379,_book!$A$2:$A$379,$A10,_book!$B$2:$B$379,bkc_bu,_book!$C$2:$C$379,bkc_state)=0,"—",SUMIFS(_book!$AO$2:$AO$379,_book!$A$2:$A$379,$A10,_book!$B$2:$B$379,bkc_bu,_book!$C$2:$C$379,bkc_state)/SUMIFS(_book!$F$2:$F$379,_book!$A$2:$A$379,$A10,_book!$B$2:$B$379,bkc_bu,_book!$C$2:$C$379,bkc_state))</f>
        <v>0.60695528695427325</v>
      </c>
      <c r="H10" s="70">
        <f>IF(SUMIFS(_book!$F$2:$F$379,_book!$A$2:$A$379,$A10,_book!$B$2:$B$379,bkc_bu,_book!$C$2:$C$379,bkc_state)=0,"—",SUMIFS(_book!$AP$2:$AP$379,_book!$A$2:$A$379,$A10,_book!$B$2:$B$379,bkc_bu,_book!$C$2:$C$379,bkc_state)/SUMIFS(_book!$F$2:$F$379,_book!$A$2:$A$379,$A10,_book!$B$2:$B$379,bkc_bu,_book!$C$2:$C$379,bkc_state))</f>
        <v>0.59712148951041011</v>
      </c>
      <c r="I10" s="70">
        <f>IF(SUMIFS(_book!$F$2:$F$379,_book!$A$2:$A$379,$A10,_book!$B$2:$B$379,bkc_bu,_book!$C$2:$C$379,bkc_state)=0,"—",SUMIFS(_book!$AT$2:$AT$379,_book!$A$2:$A$379,$A10,_book!$B$2:$B$379,bkc_bu,_book!$C$2:$C$379,bkc_state)/SUMIFS(_book!$F$2:$F$379,_book!$A$2:$A$379,$A10,_book!$B$2:$B$379,bkc_bu,_book!$C$2:$C$379,bkc_state))</f>
        <v>0.60688285155314525</v>
      </c>
      <c r="J10" s="73">
        <f>IF(SUMIFS(_book!$V$2:$V$379,_book!$A$2:$A$379,$A10,_book!$B$2:$B$379,bkc_bu,_book!$C$2:$C$379,bkc_state)=0,"—",($I10-$G10)*100)</f>
        <v>-7.2435401128001509E-3</v>
      </c>
      <c r="K10" s="68">
        <f>SUMIFS(_book!$V$2:$V$379,_book!$A$2:$A$379,$A10,_book!$B$2:$B$379,bkc_bu,_book!$C$2:$C$379,bkc_state)</f>
        <v>1</v>
      </c>
    </row>
    <row r="11" spans="1:11" x14ac:dyDescent="0.3">
      <c r="A11" s="23" t="s">
        <v>30</v>
      </c>
      <c r="B11" s="68">
        <f>COUNTIFS(_book!$D$2:$D$379,"?*",_book!$A$2:$A$379,$A11,_book!$B$2:$B$379,bkc_bu,_book!$C$2:$C$379,bkc_state)</f>
        <v>63</v>
      </c>
      <c r="C11" s="69">
        <f>SUMIFS(_book!$F$2:$F$379,_book!$A$2:$A$379,$A11,_book!$B$2:$B$379,bkc_bu,_book!$C$2:$C$379,bkc_state)</f>
        <v>1206000</v>
      </c>
      <c r="D11" s="70">
        <f>IF(SUMIFS(_book!$F$2:$F$379,_book!$A$2:$A$379,$A11,_book!$B$2:$B$379,bkc_bu,_book!$C$2:$C$379,bkc_state)=0,"—",SUMIFS(_book!$AN$2:$AN$379,_book!$A$2:$A$379,$A11,_book!$B$2:$B$379,bkc_bu,_book!$C$2:$C$379,bkc_state)/SUMIFS(_book!$F$2:$F$379,_book!$A$2:$A$379,$A11,_book!$B$2:$B$379,bkc_bu,_book!$C$2:$C$379,bkc_state))</f>
        <v>0.55201870646766193</v>
      </c>
      <c r="E11" s="71">
        <f>IF(SUMIFS(_book!$F$2:$F$379,_book!$A$2:$A$379,$A11,_book!$B$2:$B$379,bkc_bu,_book!$C$2:$C$379,bkc_state)=0,"—",SUMIFS(_book!$AK$2:$AK$379,_book!$A$2:$A$379,$A11,_book!$B$2:$B$379,bkc_bu,_book!$C$2:$C$379,bkc_state)/SUMIFS(_book!$F$2:$F$379,_book!$A$2:$A$379,$A11,_book!$B$2:$B$379,bkc_bu,_book!$C$2:$C$379,bkc_state))</f>
        <v>0.99900474008271234</v>
      </c>
      <c r="F11" s="71">
        <f>IF(SUMIFS(_book!$F$2:$F$379,_book!$A$2:$A$379,$A11,_book!$B$2:$B$379,bkc_bu,_book!$C$2:$C$379,bkc_state)=0,"—",SUMIFS(_book!$AL$2:$AL$379,_book!$A$2:$A$379,$A11,_book!$B$2:$B$379,bkc_bu,_book!$C$2:$C$379,bkc_state)/SUMIFS(_book!$F$2:$F$379,_book!$A$2:$A$379,$A11,_book!$B$2:$B$379,bkc_bu,_book!$C$2:$C$379,bkc_state))</f>
        <v>1.0083886004200968</v>
      </c>
      <c r="G11" s="72">
        <f>IF(SUMIFS(_book!$F$2:$F$379,_book!$A$2:$A$379,$A11,_book!$B$2:$B$379,bkc_bu,_book!$C$2:$C$379,bkc_state)=0,"—",SUMIFS(_book!$AO$2:$AO$379,_book!$A$2:$A$379,$A11,_book!$B$2:$B$379,bkc_bu,_book!$C$2:$C$379,bkc_state)/SUMIFS(_book!$F$2:$F$379,_book!$A$2:$A$379,$A11,_book!$B$2:$B$379,bkc_bu,_book!$C$2:$C$379,bkc_state))</f>
        <v>0.55626537671788179</v>
      </c>
      <c r="H11" s="70">
        <f>IF(SUMIFS(_book!$F$2:$F$379,_book!$A$2:$A$379,$A11,_book!$B$2:$B$379,bkc_bu,_book!$C$2:$C$379,bkc_state)=0,"—",SUMIFS(_book!$AP$2:$AP$379,_book!$A$2:$A$379,$A11,_book!$B$2:$B$379,bkc_bu,_book!$C$2:$C$379,bkc_state)/SUMIFS(_book!$F$2:$F$379,_book!$A$2:$A$379,$A11,_book!$B$2:$B$379,bkc_bu,_book!$C$2:$C$379,bkc_state))</f>
        <v>0.54742503959731037</v>
      </c>
      <c r="I11" s="70">
        <f>IF(SUMIFS(_book!$F$2:$F$379,_book!$A$2:$A$379,$A11,_book!$B$2:$B$379,bkc_bu,_book!$C$2:$C$379,bkc_state)=0,"—",SUMIFS(_book!$AT$2:$AT$379,_book!$A$2:$A$379,$A11,_book!$B$2:$B$379,bkc_bu,_book!$C$2:$C$379,bkc_state)/SUMIFS(_book!$F$2:$F$379,_book!$A$2:$A$379,$A11,_book!$B$2:$B$379,bkc_bu,_book!$C$2:$C$379,bkc_state))</f>
        <v>0.55620032495913985</v>
      </c>
      <c r="J11" s="73">
        <f>IF(SUMIFS(_book!$V$2:$V$379,_book!$A$2:$A$379,$A11,_book!$B$2:$B$379,bkc_bu,_book!$C$2:$C$379,bkc_state)=0,"—",($I11-$G11)*100)</f>
        <v>-6.5051758741940802E-3</v>
      </c>
      <c r="K11" s="68">
        <f>SUMIFS(_book!$V$2:$V$379,_book!$A$2:$A$379,$A11,_book!$B$2:$B$379,bkc_bu,_book!$C$2:$C$379,bkc_state)</f>
        <v>1</v>
      </c>
    </row>
    <row r="12" spans="1:11" x14ac:dyDescent="0.3">
      <c r="A12" s="23" t="s">
        <v>32</v>
      </c>
      <c r="B12" s="68">
        <f>COUNTIFS(_book!$D$2:$D$379,"?*",_book!$A$2:$A$379,$A12,_book!$B$2:$B$379,bkc_bu,_book!$C$2:$C$379,bkc_state)</f>
        <v>63</v>
      </c>
      <c r="C12" s="69">
        <f>SUMIFS(_book!$F$2:$F$379,_book!$A$2:$A$379,$A12,_book!$B$2:$B$379,bkc_bu,_book!$C$2:$C$379,bkc_state)</f>
        <v>804000</v>
      </c>
      <c r="D12" s="70">
        <f>IF(SUMIFS(_book!$F$2:$F$379,_book!$A$2:$A$379,$A12,_book!$B$2:$B$379,bkc_bu,_book!$C$2:$C$379,bkc_state)=0,"—",SUMIFS(_book!$AN$2:$AN$379,_book!$A$2:$A$379,$A12,_book!$B$2:$B$379,bkc_bu,_book!$C$2:$C$379,bkc_state)/SUMIFS(_book!$F$2:$F$379,_book!$A$2:$A$379,$A12,_book!$B$2:$B$379,bkc_bu,_book!$C$2:$C$379,bkc_state))</f>
        <v>0.58183243781094529</v>
      </c>
      <c r="E12" s="71">
        <f>IF(SUMIFS(_book!$F$2:$F$379,_book!$A$2:$A$379,$A12,_book!$B$2:$B$379,bkc_bu,_book!$C$2:$C$379,bkc_state)=0,"—",SUMIFS(_book!$AK$2:$AK$379,_book!$A$2:$A$379,$A12,_book!$B$2:$B$379,bkc_bu,_book!$C$2:$C$379,bkc_state)/SUMIFS(_book!$F$2:$F$379,_book!$A$2:$A$379,$A12,_book!$B$2:$B$379,bkc_bu,_book!$C$2:$C$379,bkc_state))</f>
        <v>0.99391591955064729</v>
      </c>
      <c r="F12" s="71">
        <f>IF(SUMIFS(_book!$F$2:$F$379,_book!$A$2:$A$379,$A12,_book!$B$2:$B$379,bkc_bu,_book!$C$2:$C$379,bkc_state)=0,"—",SUMIFS(_book!$AL$2:$AL$379,_book!$A$2:$A$379,$A12,_book!$B$2:$B$379,bkc_bu,_book!$C$2:$C$379,bkc_state)/SUMIFS(_book!$F$2:$F$379,_book!$A$2:$A$379,$A12,_book!$B$2:$B$379,bkc_bu,_book!$C$2:$C$379,bkc_state))</f>
        <v>1.0077615247483893</v>
      </c>
      <c r="G12" s="72">
        <f>IF(SUMIFS(_book!$F$2:$F$379,_book!$A$2:$A$379,$A12,_book!$B$2:$B$379,bkc_bu,_book!$C$2:$C$379,bkc_state)=0,"—",SUMIFS(_book!$AO$2:$AO$379,_book!$A$2:$A$379,$A12,_book!$B$2:$B$379,bkc_bu,_book!$C$2:$C$379,bkc_state)/SUMIFS(_book!$F$2:$F$379,_book!$A$2:$A$379,$A12,_book!$B$2:$B$379,bkc_bu,_book!$C$2:$C$379,bkc_state))</f>
        <v>0.58296348445358914</v>
      </c>
      <c r="H12" s="70">
        <f>IF(SUMIFS(_book!$F$2:$F$379,_book!$A$2:$A$379,$A12,_book!$B$2:$B$379,bkc_bu,_book!$C$2:$C$379,bkc_state)=0,"—",SUMIFS(_book!$AP$2:$AP$379,_book!$A$2:$A$379,$A12,_book!$B$2:$B$379,bkc_bu,_book!$C$2:$C$379,bkc_state)/SUMIFS(_book!$F$2:$F$379,_book!$A$2:$A$379,$A12,_book!$B$2:$B$379,bkc_bu,_book!$C$2:$C$379,bkc_state))</f>
        <v>0.57629344245090786</v>
      </c>
      <c r="I12" s="70">
        <f>IF(SUMIFS(_book!$F$2:$F$379,_book!$A$2:$A$379,$A12,_book!$B$2:$B$379,bkc_bu,_book!$C$2:$C$379,bkc_state)=0,"—",SUMIFS(_book!$AT$2:$AT$379,_book!$A$2:$A$379,$A12,_book!$B$2:$B$379,bkc_bu,_book!$C$2:$C$379,bkc_state)/SUMIFS(_book!$F$2:$F$379,_book!$A$2:$A$379,$A12,_book!$B$2:$B$379,bkc_bu,_book!$C$2:$C$379,bkc_state))</f>
        <v>0.5828536086844659</v>
      </c>
      <c r="J12" s="73">
        <f>IF(SUMIFS(_book!$V$2:$V$379,_book!$A$2:$A$379,$A12,_book!$B$2:$B$379,bkc_bu,_book!$C$2:$C$379,bkc_state)=0,"—",($I12-$G12)*100)</f>
        <v>-1.0987576912324659E-2</v>
      </c>
      <c r="K12" s="68">
        <f>SUMIFS(_book!$V$2:$V$379,_book!$A$2:$A$379,$A12,_book!$B$2:$B$379,bkc_bu,_book!$C$2:$C$379,bkc_state)</f>
        <v>1</v>
      </c>
    </row>
    <row r="13" spans="1:11" x14ac:dyDescent="0.3">
      <c r="A13" s="74" t="s">
        <v>90</v>
      </c>
      <c r="B13" s="54">
        <f>COUNTIFS(_book!$D$2:$D$379,"?*",_book!$B$2:$B$379,bkc_bu,_book!$C$2:$C$379,bkc_state)</f>
        <v>378</v>
      </c>
      <c r="C13" s="52">
        <f>SUMIFS(_book!$F$2:$F$379,_book!$B$2:$B$379,bkc_bu,_book!$C$2:$C$379,bkc_state)</f>
        <v>17085000</v>
      </c>
      <c r="D13" s="56">
        <f>IF(SUMIFS(_book!$F$2:$F$379,_book!$B$2:$B$379,bkc_bu,_book!$C$2:$C$379,bkc_state)=0,"n/a",SUMIFS(_book!$AN$2:$AN$379,_book!$B$2:$B$379,bkc_bu,_book!$C$2:$C$379,bkc_state)/SUMIFS(_book!$F$2:$F$379,_book!$B$2:$B$379,bkc_bu,_book!$C$2:$C$379,bkc_state))</f>
        <v>0.63321728065554583</v>
      </c>
      <c r="E13" s="55">
        <f>IF(SUMIFS(_book!$F$2:$F$379,_book!$B$2:$B$379,bkc_bu,_book!$C$2:$C$379,bkc_state)=0,"n/a",SUMIFS(_book!$AK$2:$AK$379,_book!$B$2:$B$379,bkc_bu,_book!$C$2:$C$379,bkc_state)/SUMIFS(_book!$F$2:$F$379,_book!$B$2:$B$379,bkc_bu,_book!$C$2:$C$379,bkc_state))</f>
        <v>0.99877491135968011</v>
      </c>
      <c r="F13" s="55">
        <f>IF(SUMIFS(_book!$F$2:$F$379,_book!$B$2:$B$379,bkc_bu,_book!$C$2:$C$379,bkc_state)=0,"n/a",SUMIFS(_book!$AL$2:$AL$379,_book!$B$2:$B$379,bkc_bu,_book!$C$2:$C$379,bkc_state)/SUMIFS(_book!$F$2:$F$379,_book!$B$2:$B$379,bkc_bu,_book!$C$2:$C$379,bkc_state))</f>
        <v>1.0090431406727232</v>
      </c>
      <c r="G13" s="57">
        <f>IF(SUMIFS(_book!$F$2:$F$379,_book!$B$2:$B$379,bkc_bu,_book!$C$2:$C$379,bkc_state)=0,"n/a",SUMIFS(_book!$AO$2:$AO$379,_book!$B$2:$B$379,bkc_bu,_book!$C$2:$C$379,bkc_state)/SUMIFS(_book!$F$2:$F$379,_book!$B$2:$B$379,bkc_bu,_book!$C$2:$C$379,bkc_state))</f>
        <v>0.6383994815534072</v>
      </c>
      <c r="H13" s="56">
        <f>IF(SUMIFS(_book!$F$2:$F$379,_book!$B$2:$B$379,bkc_bu,_book!$C$2:$C$379,bkc_state)=0,"n/a",SUMIFS(_book!$AP$2:$AP$379,_book!$B$2:$B$379,bkc_bu,_book!$C$2:$C$379,bkc_state)/SUMIFS(_book!$F$2:$F$379,_book!$B$2:$B$379,bkc_bu,_book!$C$2:$C$379,bkc_state))</f>
        <v>0.62825697156966254</v>
      </c>
      <c r="I13" s="56">
        <f>IF(SUMIFS(_book!$F$2:$F$379,_book!$B$2:$B$379,bkc_bu,_book!$C$2:$C$379,bkc_state)=0,"n/a",SUMIFS(_book!$AT$2:$AT$379,_book!$B$2:$B$379,bkc_bu,_book!$C$2:$C$379,bkc_state)/SUMIFS(_book!$F$2:$F$379,_book!$B$2:$B$379,bkc_bu,_book!$C$2:$C$379,bkc_state))</f>
        <v>0.63832189345225843</v>
      </c>
      <c r="J13" s="58">
        <f>IF($C13=0,"",($I13-$G13)*100)</f>
        <v>-7.7588101148773347E-3</v>
      </c>
      <c r="K13" s="54">
        <f>SUMIFS(_book!$V$2:$V$379,_book!$B$2:$B$379,bkc_bu,_book!$C$2:$C$379,bkc_state)</f>
        <v>6</v>
      </c>
    </row>
    <row r="14" spans="1:11" x14ac:dyDescent="0.3">
      <c r="A14" s="9" t="str">
        <f>"Mix / interaction: "&amp;TEXT($G13-$D13*$E13*$F13,"+0.00%;-0.00%;0.00%")&amp;" — the EP-weighted plan LR minus the product of the EP-weighted factors above it."</f>
        <v>Mix / interaction: +0.02% — the EP-weighted plan LR minus the product of the EP-weighted factors above it.</v>
      </c>
    </row>
    <row r="17" spans="1:11" ht="15.6" x14ac:dyDescent="0.3">
      <c r="A17" s="3" t="s">
        <v>156</v>
      </c>
    </row>
    <row r="18" spans="1:11" ht="28.8" x14ac:dyDescent="0.3">
      <c r="A18" s="19"/>
      <c r="B18" s="19" t="s">
        <v>71</v>
      </c>
      <c r="C18" s="19" t="s">
        <v>106</v>
      </c>
      <c r="D18" s="19" t="s">
        <v>142</v>
      </c>
      <c r="E18" s="19" t="s">
        <v>143</v>
      </c>
      <c r="F18" s="19" t="s">
        <v>144</v>
      </c>
      <c r="G18" s="19" t="s">
        <v>146</v>
      </c>
      <c r="H18" s="19" t="s">
        <v>132</v>
      </c>
      <c r="I18" s="19" t="s">
        <v>150</v>
      </c>
      <c r="J18" s="19" t="s">
        <v>134</v>
      </c>
      <c r="K18" s="19" t="s">
        <v>155</v>
      </c>
    </row>
    <row r="19" spans="1:11" x14ac:dyDescent="0.3">
      <c r="A19" s="23" t="s">
        <v>42</v>
      </c>
      <c r="B19" s="68">
        <f>COUNTIFS(_book!$D$2:$D$379,"?*",_book!$B$2:$B$379,$A19,_book!$A$2:$A$379,bkc_lob,_book!$C$2:$C$379,bkc_state)</f>
        <v>126</v>
      </c>
      <c r="C19" s="69">
        <f>SUMIFS(_book!$F$2:$F$379,_book!$B$2:$B$379,$A19,_book!$A$2:$A$379,bkc_lob,_book!$C$2:$C$379,bkc_state)</f>
        <v>5627000</v>
      </c>
      <c r="D19" s="70">
        <f>IF(SUMIFS(_book!$F$2:$F$379,_book!$B$2:$B$379,$A19,_book!$A$2:$A$379,bkc_lob,_book!$C$2:$C$379,bkc_state)=0,"—",SUMIFS(_book!$AN$2:$AN$379,_book!$B$2:$B$379,$A19,_book!$A$2:$A$379,bkc_lob,_book!$C$2:$C$379,bkc_state)/SUMIFS(_book!$F$2:$F$379,_book!$B$2:$B$379,$A19,_book!$A$2:$A$379,bkc_lob,_book!$C$2:$C$379,bkc_state))</f>
        <v>0.63311480362537764</v>
      </c>
      <c r="E19" s="71">
        <f>IF(SUMIFS(_book!$F$2:$F$379,_book!$B$2:$B$379,$A19,_book!$A$2:$A$379,bkc_lob,_book!$C$2:$C$379,bkc_state)=0,"—",SUMIFS(_book!$AK$2:$AK$379,_book!$B$2:$B$379,$A19,_book!$A$2:$A$379,bkc_lob,_book!$C$2:$C$379,bkc_state)/SUMIFS(_book!$F$2:$F$379,_book!$B$2:$B$379,$A19,_book!$A$2:$A$379,bkc_lob,_book!$C$2:$C$379,bkc_state))</f>
        <v>1.0004809213949089</v>
      </c>
      <c r="F19" s="71">
        <f>IF(SUMIFS(_book!$F$2:$F$379,_book!$B$2:$B$379,$A19,_book!$A$2:$A$379,bkc_lob,_book!$C$2:$C$379,bkc_state)=0,"—",SUMIFS(_book!$AL$2:$AL$379,_book!$B$2:$B$379,$A19,_book!$A$2:$A$379,bkc_lob,_book!$C$2:$C$379,bkc_state)/SUMIFS(_book!$F$2:$F$379,_book!$B$2:$B$379,$A19,_book!$A$2:$A$379,bkc_lob,_book!$C$2:$C$379,bkc_state))</f>
        <v>1.0085278002300557</v>
      </c>
      <c r="G19" s="72">
        <f>IF(SUMIFS(_book!$F$2:$F$379,_book!$B$2:$B$379,$A19,_book!$A$2:$A$379,bkc_lob,_book!$C$2:$C$379,bkc_state)=0,"—",SUMIFS(_book!$AO$2:$AO$379,_book!$B$2:$B$379,$A19,_book!$A$2:$A$379,bkc_lob,_book!$C$2:$C$379,bkc_state)/SUMIFS(_book!$F$2:$F$379,_book!$B$2:$B$379,$A19,_book!$A$2:$A$379,bkc_lob,_book!$C$2:$C$379,bkc_state))</f>
        <v>0.63882213776635333</v>
      </c>
      <c r="H19" s="70">
        <f>IF(SUMIFS(_book!$F$2:$F$379,_book!$B$2:$B$379,$A19,_book!$A$2:$A$379,bkc_lob,_book!$C$2:$C$379,bkc_state)=0,"—",SUMIFS(_book!$AP$2:$AP$379,_book!$B$2:$B$379,$A19,_book!$A$2:$A$379,bkc_lob,_book!$C$2:$C$379,bkc_state)/SUMIFS(_book!$F$2:$F$379,_book!$B$2:$B$379,$A19,_book!$A$2:$A$379,bkc_lob,_book!$C$2:$C$379,bkc_state))</f>
        <v>0.62827904641621501</v>
      </c>
      <c r="I19" s="70">
        <f>IF(SUMIFS(_book!$F$2:$F$379,_book!$B$2:$B$379,$A19,_book!$A$2:$A$379,bkc_lob,_book!$C$2:$C$379,bkc_state)=0,"—",SUMIFS(_book!$AT$2:$AT$379,_book!$B$2:$B$379,$A19,_book!$A$2:$A$379,bkc_lob,_book!$C$2:$C$379,bkc_state)/SUMIFS(_book!$F$2:$F$379,_book!$B$2:$B$379,$A19,_book!$A$2:$A$379,bkc_lob,_book!$C$2:$C$379,bkc_state))</f>
        <v>0.63882213776635333</v>
      </c>
      <c r="J19" s="73" t="str">
        <f>IF(SUMIFS(_book!$V$2:$V$379,_book!$B$2:$B$379,$A19,_book!$A$2:$A$379,bkc_lob,_book!$C$2:$C$379,bkc_state)=0,"—",($I19-$G19)*100)</f>
        <v>—</v>
      </c>
      <c r="K19" s="68">
        <f>SUMIFS(_book!$V$2:$V$379,_book!$B$2:$B$379,$A19,_book!$A$2:$A$379,bkc_lob,_book!$C$2:$C$379,bkc_state)</f>
        <v>0</v>
      </c>
    </row>
    <row r="20" spans="1:11" x14ac:dyDescent="0.3">
      <c r="A20" s="23" t="s">
        <v>45</v>
      </c>
      <c r="B20" s="68">
        <f>COUNTIFS(_book!$D$2:$D$379,"?*",_book!$B$2:$B$379,$A20,_book!$A$2:$A$379,bkc_lob,_book!$C$2:$C$379,bkc_state)</f>
        <v>126</v>
      </c>
      <c r="C20" s="69">
        <f>SUMIFS(_book!$F$2:$F$379,_book!$B$2:$B$379,$A20,_book!$A$2:$A$379,bkc_lob,_book!$C$2:$C$379,bkc_state)</f>
        <v>5695000</v>
      </c>
      <c r="D20" s="70">
        <f>IF(SUMIFS(_book!$F$2:$F$379,_book!$B$2:$B$379,$A20,_book!$A$2:$A$379,bkc_lob,_book!$C$2:$C$379,bkc_state)=0,"—",SUMIFS(_book!$AN$2:$AN$379,_book!$B$2:$B$379,$A20,_book!$A$2:$A$379,bkc_lob,_book!$C$2:$C$379,bkc_state)/SUMIFS(_book!$F$2:$F$379,_book!$B$2:$B$379,$A20,_book!$A$2:$A$379,bkc_lob,_book!$C$2:$C$379,bkc_state))</f>
        <v>0.63408379982440732</v>
      </c>
      <c r="E20" s="71">
        <f>IF(SUMIFS(_book!$F$2:$F$379,_book!$B$2:$B$379,$A20,_book!$A$2:$A$379,bkc_lob,_book!$C$2:$C$379,bkc_state)=0,"—",SUMIFS(_book!$AK$2:$AK$379,_book!$B$2:$B$379,$A20,_book!$A$2:$A$379,bkc_lob,_book!$C$2:$C$379,bkc_state)/SUMIFS(_book!$F$2:$F$379,_book!$B$2:$B$379,$A20,_book!$A$2:$A$379,bkc_lob,_book!$C$2:$C$379,bkc_state))</f>
        <v>1.0006846313457938</v>
      </c>
      <c r="F20" s="71">
        <f>IF(SUMIFS(_book!$F$2:$F$379,_book!$B$2:$B$379,$A20,_book!$A$2:$A$379,bkc_lob,_book!$C$2:$C$379,bkc_state)=0,"—",SUMIFS(_book!$AL$2:$AL$379,_book!$B$2:$B$379,$A20,_book!$A$2:$A$379,bkc_lob,_book!$C$2:$C$379,bkc_state)/SUMIFS(_book!$F$2:$F$379,_book!$B$2:$B$379,$A20,_book!$A$2:$A$379,bkc_lob,_book!$C$2:$C$379,bkc_state))</f>
        <v>1.0093368713159931</v>
      </c>
      <c r="G20" s="72">
        <f>IF(SUMIFS(_book!$F$2:$F$379,_book!$B$2:$B$379,$A20,_book!$A$2:$A$379,bkc_lob,_book!$C$2:$C$379,bkc_state)=0,"—",SUMIFS(_book!$AO$2:$AO$379,_book!$B$2:$B$379,$A20,_book!$A$2:$A$379,bkc_lob,_book!$C$2:$C$379,bkc_state)/SUMIFS(_book!$F$2:$F$379,_book!$B$2:$B$379,$A20,_book!$A$2:$A$379,bkc_lob,_book!$C$2:$C$379,bkc_state))</f>
        <v>0.64117562398811789</v>
      </c>
      <c r="H20" s="70">
        <f>IF(SUMIFS(_book!$F$2:$F$379,_book!$B$2:$B$379,$A20,_book!$A$2:$A$379,bkc_lob,_book!$C$2:$C$379,bkc_state)=0,"—",SUMIFS(_book!$AP$2:$AP$379,_book!$B$2:$B$379,$A20,_book!$A$2:$A$379,bkc_lob,_book!$C$2:$C$379,bkc_state)/SUMIFS(_book!$F$2:$F$379,_book!$B$2:$B$379,$A20,_book!$A$2:$A$379,bkc_lob,_book!$C$2:$C$379,bkc_state))</f>
        <v>0.63164348541988224</v>
      </c>
      <c r="I20" s="70">
        <f>IF(SUMIFS(_book!$F$2:$F$379,_book!$B$2:$B$379,$A20,_book!$A$2:$A$379,bkc_lob,_book!$C$2:$C$379,bkc_state)=0,"—",SUMIFS(_book!$AT$2:$AT$379,_book!$B$2:$B$379,$A20,_book!$A$2:$A$379,bkc_lob,_book!$C$2:$C$379,bkc_state)/SUMIFS(_book!$F$2:$F$379,_book!$B$2:$B$379,$A20,_book!$A$2:$A$379,bkc_lob,_book!$C$2:$C$379,bkc_state))</f>
        <v>0.64117562398811789</v>
      </c>
      <c r="J20" s="73" t="str">
        <f>IF(SUMIFS(_book!$V$2:$V$379,_book!$B$2:$B$379,$A20,_book!$A$2:$A$379,bkc_lob,_book!$C$2:$C$379,bkc_state)=0,"—",($I20-$G20)*100)</f>
        <v>—</v>
      </c>
      <c r="K20" s="68">
        <f>SUMIFS(_book!$V$2:$V$379,_book!$B$2:$B$379,$A20,_book!$A$2:$A$379,bkc_lob,_book!$C$2:$C$379,bkc_state)</f>
        <v>0</v>
      </c>
    </row>
    <row r="21" spans="1:11" x14ac:dyDescent="0.3">
      <c r="A21" s="23" t="s">
        <v>47</v>
      </c>
      <c r="B21" s="68">
        <f>COUNTIFS(_book!$D$2:$D$379,"?*",_book!$B$2:$B$379,$A21,_book!$A$2:$A$379,bkc_lob,_book!$C$2:$C$379,bkc_state)</f>
        <v>126</v>
      </c>
      <c r="C21" s="69">
        <f>SUMIFS(_book!$F$2:$F$379,_book!$B$2:$B$379,$A21,_book!$A$2:$A$379,bkc_lob,_book!$C$2:$C$379,bkc_state)</f>
        <v>5763000</v>
      </c>
      <c r="D21" s="70">
        <f>IF(SUMIFS(_book!$F$2:$F$379,_book!$B$2:$B$379,$A21,_book!$A$2:$A$379,bkc_lob,_book!$C$2:$C$379,bkc_state)=0,"—",SUMIFS(_book!$AN$2:$AN$379,_book!$B$2:$B$379,$A21,_book!$A$2:$A$379,bkc_lob,_book!$C$2:$C$379,bkc_state)/SUMIFS(_book!$F$2:$F$379,_book!$B$2:$B$379,$A21,_book!$A$2:$A$379,bkc_lob,_book!$C$2:$C$379,bkc_state))</f>
        <v>0.6324610445948291</v>
      </c>
      <c r="E21" s="71">
        <f>IF(SUMIFS(_book!$F$2:$F$379,_book!$B$2:$B$379,$A21,_book!$A$2:$A$379,bkc_lob,_book!$C$2:$C$379,bkc_state)=0,"—",SUMIFS(_book!$AK$2:$AK$379,_book!$B$2:$B$379,$A21,_book!$A$2:$A$379,bkc_lob,_book!$C$2:$C$379,bkc_state)/SUMIFS(_book!$F$2:$F$379,_book!$B$2:$B$379,$A21,_book!$A$2:$A$379,bkc_lob,_book!$C$2:$C$379,bkc_state))</f>
        <v>0.99522197473133678</v>
      </c>
      <c r="F21" s="71">
        <f>IF(SUMIFS(_book!$F$2:$F$379,_book!$B$2:$B$379,$A21,_book!$A$2:$A$379,bkc_lob,_book!$C$2:$C$379,bkc_state)=0,"—",SUMIFS(_book!$AL$2:$AL$379,_book!$B$2:$B$379,$A21,_book!$A$2:$A$379,bkc_lob,_book!$C$2:$C$379,bkc_state)/SUMIFS(_book!$F$2:$F$379,_book!$B$2:$B$379,$A21,_book!$A$2:$A$379,bkc_lob,_book!$C$2:$C$379,bkc_state))</f>
        <v>1.0092560548940412</v>
      </c>
      <c r="G21" s="72">
        <f>IF(SUMIFS(_book!$F$2:$F$379,_book!$B$2:$B$379,$A21,_book!$A$2:$A$379,bkc_lob,_book!$C$2:$C$379,bkc_state)=0,"—",SUMIFS(_book!$AO$2:$AO$379,_book!$B$2:$B$379,$A21,_book!$A$2:$A$379,bkc_lob,_book!$C$2:$C$379,bkc_state)/SUMIFS(_book!$F$2:$F$379,_book!$B$2:$B$379,$A21,_book!$A$2:$A$379,bkc_lob,_book!$C$2:$C$379,bkc_state))</f>
        <v>0.63524341393655603</v>
      </c>
      <c r="H21" s="70">
        <f>IF(SUMIFS(_book!$F$2:$F$379,_book!$B$2:$B$379,$A21,_book!$A$2:$A$379,bkc_lob,_book!$C$2:$C$379,bkc_state)=0,"—",SUMIFS(_book!$AP$2:$AP$379,_book!$B$2:$B$379,$A21,_book!$A$2:$A$379,bkc_lob,_book!$C$2:$C$379,bkc_state)/SUMIFS(_book!$F$2:$F$379,_book!$B$2:$B$379,$A21,_book!$A$2:$A$379,bkc_lob,_book!$C$2:$C$379,bkc_state))</f>
        <v>0.62488886267871269</v>
      </c>
      <c r="I21" s="70">
        <f>IF(SUMIFS(_book!$F$2:$F$379,_book!$B$2:$B$379,$A21,_book!$A$2:$A$379,bkc_lob,_book!$C$2:$C$379,bkc_state)=0,"—",SUMIFS(_book!$AT$2:$AT$379,_book!$B$2:$B$379,$A21,_book!$A$2:$A$379,bkc_lob,_book!$C$2:$C$379,bkc_state)/SUMIFS(_book!$F$2:$F$379,_book!$B$2:$B$379,$A21,_book!$A$2:$A$379,bkc_lob,_book!$C$2:$C$379,bkc_state))</f>
        <v>0.63501339611456642</v>
      </c>
      <c r="J21" s="73">
        <f>IF(SUMIFS(_book!$V$2:$V$379,_book!$B$2:$B$379,$A21,_book!$A$2:$A$379,bkc_lob,_book!$C$2:$C$379,bkc_state)=0,"—",($I21-$G21)*100)</f>
        <v>-2.3001782198961429E-2</v>
      </c>
      <c r="K21" s="68">
        <f>SUMIFS(_book!$V$2:$V$379,_book!$B$2:$B$379,$A21,_book!$A$2:$A$379,bkc_lob,_book!$C$2:$C$379,bkc_state)</f>
        <v>6</v>
      </c>
    </row>
    <row r="22" spans="1:11" x14ac:dyDescent="0.3">
      <c r="A22" s="74" t="s">
        <v>90</v>
      </c>
      <c r="B22" s="54">
        <f>COUNTIFS(_book!$D$2:$D$379,"?*",_book!$A$2:$A$379,bkc_lob,_book!$C$2:$C$379,bkc_state)</f>
        <v>378</v>
      </c>
      <c r="C22" s="52">
        <f>SUMIFS(_book!$F$2:$F$379,_book!$A$2:$A$379,bkc_lob,_book!$C$2:$C$379,bkc_state)</f>
        <v>17085000</v>
      </c>
      <c r="D22" s="56">
        <f>IF(SUMIFS(_book!$F$2:$F$379,_book!$A$2:$A$379,bkc_lob,_book!$C$2:$C$379,bkc_state)=0,"n/a",SUMIFS(_book!$AN$2:$AN$379,_book!$A$2:$A$379,bkc_lob,_book!$C$2:$C$379,bkc_state)/SUMIFS(_book!$F$2:$F$379,_book!$A$2:$A$379,bkc_lob,_book!$C$2:$C$379,bkc_state))</f>
        <v>0.63321728065554583</v>
      </c>
      <c r="E22" s="55">
        <f>IF(SUMIFS(_book!$F$2:$F$379,_book!$A$2:$A$379,bkc_lob,_book!$C$2:$C$379,bkc_state)=0,"n/a",SUMIFS(_book!$AK$2:$AK$379,_book!$A$2:$A$379,bkc_lob,_book!$C$2:$C$379,bkc_state)/SUMIFS(_book!$F$2:$F$379,_book!$A$2:$A$379,bkc_lob,_book!$C$2:$C$379,bkc_state))</f>
        <v>0.99877491135968011</v>
      </c>
      <c r="F22" s="55">
        <f>IF(SUMIFS(_book!$F$2:$F$379,_book!$A$2:$A$379,bkc_lob,_book!$C$2:$C$379,bkc_state)=0,"n/a",SUMIFS(_book!$AL$2:$AL$379,_book!$A$2:$A$379,bkc_lob,_book!$C$2:$C$379,bkc_state)/SUMIFS(_book!$F$2:$F$379,_book!$A$2:$A$379,bkc_lob,_book!$C$2:$C$379,bkc_state))</f>
        <v>1.0090431406727232</v>
      </c>
      <c r="G22" s="57">
        <f>IF(SUMIFS(_book!$F$2:$F$379,_book!$A$2:$A$379,bkc_lob,_book!$C$2:$C$379,bkc_state)=0,"n/a",SUMIFS(_book!$AO$2:$AO$379,_book!$A$2:$A$379,bkc_lob,_book!$C$2:$C$379,bkc_state)/SUMIFS(_book!$F$2:$F$379,_book!$A$2:$A$379,bkc_lob,_book!$C$2:$C$379,bkc_state))</f>
        <v>0.6383994815534072</v>
      </c>
      <c r="H22" s="56">
        <f>IF(SUMIFS(_book!$F$2:$F$379,_book!$A$2:$A$379,bkc_lob,_book!$C$2:$C$379,bkc_state)=0,"n/a",SUMIFS(_book!$AP$2:$AP$379,_book!$A$2:$A$379,bkc_lob,_book!$C$2:$C$379,bkc_state)/SUMIFS(_book!$F$2:$F$379,_book!$A$2:$A$379,bkc_lob,_book!$C$2:$C$379,bkc_state))</f>
        <v>0.62825697156966254</v>
      </c>
      <c r="I22" s="56">
        <f>IF(SUMIFS(_book!$F$2:$F$379,_book!$A$2:$A$379,bkc_lob,_book!$C$2:$C$379,bkc_state)=0,"n/a",SUMIFS(_book!$AT$2:$AT$379,_book!$A$2:$A$379,bkc_lob,_book!$C$2:$C$379,bkc_state)/SUMIFS(_book!$F$2:$F$379,_book!$A$2:$A$379,bkc_lob,_book!$C$2:$C$379,bkc_state))</f>
        <v>0.63832189345225843</v>
      </c>
      <c r="J22" s="58">
        <f>IF($C22=0,"",($I22-$G22)*100)</f>
        <v>-7.7588101148773347E-3</v>
      </c>
      <c r="K22" s="54">
        <f>SUMIFS(_book!$V$2:$V$379,_book!$A$2:$A$379,bkc_lob,_book!$C$2:$C$379,bkc_state)</f>
        <v>6</v>
      </c>
    </row>
    <row r="23" spans="1:11" x14ac:dyDescent="0.3">
      <c r="A23" s="9" t="str">
        <f>"Mix / interaction: "&amp;TEXT($G22-$D22*$E22*$F22,"+0.00%;-0.00%;0.00%")&amp;" — the EP-weighted plan LR minus the product of the EP-weighted factors above it."</f>
        <v>Mix / interaction: +0.02% — the EP-weighted plan LR minus the product of the EP-weighted factors above it.</v>
      </c>
    </row>
    <row r="26" spans="1:11" ht="15.6" x14ac:dyDescent="0.3">
      <c r="A26" s="3" t="s">
        <v>157</v>
      </c>
    </row>
    <row r="27" spans="1:11" ht="28.8" x14ac:dyDescent="0.3">
      <c r="A27" s="19"/>
      <c r="B27" s="19" t="s">
        <v>71</v>
      </c>
      <c r="C27" s="19" t="s">
        <v>106</v>
      </c>
      <c r="D27" s="19" t="s">
        <v>142</v>
      </c>
      <c r="E27" s="19" t="s">
        <v>143</v>
      </c>
      <c r="F27" s="19" t="s">
        <v>144</v>
      </c>
      <c r="G27" s="19" t="s">
        <v>146</v>
      </c>
      <c r="H27" s="19" t="s">
        <v>132</v>
      </c>
      <c r="I27" s="19" t="s">
        <v>150</v>
      </c>
      <c r="J27" s="19" t="s">
        <v>134</v>
      </c>
      <c r="K27" s="19" t="s">
        <v>155</v>
      </c>
    </row>
    <row r="28" spans="1:11" x14ac:dyDescent="0.3">
      <c r="A28" s="23" t="s">
        <v>43</v>
      </c>
      <c r="B28" s="68">
        <f>COUNTIFS(_book!$D$2:$D$379,"?*",_book!$C$2:$C$379,$A28,_book!$A$2:$A$379,bkc_lob,_book!$B$2:$B$379,bkc_bu)</f>
        <v>18</v>
      </c>
      <c r="C28" s="69">
        <f>SUMIFS(_book!$F$2:$F$379,_book!$C$2:$C$379,$A28,_book!$A$2:$A$379,bkc_lob,_book!$B$2:$B$379,bkc_bu)</f>
        <v>459000</v>
      </c>
      <c r="D28" s="70">
        <f>IF(SUMIFS(_book!$F$2:$F$379,_book!$C$2:$C$379,$A28,_book!$A$2:$A$379,bkc_lob,_book!$B$2:$B$379,bkc_bu)=0,"—",SUMIFS(_book!$AN$2:$AN$379,_book!$C$2:$C$379,$A28,_book!$A$2:$A$379,bkc_lob,_book!$B$2:$B$379,bkc_bu)/SUMIFS(_book!$F$2:$F$379,_book!$C$2:$C$379,$A28,_book!$A$2:$A$379,bkc_lob,_book!$B$2:$B$379,bkc_bu))</f>
        <v>0.64023747276688459</v>
      </c>
      <c r="E28" s="71">
        <f>IF(SUMIFS(_book!$F$2:$F$379,_book!$C$2:$C$379,$A28,_book!$A$2:$A$379,bkc_lob,_book!$B$2:$B$379,bkc_bu)=0,"—",SUMIFS(_book!$AK$2:$AK$379,_book!$C$2:$C$379,$A28,_book!$A$2:$A$379,bkc_lob,_book!$B$2:$B$379,bkc_bu)/SUMIFS(_book!$F$2:$F$379,_book!$C$2:$C$379,$A28,_book!$A$2:$A$379,bkc_lob,_book!$B$2:$B$379,bkc_bu))</f>
        <v>0.99631274847530726</v>
      </c>
      <c r="F28" s="71">
        <f>IF(SUMIFS(_book!$F$2:$F$379,_book!$C$2:$C$379,$A28,_book!$A$2:$A$379,bkc_lob,_book!$B$2:$B$379,bkc_bu)=0,"—",SUMIFS(_book!$AL$2:$AL$379,_book!$C$2:$C$379,$A28,_book!$A$2:$A$379,bkc_lob,_book!$B$2:$B$379,bkc_bu)/SUMIFS(_book!$F$2:$F$379,_book!$C$2:$C$379,$A28,_book!$A$2:$A$379,bkc_lob,_book!$B$2:$B$379,bkc_bu))</f>
        <v>1.0037576523036658</v>
      </c>
      <c r="G28" s="72">
        <f>IF(SUMIFS(_book!$F$2:$F$379,_book!$C$2:$C$379,$A28,_book!$A$2:$A$379,bkc_lob,_book!$B$2:$B$379,bkc_bu)=0,"—",SUMIFS(_book!$AO$2:$AO$379,_book!$C$2:$C$379,$A28,_book!$A$2:$A$379,bkc_lob,_book!$B$2:$B$379,bkc_bu)/SUMIFS(_book!$F$2:$F$379,_book!$C$2:$C$379,$A28,_book!$A$2:$A$379,bkc_lob,_book!$B$2:$B$379,bkc_bu))</f>
        <v>0.64024221094235145</v>
      </c>
      <c r="H28" s="70">
        <f>IF(SUMIFS(_book!$F$2:$F$379,_book!$C$2:$C$379,$A28,_book!$A$2:$A$379,bkc_lob,_book!$B$2:$B$379,bkc_bu)=0,"—",SUMIFS(_book!$AP$2:$AP$379,_book!$C$2:$C$379,$A28,_book!$A$2:$A$379,bkc_lob,_book!$B$2:$B$379,bkc_bu)/SUMIFS(_book!$F$2:$F$379,_book!$C$2:$C$379,$A28,_book!$A$2:$A$379,bkc_lob,_book!$B$2:$B$379,bkc_bu))</f>
        <v>0.62489153273140996</v>
      </c>
      <c r="I28" s="70">
        <f>IF(SUMIFS(_book!$F$2:$F$379,_book!$C$2:$C$379,$A28,_book!$A$2:$A$379,bkc_lob,_book!$B$2:$B$379,bkc_bu)=0,"—",SUMIFS(_book!$AT$2:$AT$379,_book!$C$2:$C$379,$A28,_book!$A$2:$A$379,bkc_lob,_book!$B$2:$B$379,bkc_bu)/SUMIFS(_book!$F$2:$F$379,_book!$C$2:$C$379,$A28,_book!$A$2:$A$379,bkc_lob,_book!$B$2:$B$379,bkc_bu))</f>
        <v>0.64024221094235145</v>
      </c>
      <c r="J28" s="73" t="str">
        <f>IF(SUMIFS(_book!$V$2:$V$379,_book!$C$2:$C$379,$A28,_book!$A$2:$A$379,bkc_lob,_book!$B$2:$B$379,bkc_bu)=0,"—",($I28-$G28)*100)</f>
        <v>—</v>
      </c>
      <c r="K28" s="68">
        <f>SUMIFS(_book!$V$2:$V$379,_book!$C$2:$C$379,$A28,_book!$A$2:$A$379,bkc_lob,_book!$B$2:$B$379,bkc_bu)</f>
        <v>0</v>
      </c>
    </row>
    <row r="29" spans="1:11" x14ac:dyDescent="0.3">
      <c r="A29" s="23" t="s">
        <v>46</v>
      </c>
      <c r="B29" s="68">
        <f>COUNTIFS(_book!$D$2:$D$379,"?*",_book!$C$2:$C$379,$A29,_book!$A$2:$A$379,bkc_lob,_book!$B$2:$B$379,bkc_bu)</f>
        <v>18</v>
      </c>
      <c r="C29" s="69">
        <f>SUMIFS(_book!$F$2:$F$379,_book!$C$2:$C$379,$A29,_book!$A$2:$A$379,bkc_lob,_book!$B$2:$B$379,bkc_bu)</f>
        <v>1122000</v>
      </c>
      <c r="D29" s="70">
        <f>IF(SUMIFS(_book!$F$2:$F$379,_book!$C$2:$C$379,$A29,_book!$A$2:$A$379,bkc_lob,_book!$B$2:$B$379,bkc_bu)=0,"—",SUMIFS(_book!$AN$2:$AN$379,_book!$C$2:$C$379,$A29,_book!$A$2:$A$379,bkc_lob,_book!$B$2:$B$379,bkc_bu)/SUMIFS(_book!$F$2:$F$379,_book!$C$2:$C$379,$A29,_book!$A$2:$A$379,bkc_lob,_book!$B$2:$B$379,bkc_bu))</f>
        <v>0.64250288770053476</v>
      </c>
      <c r="E29" s="71">
        <f>IF(SUMIFS(_book!$F$2:$F$379,_book!$C$2:$C$379,$A29,_book!$A$2:$A$379,bkc_lob,_book!$B$2:$B$379,bkc_bu)=0,"—",SUMIFS(_book!$AK$2:$AK$379,_book!$C$2:$C$379,$A29,_book!$A$2:$A$379,bkc_lob,_book!$B$2:$B$379,bkc_bu)/SUMIFS(_book!$F$2:$F$379,_book!$C$2:$C$379,$A29,_book!$A$2:$A$379,bkc_lob,_book!$B$2:$B$379,bkc_bu))</f>
        <v>1.0017141087658592</v>
      </c>
      <c r="F29" s="71">
        <f>IF(SUMIFS(_book!$F$2:$F$379,_book!$C$2:$C$379,$A29,_book!$A$2:$A$379,bkc_lob,_book!$B$2:$B$379,bkc_bu)=0,"—",SUMIFS(_book!$AL$2:$AL$379,_book!$C$2:$C$379,$A29,_book!$A$2:$A$379,bkc_lob,_book!$B$2:$B$379,bkc_bu)/SUMIFS(_book!$F$2:$F$379,_book!$C$2:$C$379,$A29,_book!$A$2:$A$379,bkc_lob,_book!$B$2:$B$379,bkc_bu))</f>
        <v>1.0097775494285692</v>
      </c>
      <c r="G29" s="72">
        <f>IF(SUMIFS(_book!$F$2:$F$379,_book!$C$2:$C$379,$A29,_book!$A$2:$A$379,bkc_lob,_book!$B$2:$B$379,bkc_bu)=0,"—",SUMIFS(_book!$AO$2:$AO$379,_book!$C$2:$C$379,$A29,_book!$A$2:$A$379,bkc_lob,_book!$B$2:$B$379,bkc_bu)/SUMIFS(_book!$F$2:$F$379,_book!$C$2:$C$379,$A29,_book!$A$2:$A$379,bkc_lob,_book!$B$2:$B$379,bkc_bu))</f>
        <v>0.6499759959194179</v>
      </c>
      <c r="H29" s="70">
        <f>IF(SUMIFS(_book!$F$2:$F$379,_book!$C$2:$C$379,$A29,_book!$A$2:$A$379,bkc_lob,_book!$B$2:$B$379,bkc_bu)=0,"—",SUMIFS(_book!$AP$2:$AP$379,_book!$C$2:$C$379,$A29,_book!$A$2:$A$379,bkc_lob,_book!$B$2:$B$379,bkc_bu)/SUMIFS(_book!$F$2:$F$379,_book!$C$2:$C$379,$A29,_book!$A$2:$A$379,bkc_lob,_book!$B$2:$B$379,bkc_bu))</f>
        <v>0.64081577125842459</v>
      </c>
      <c r="I29" s="70">
        <f>IF(SUMIFS(_book!$F$2:$F$379,_book!$C$2:$C$379,$A29,_book!$A$2:$A$379,bkc_lob,_book!$B$2:$B$379,bkc_bu)=0,"—",SUMIFS(_book!$AT$2:$AT$379,_book!$C$2:$C$379,$A29,_book!$A$2:$A$379,bkc_lob,_book!$B$2:$B$379,bkc_bu)/SUMIFS(_book!$F$2:$F$379,_book!$C$2:$C$379,$A29,_book!$A$2:$A$379,bkc_lob,_book!$B$2:$B$379,bkc_bu))</f>
        <v>0.6499759959194179</v>
      </c>
      <c r="J29" s="73" t="str">
        <f>IF(SUMIFS(_book!$V$2:$V$379,_book!$C$2:$C$379,$A29,_book!$A$2:$A$379,bkc_lob,_book!$B$2:$B$379,bkc_bu)=0,"—",($I29-$G29)*100)</f>
        <v>—</v>
      </c>
      <c r="K29" s="68">
        <f>SUMIFS(_book!$V$2:$V$379,_book!$C$2:$C$379,$A29,_book!$A$2:$A$379,bkc_lob,_book!$B$2:$B$379,bkc_bu)</f>
        <v>0</v>
      </c>
    </row>
    <row r="30" spans="1:11" x14ac:dyDescent="0.3">
      <c r="A30" s="23" t="s">
        <v>48</v>
      </c>
      <c r="B30" s="68">
        <f>COUNTIFS(_book!$D$2:$D$379,"?*",_book!$C$2:$C$379,$A30,_book!$A$2:$A$379,bkc_lob,_book!$B$2:$B$379,bkc_bu)</f>
        <v>18</v>
      </c>
      <c r="C30" s="69">
        <f>SUMIFS(_book!$F$2:$F$379,_book!$C$2:$C$379,$A30,_book!$A$2:$A$379,bkc_lob,_book!$B$2:$B$379,bkc_bu)</f>
        <v>918000</v>
      </c>
      <c r="D30" s="70">
        <f>IF(SUMIFS(_book!$F$2:$F$379,_book!$C$2:$C$379,$A30,_book!$A$2:$A$379,bkc_lob,_book!$B$2:$B$379,bkc_bu)=0,"—",SUMIFS(_book!$AN$2:$AN$379,_book!$C$2:$C$379,$A30,_book!$A$2:$A$379,bkc_lob,_book!$B$2:$B$379,bkc_bu)/SUMIFS(_book!$F$2:$F$379,_book!$C$2:$C$379,$A30,_book!$A$2:$A$379,bkc_lob,_book!$B$2:$B$379,bkc_bu))</f>
        <v>0.62481699346405228</v>
      </c>
      <c r="E30" s="71">
        <f>IF(SUMIFS(_book!$F$2:$F$379,_book!$C$2:$C$379,$A30,_book!$A$2:$A$379,bkc_lob,_book!$B$2:$B$379,bkc_bu)=0,"—",SUMIFS(_book!$AK$2:$AK$379,_book!$C$2:$C$379,$A30,_book!$A$2:$A$379,bkc_lob,_book!$B$2:$B$379,bkc_bu)/SUMIFS(_book!$F$2:$F$379,_book!$C$2:$C$379,$A30,_book!$A$2:$A$379,bkc_lob,_book!$B$2:$B$379,bkc_bu))</f>
        <v>0.99840915230712024</v>
      </c>
      <c r="F30" s="71">
        <f>IF(SUMIFS(_book!$F$2:$F$379,_book!$C$2:$C$379,$A30,_book!$A$2:$A$379,bkc_lob,_book!$B$2:$B$379,bkc_bu)=0,"—",SUMIFS(_book!$AL$2:$AL$379,_book!$C$2:$C$379,$A30,_book!$A$2:$A$379,bkc_lob,_book!$B$2:$B$379,bkc_bu)/SUMIFS(_book!$F$2:$F$379,_book!$C$2:$C$379,$A30,_book!$A$2:$A$379,bkc_lob,_book!$B$2:$B$379,bkc_bu))</f>
        <v>1.0039480770928413</v>
      </c>
      <c r="G30" s="72">
        <f>IF(SUMIFS(_book!$F$2:$F$379,_book!$C$2:$C$379,$A30,_book!$A$2:$A$379,bkc_lob,_book!$B$2:$B$379,bkc_bu)=0,"—",SUMIFS(_book!$AO$2:$AO$379,_book!$C$2:$C$379,$A30,_book!$A$2:$A$379,bkc_lob,_book!$B$2:$B$379,bkc_bu)/SUMIFS(_book!$F$2:$F$379,_book!$C$2:$C$379,$A30,_book!$A$2:$A$379,bkc_lob,_book!$B$2:$B$379,bkc_bu))</f>
        <v>0.6304937738222478</v>
      </c>
      <c r="H30" s="70">
        <f>IF(SUMIFS(_book!$F$2:$F$379,_book!$C$2:$C$379,$A30,_book!$A$2:$A$379,bkc_lob,_book!$B$2:$B$379,bkc_bu)=0,"—",SUMIFS(_book!$AP$2:$AP$379,_book!$C$2:$C$379,$A30,_book!$A$2:$A$379,bkc_lob,_book!$B$2:$B$379,bkc_bu)/SUMIFS(_book!$F$2:$F$379,_book!$C$2:$C$379,$A30,_book!$A$2:$A$379,bkc_lob,_book!$B$2:$B$379,bkc_bu))</f>
        <v>0.6140977501980297</v>
      </c>
      <c r="I30" s="70">
        <f>IF(SUMIFS(_book!$F$2:$F$379,_book!$C$2:$C$379,$A30,_book!$A$2:$A$379,bkc_lob,_book!$B$2:$B$379,bkc_bu)=0,"—",SUMIFS(_book!$AT$2:$AT$379,_book!$C$2:$C$379,$A30,_book!$A$2:$A$379,bkc_lob,_book!$B$2:$B$379,bkc_bu)/SUMIFS(_book!$F$2:$F$379,_book!$C$2:$C$379,$A30,_book!$A$2:$A$379,bkc_lob,_book!$B$2:$B$379,bkc_bu))</f>
        <v>0.6304937738222478</v>
      </c>
      <c r="J30" s="73" t="str">
        <f>IF(SUMIFS(_book!$V$2:$V$379,_book!$C$2:$C$379,$A30,_book!$A$2:$A$379,bkc_lob,_book!$B$2:$B$379,bkc_bu)=0,"—",($I30-$G30)*100)</f>
        <v>—</v>
      </c>
      <c r="K30" s="68">
        <f>SUMIFS(_book!$V$2:$V$379,_book!$C$2:$C$379,$A30,_book!$A$2:$A$379,bkc_lob,_book!$B$2:$B$379,bkc_bu)</f>
        <v>0</v>
      </c>
    </row>
    <row r="31" spans="1:11" x14ac:dyDescent="0.3">
      <c r="A31" s="23" t="s">
        <v>50</v>
      </c>
      <c r="B31" s="68">
        <f>COUNTIFS(_book!$D$2:$D$379,"?*",_book!$C$2:$C$379,$A31,_book!$A$2:$A$379,bkc_lob,_book!$B$2:$B$379,bkc_bu)</f>
        <v>18</v>
      </c>
      <c r="C31" s="69">
        <f>SUMIFS(_book!$F$2:$F$379,_book!$C$2:$C$379,$A31,_book!$A$2:$A$379,bkc_lob,_book!$B$2:$B$379,bkc_bu)</f>
        <v>714000</v>
      </c>
      <c r="D31" s="70">
        <f>IF(SUMIFS(_book!$F$2:$F$379,_book!$C$2:$C$379,$A31,_book!$A$2:$A$379,bkc_lob,_book!$B$2:$B$379,bkc_bu)=0,"—",SUMIFS(_book!$AN$2:$AN$379,_book!$C$2:$C$379,$A31,_book!$A$2:$A$379,bkc_lob,_book!$B$2:$B$379,bkc_bu)/SUMIFS(_book!$F$2:$F$379,_book!$C$2:$C$379,$A31,_book!$A$2:$A$379,bkc_lob,_book!$B$2:$B$379,bkc_bu))</f>
        <v>0.6380868347338936</v>
      </c>
      <c r="E31" s="71">
        <f>IF(SUMIFS(_book!$F$2:$F$379,_book!$C$2:$C$379,$A31,_book!$A$2:$A$379,bkc_lob,_book!$B$2:$B$379,bkc_bu)=0,"—",SUMIFS(_book!$AK$2:$AK$379,_book!$C$2:$C$379,$A31,_book!$A$2:$A$379,bkc_lob,_book!$B$2:$B$379,bkc_bu)/SUMIFS(_book!$F$2:$F$379,_book!$C$2:$C$379,$A31,_book!$A$2:$A$379,bkc_lob,_book!$B$2:$B$379,bkc_bu))</f>
        <v>1.0007706094470166</v>
      </c>
      <c r="F31" s="71">
        <f>IF(SUMIFS(_book!$F$2:$F$379,_book!$C$2:$C$379,$A31,_book!$A$2:$A$379,bkc_lob,_book!$B$2:$B$379,bkc_bu)=0,"—",SUMIFS(_book!$AL$2:$AL$379,_book!$C$2:$C$379,$A31,_book!$A$2:$A$379,bkc_lob,_book!$B$2:$B$379,bkc_bu)/SUMIFS(_book!$F$2:$F$379,_book!$C$2:$C$379,$A31,_book!$A$2:$A$379,bkc_lob,_book!$B$2:$B$379,bkc_bu))</f>
        <v>1.0075477088664972</v>
      </c>
      <c r="G31" s="72">
        <f>IF(SUMIFS(_book!$F$2:$F$379,_book!$C$2:$C$379,$A31,_book!$A$2:$A$379,bkc_lob,_book!$B$2:$B$379,bkc_bu)=0,"—",SUMIFS(_book!$AO$2:$AO$379,_book!$C$2:$C$379,$A31,_book!$A$2:$A$379,bkc_lob,_book!$B$2:$B$379,bkc_bu)/SUMIFS(_book!$F$2:$F$379,_book!$C$2:$C$379,$A31,_book!$A$2:$A$379,bkc_lob,_book!$B$2:$B$379,bkc_bu))</f>
        <v>0.64337359294939123</v>
      </c>
      <c r="H31" s="70">
        <f>IF(SUMIFS(_book!$F$2:$F$379,_book!$C$2:$C$379,$A31,_book!$A$2:$A$379,bkc_lob,_book!$B$2:$B$379,bkc_bu)=0,"—",SUMIFS(_book!$AP$2:$AP$379,_book!$C$2:$C$379,$A31,_book!$A$2:$A$379,bkc_lob,_book!$B$2:$B$379,bkc_bu)/SUMIFS(_book!$F$2:$F$379,_book!$C$2:$C$379,$A31,_book!$A$2:$A$379,bkc_lob,_book!$B$2:$B$379,bkc_bu))</f>
        <v>0.62518050451140361</v>
      </c>
      <c r="I31" s="70">
        <f>IF(SUMIFS(_book!$F$2:$F$379,_book!$C$2:$C$379,$A31,_book!$A$2:$A$379,bkc_lob,_book!$B$2:$B$379,bkc_bu)=0,"—",SUMIFS(_book!$AT$2:$AT$379,_book!$C$2:$C$379,$A31,_book!$A$2:$A$379,bkc_lob,_book!$B$2:$B$379,bkc_bu)/SUMIFS(_book!$F$2:$F$379,_book!$C$2:$C$379,$A31,_book!$A$2:$A$379,bkc_lob,_book!$B$2:$B$379,bkc_bu))</f>
        <v>0.64337359294939123</v>
      </c>
      <c r="J31" s="73" t="str">
        <f>IF(SUMIFS(_book!$V$2:$V$379,_book!$C$2:$C$379,$A31,_book!$A$2:$A$379,bkc_lob,_book!$B$2:$B$379,bkc_bu)=0,"—",($I31-$G31)*100)</f>
        <v>—</v>
      </c>
      <c r="K31" s="68">
        <f>SUMIFS(_book!$V$2:$V$379,_book!$C$2:$C$379,$A31,_book!$A$2:$A$379,bkc_lob,_book!$B$2:$B$379,bkc_bu)</f>
        <v>0</v>
      </c>
    </row>
    <row r="32" spans="1:11" x14ac:dyDescent="0.3">
      <c r="A32" s="23" t="s">
        <v>57</v>
      </c>
      <c r="B32" s="68">
        <f>COUNTIFS(_book!$D$2:$D$379,"?*",_book!$C$2:$C$379,$A32,_book!$A$2:$A$379,bkc_lob,_book!$B$2:$B$379,bkc_bu)</f>
        <v>18</v>
      </c>
      <c r="C32" s="69">
        <f>SUMIFS(_book!$F$2:$F$379,_book!$C$2:$C$379,$A32,_book!$A$2:$A$379,bkc_lob,_book!$B$2:$B$379,bkc_bu)</f>
        <v>510000</v>
      </c>
      <c r="D32" s="70">
        <f>IF(SUMIFS(_book!$F$2:$F$379,_book!$C$2:$C$379,$A32,_book!$A$2:$A$379,bkc_lob,_book!$B$2:$B$379,bkc_bu)=0,"—",SUMIFS(_book!$AN$2:$AN$379,_book!$C$2:$C$379,$A32,_book!$A$2:$A$379,bkc_lob,_book!$B$2:$B$379,bkc_bu)/SUMIFS(_book!$F$2:$F$379,_book!$C$2:$C$379,$A32,_book!$A$2:$A$379,bkc_lob,_book!$B$2:$B$379,bkc_bu))</f>
        <v>0.63663921568627446</v>
      </c>
      <c r="E32" s="71">
        <f>IF(SUMIFS(_book!$F$2:$F$379,_book!$C$2:$C$379,$A32,_book!$A$2:$A$379,bkc_lob,_book!$B$2:$B$379,bkc_bu)=0,"—",SUMIFS(_book!$AK$2:$AK$379,_book!$C$2:$C$379,$A32,_book!$A$2:$A$379,bkc_lob,_book!$B$2:$B$379,bkc_bu)/SUMIFS(_book!$F$2:$F$379,_book!$C$2:$C$379,$A32,_book!$A$2:$A$379,bkc_lob,_book!$B$2:$B$379,bkc_bu))</f>
        <v>0.9985696229443477</v>
      </c>
      <c r="F32" s="71">
        <f>IF(SUMIFS(_book!$F$2:$F$379,_book!$C$2:$C$379,$A32,_book!$A$2:$A$379,bkc_lob,_book!$B$2:$B$379,bkc_bu)=0,"—",SUMIFS(_book!$AL$2:$AL$379,_book!$C$2:$C$379,$A32,_book!$A$2:$A$379,bkc_lob,_book!$B$2:$B$379,bkc_bu)/SUMIFS(_book!$F$2:$F$379,_book!$C$2:$C$379,$A32,_book!$A$2:$A$379,bkc_lob,_book!$B$2:$B$379,bkc_bu))</f>
        <v>1.0074785553735899</v>
      </c>
      <c r="G32" s="72">
        <f>IF(SUMIFS(_book!$F$2:$F$379,_book!$C$2:$C$379,$A32,_book!$A$2:$A$379,bkc_lob,_book!$B$2:$B$379,bkc_bu)=0,"—",SUMIFS(_book!$AO$2:$AO$379,_book!$C$2:$C$379,$A32,_book!$A$2:$A$379,bkc_lob,_book!$B$2:$B$379,bkc_bu)/SUMIFS(_book!$F$2:$F$379,_book!$C$2:$C$379,$A32,_book!$A$2:$A$379,bkc_lob,_book!$B$2:$B$379,bkc_bu))</f>
        <v>0.6404617965612559</v>
      </c>
      <c r="H32" s="70">
        <f>IF(SUMIFS(_book!$F$2:$F$379,_book!$C$2:$C$379,$A32,_book!$A$2:$A$379,bkc_lob,_book!$B$2:$B$379,bkc_bu)=0,"—",SUMIFS(_book!$AP$2:$AP$379,_book!$C$2:$C$379,$A32,_book!$A$2:$A$379,bkc_lob,_book!$B$2:$B$379,bkc_bu)/SUMIFS(_book!$F$2:$F$379,_book!$C$2:$C$379,$A32,_book!$A$2:$A$379,bkc_lob,_book!$B$2:$B$379,bkc_bu))</f>
        <v>0.62688653139714146</v>
      </c>
      <c r="I32" s="70">
        <f>IF(SUMIFS(_book!$F$2:$F$379,_book!$C$2:$C$379,$A32,_book!$A$2:$A$379,bkc_lob,_book!$B$2:$B$379,bkc_bu)=0,"—",SUMIFS(_book!$AT$2:$AT$379,_book!$C$2:$C$379,$A32,_book!$A$2:$A$379,bkc_lob,_book!$B$2:$B$379,bkc_bu)/SUMIFS(_book!$F$2:$F$379,_book!$C$2:$C$379,$A32,_book!$A$2:$A$379,bkc_lob,_book!$B$2:$B$379,bkc_bu))</f>
        <v>0.6404617965612559</v>
      </c>
      <c r="J32" s="73" t="str">
        <f>IF(SUMIFS(_book!$V$2:$V$379,_book!$C$2:$C$379,$A32,_book!$A$2:$A$379,bkc_lob,_book!$B$2:$B$379,bkc_bu)=0,"—",($I32-$G32)*100)</f>
        <v>—</v>
      </c>
      <c r="K32" s="68">
        <f>SUMIFS(_book!$V$2:$V$379,_book!$C$2:$C$379,$A32,_book!$A$2:$A$379,bkc_lob,_book!$B$2:$B$379,bkc_bu)</f>
        <v>0</v>
      </c>
    </row>
    <row r="33" spans="1:11" x14ac:dyDescent="0.3">
      <c r="A33" s="23" t="s">
        <v>58</v>
      </c>
      <c r="B33" s="68">
        <f>COUNTIFS(_book!$D$2:$D$379,"?*",_book!$C$2:$C$379,$A33,_book!$A$2:$A$379,bkc_lob,_book!$B$2:$B$379,bkc_bu)</f>
        <v>18</v>
      </c>
      <c r="C33" s="69">
        <f>SUMIFS(_book!$F$2:$F$379,_book!$C$2:$C$379,$A33,_book!$A$2:$A$379,bkc_lob,_book!$B$2:$B$379,bkc_bu)</f>
        <v>1173000</v>
      </c>
      <c r="D33" s="70">
        <f>IF(SUMIFS(_book!$F$2:$F$379,_book!$C$2:$C$379,$A33,_book!$A$2:$A$379,bkc_lob,_book!$B$2:$B$379,bkc_bu)=0,"—",SUMIFS(_book!$AN$2:$AN$379,_book!$C$2:$C$379,$A33,_book!$A$2:$A$379,bkc_lob,_book!$B$2:$B$379,bkc_bu)/SUMIFS(_book!$F$2:$F$379,_book!$C$2:$C$379,$A33,_book!$A$2:$A$379,bkc_lob,_book!$B$2:$B$379,bkc_bu))</f>
        <v>0.63616965046888319</v>
      </c>
      <c r="E33" s="71">
        <f>IF(SUMIFS(_book!$F$2:$F$379,_book!$C$2:$C$379,$A33,_book!$A$2:$A$379,bkc_lob,_book!$B$2:$B$379,bkc_bu)=0,"—",SUMIFS(_book!$AK$2:$AK$379,_book!$C$2:$C$379,$A33,_book!$A$2:$A$379,bkc_lob,_book!$B$2:$B$379,bkc_bu)/SUMIFS(_book!$F$2:$F$379,_book!$C$2:$C$379,$A33,_book!$A$2:$A$379,bkc_lob,_book!$B$2:$B$379,bkc_bu))</f>
        <v>0.99887340259385016</v>
      </c>
      <c r="F33" s="71">
        <f>IF(SUMIFS(_book!$F$2:$F$379,_book!$C$2:$C$379,$A33,_book!$A$2:$A$379,bkc_lob,_book!$B$2:$B$379,bkc_bu)=0,"—",SUMIFS(_book!$AL$2:$AL$379,_book!$C$2:$C$379,$A33,_book!$A$2:$A$379,bkc_lob,_book!$B$2:$B$379,bkc_bu)/SUMIFS(_book!$F$2:$F$379,_book!$C$2:$C$379,$A33,_book!$A$2:$A$379,bkc_lob,_book!$B$2:$B$379,bkc_bu))</f>
        <v>1.012423120727155</v>
      </c>
      <c r="G33" s="72">
        <f>IF(SUMIFS(_book!$F$2:$F$379,_book!$C$2:$C$379,$A33,_book!$A$2:$A$379,bkc_lob,_book!$B$2:$B$379,bkc_bu)=0,"—",SUMIFS(_book!$AO$2:$AO$379,_book!$C$2:$C$379,$A33,_book!$A$2:$A$379,bkc_lob,_book!$B$2:$B$379,bkc_bu)/SUMIFS(_book!$F$2:$F$379,_book!$C$2:$C$379,$A33,_book!$A$2:$A$379,bkc_lob,_book!$B$2:$B$379,bkc_bu))</f>
        <v>0.64336480150655972</v>
      </c>
      <c r="H33" s="70">
        <f>IF(SUMIFS(_book!$F$2:$F$379,_book!$C$2:$C$379,$A33,_book!$A$2:$A$379,bkc_lob,_book!$B$2:$B$379,bkc_bu)=0,"—",SUMIFS(_book!$AP$2:$AP$379,_book!$C$2:$C$379,$A33,_book!$A$2:$A$379,bkc_lob,_book!$B$2:$B$379,bkc_bu)/SUMIFS(_book!$F$2:$F$379,_book!$C$2:$C$379,$A33,_book!$A$2:$A$379,bkc_lob,_book!$B$2:$B$379,bkc_bu))</f>
        <v>0.63891163931053929</v>
      </c>
      <c r="I33" s="70">
        <f>IF(SUMIFS(_book!$F$2:$F$379,_book!$C$2:$C$379,$A33,_book!$A$2:$A$379,bkc_lob,_book!$B$2:$B$379,bkc_bu)=0,"—",SUMIFS(_book!$AT$2:$AT$379,_book!$C$2:$C$379,$A33,_book!$A$2:$A$379,bkc_lob,_book!$B$2:$B$379,bkc_bu)/SUMIFS(_book!$F$2:$F$379,_book!$C$2:$C$379,$A33,_book!$A$2:$A$379,bkc_lob,_book!$B$2:$B$379,bkc_bu))</f>
        <v>0.64336480150655972</v>
      </c>
      <c r="J33" s="73" t="str">
        <f>IF(SUMIFS(_book!$V$2:$V$379,_book!$C$2:$C$379,$A33,_book!$A$2:$A$379,bkc_lob,_book!$B$2:$B$379,bkc_bu)=0,"—",($I33-$G33)*100)</f>
        <v>—</v>
      </c>
      <c r="K33" s="68">
        <f>SUMIFS(_book!$V$2:$V$379,_book!$C$2:$C$379,$A33,_book!$A$2:$A$379,bkc_lob,_book!$B$2:$B$379,bkc_bu)</f>
        <v>0</v>
      </c>
    </row>
    <row r="34" spans="1:11" x14ac:dyDescent="0.3">
      <c r="A34" s="23" t="s">
        <v>65</v>
      </c>
      <c r="B34" s="68">
        <f>COUNTIFS(_book!$D$2:$D$379,"?*",_book!$C$2:$C$379,$A34,_book!$A$2:$A$379,bkc_lob,_book!$B$2:$B$379,bkc_bu)</f>
        <v>18</v>
      </c>
      <c r="C34" s="69">
        <f>SUMIFS(_book!$F$2:$F$379,_book!$C$2:$C$379,$A34,_book!$A$2:$A$379,bkc_lob,_book!$B$2:$B$379,bkc_bu)</f>
        <v>969000</v>
      </c>
      <c r="D34" s="70">
        <f>IF(SUMIFS(_book!$F$2:$F$379,_book!$C$2:$C$379,$A34,_book!$A$2:$A$379,bkc_lob,_book!$B$2:$B$379,bkc_bu)=0,"—",SUMIFS(_book!$AN$2:$AN$379,_book!$C$2:$C$379,$A34,_book!$A$2:$A$379,bkc_lob,_book!$B$2:$B$379,bkc_bu)/SUMIFS(_book!$F$2:$F$379,_book!$C$2:$C$379,$A34,_book!$A$2:$A$379,bkc_lob,_book!$B$2:$B$379,bkc_bu))</f>
        <v>0.63416202270381838</v>
      </c>
      <c r="E34" s="71">
        <f>IF(SUMIFS(_book!$F$2:$F$379,_book!$C$2:$C$379,$A34,_book!$A$2:$A$379,bkc_lob,_book!$B$2:$B$379,bkc_bu)=0,"—",SUMIFS(_book!$AK$2:$AK$379,_book!$C$2:$C$379,$A34,_book!$A$2:$A$379,bkc_lob,_book!$B$2:$B$379,bkc_bu)/SUMIFS(_book!$F$2:$F$379,_book!$C$2:$C$379,$A34,_book!$A$2:$A$379,bkc_lob,_book!$B$2:$B$379,bkc_bu))</f>
        <v>0.9824804585645045</v>
      </c>
      <c r="F34" s="71">
        <f>IF(SUMIFS(_book!$F$2:$F$379,_book!$C$2:$C$379,$A34,_book!$A$2:$A$379,bkc_lob,_book!$B$2:$B$379,bkc_bu)=0,"—",SUMIFS(_book!$AL$2:$AL$379,_book!$C$2:$C$379,$A34,_book!$A$2:$A$379,bkc_lob,_book!$B$2:$B$379,bkc_bu)/SUMIFS(_book!$F$2:$F$379,_book!$C$2:$C$379,$A34,_book!$A$2:$A$379,bkc_lob,_book!$B$2:$B$379,bkc_bu))</f>
        <v>1.0068846959808939</v>
      </c>
      <c r="G34" s="72">
        <f>IF(SUMIFS(_book!$F$2:$F$379,_book!$C$2:$C$379,$A34,_book!$A$2:$A$379,bkc_lob,_book!$B$2:$B$379,bkc_bu)=0,"—",SUMIFS(_book!$AO$2:$AO$379,_book!$C$2:$C$379,$A34,_book!$A$2:$A$379,bkc_lob,_book!$B$2:$B$379,bkc_bu)/SUMIFS(_book!$F$2:$F$379,_book!$C$2:$C$379,$A34,_book!$A$2:$A$379,bkc_lob,_book!$B$2:$B$379,bkc_bu))</f>
        <v>0.62737781201966514</v>
      </c>
      <c r="H34" s="70">
        <f>IF(SUMIFS(_book!$F$2:$F$379,_book!$C$2:$C$379,$A34,_book!$A$2:$A$379,bkc_lob,_book!$B$2:$B$379,bkc_bu)=0,"—",SUMIFS(_book!$AP$2:$AP$379,_book!$C$2:$C$379,$A34,_book!$A$2:$A$379,bkc_lob,_book!$B$2:$B$379,bkc_bu)/SUMIFS(_book!$F$2:$F$379,_book!$C$2:$C$379,$A34,_book!$A$2:$A$379,bkc_lob,_book!$B$2:$B$379,bkc_bu))</f>
        <v>0.6183013644526858</v>
      </c>
      <c r="I34" s="70">
        <f>IF(SUMIFS(_book!$F$2:$F$379,_book!$C$2:$C$379,$A34,_book!$A$2:$A$379,bkc_lob,_book!$B$2:$B$379,bkc_bu)=0,"—",SUMIFS(_book!$AT$2:$AT$379,_book!$C$2:$C$379,$A34,_book!$A$2:$A$379,bkc_lob,_book!$B$2:$B$379,bkc_bu)/SUMIFS(_book!$F$2:$F$379,_book!$C$2:$C$379,$A34,_book!$A$2:$A$379,bkc_lob,_book!$B$2:$B$379,bkc_bu))</f>
        <v>0.62737781201966514</v>
      </c>
      <c r="J34" s="73" t="str">
        <f>IF(SUMIFS(_book!$V$2:$V$379,_book!$C$2:$C$379,$A34,_book!$A$2:$A$379,bkc_lob,_book!$B$2:$B$379,bkc_bu)=0,"—",($I34-$G34)*100)</f>
        <v>—</v>
      </c>
      <c r="K34" s="68">
        <f>SUMIFS(_book!$V$2:$V$379,_book!$C$2:$C$379,$A34,_book!$A$2:$A$379,bkc_lob,_book!$B$2:$B$379,bkc_bu)</f>
        <v>0</v>
      </c>
    </row>
    <row r="35" spans="1:11" x14ac:dyDescent="0.3">
      <c r="A35" s="23" t="s">
        <v>66</v>
      </c>
      <c r="B35" s="68">
        <f>COUNTIFS(_book!$D$2:$D$379,"?*",_book!$C$2:$C$379,$A35,_book!$A$2:$A$379,bkc_lob,_book!$B$2:$B$379,bkc_bu)</f>
        <v>18</v>
      </c>
      <c r="C35" s="69">
        <f>SUMIFS(_book!$F$2:$F$379,_book!$C$2:$C$379,$A35,_book!$A$2:$A$379,bkc_lob,_book!$B$2:$B$379,bkc_bu)</f>
        <v>765000</v>
      </c>
      <c r="D35" s="70">
        <f>IF(SUMIFS(_book!$F$2:$F$379,_book!$C$2:$C$379,$A35,_book!$A$2:$A$379,bkc_lob,_book!$B$2:$B$379,bkc_bu)=0,"—",SUMIFS(_book!$AN$2:$AN$379,_book!$C$2:$C$379,$A35,_book!$A$2:$A$379,bkc_lob,_book!$B$2:$B$379,bkc_bu)/SUMIFS(_book!$F$2:$F$379,_book!$C$2:$C$379,$A35,_book!$A$2:$A$379,bkc_lob,_book!$B$2:$B$379,bkc_bu))</f>
        <v>0.63277254901960789</v>
      </c>
      <c r="E35" s="71">
        <f>IF(SUMIFS(_book!$F$2:$F$379,_book!$C$2:$C$379,$A35,_book!$A$2:$A$379,bkc_lob,_book!$B$2:$B$379,bkc_bu)=0,"—",SUMIFS(_book!$AK$2:$AK$379,_book!$C$2:$C$379,$A35,_book!$A$2:$A$379,bkc_lob,_book!$B$2:$B$379,bkc_bu)/SUMIFS(_book!$F$2:$F$379,_book!$C$2:$C$379,$A35,_book!$A$2:$A$379,bkc_lob,_book!$B$2:$B$379,bkc_bu))</f>
        <v>1.0024010138643675</v>
      </c>
      <c r="F35" s="71">
        <f>IF(SUMIFS(_book!$F$2:$F$379,_book!$C$2:$C$379,$A35,_book!$A$2:$A$379,bkc_lob,_book!$B$2:$B$379,bkc_bu)=0,"—",SUMIFS(_book!$AL$2:$AL$379,_book!$C$2:$C$379,$A35,_book!$A$2:$A$379,bkc_lob,_book!$B$2:$B$379,bkc_bu)/SUMIFS(_book!$F$2:$F$379,_book!$C$2:$C$379,$A35,_book!$A$2:$A$379,bkc_lob,_book!$B$2:$B$379,bkc_bu))</f>
        <v>1.0132466839556689</v>
      </c>
      <c r="G35" s="72">
        <f>IF(SUMIFS(_book!$F$2:$F$379,_book!$C$2:$C$379,$A35,_book!$A$2:$A$379,bkc_lob,_book!$B$2:$B$379,bkc_bu)=0,"—",SUMIFS(_book!$AO$2:$AO$379,_book!$C$2:$C$379,$A35,_book!$A$2:$A$379,bkc_lob,_book!$B$2:$B$379,bkc_bu)/SUMIFS(_book!$F$2:$F$379,_book!$C$2:$C$379,$A35,_book!$A$2:$A$379,bkc_lob,_book!$B$2:$B$379,bkc_bu))</f>
        <v>0.64271136494625281</v>
      </c>
      <c r="H35" s="70">
        <f>IF(SUMIFS(_book!$F$2:$F$379,_book!$C$2:$C$379,$A35,_book!$A$2:$A$379,bkc_lob,_book!$B$2:$B$379,bkc_bu)=0,"—",SUMIFS(_book!$AP$2:$AP$379,_book!$C$2:$C$379,$A35,_book!$A$2:$A$379,bkc_lob,_book!$B$2:$B$379,bkc_bu)/SUMIFS(_book!$F$2:$F$379,_book!$C$2:$C$379,$A35,_book!$A$2:$A$379,bkc_lob,_book!$B$2:$B$379,bkc_bu))</f>
        <v>0.63946551668999696</v>
      </c>
      <c r="I35" s="70">
        <f>IF(SUMIFS(_book!$F$2:$F$379,_book!$C$2:$C$379,$A35,_book!$A$2:$A$379,bkc_lob,_book!$B$2:$B$379,bkc_bu)=0,"—",SUMIFS(_book!$AT$2:$AT$379,_book!$C$2:$C$379,$A35,_book!$A$2:$A$379,bkc_lob,_book!$B$2:$B$379,bkc_bu)/SUMIFS(_book!$F$2:$F$379,_book!$C$2:$C$379,$A35,_book!$A$2:$A$379,bkc_lob,_book!$B$2:$B$379,bkc_bu))</f>
        <v>0.64271136494625281</v>
      </c>
      <c r="J35" s="73" t="str">
        <f>IF(SUMIFS(_book!$V$2:$V$379,_book!$C$2:$C$379,$A35,_book!$A$2:$A$379,bkc_lob,_book!$B$2:$B$379,bkc_bu)=0,"—",($I35-$G35)*100)</f>
        <v>—</v>
      </c>
      <c r="K35" s="68">
        <f>SUMIFS(_book!$V$2:$V$379,_book!$C$2:$C$379,$A35,_book!$A$2:$A$379,bkc_lob,_book!$B$2:$B$379,bkc_bu)</f>
        <v>0</v>
      </c>
    </row>
    <row r="36" spans="1:11" x14ac:dyDescent="0.3">
      <c r="A36" s="23" t="s">
        <v>67</v>
      </c>
      <c r="B36" s="68">
        <f>COUNTIFS(_book!$D$2:$D$379,"?*",_book!$C$2:$C$379,$A36,_book!$A$2:$A$379,bkc_lob,_book!$B$2:$B$379,bkc_bu)</f>
        <v>18</v>
      </c>
      <c r="C36" s="69">
        <f>SUMIFS(_book!$F$2:$F$379,_book!$C$2:$C$379,$A36,_book!$A$2:$A$379,bkc_lob,_book!$B$2:$B$379,bkc_bu)</f>
        <v>561000</v>
      </c>
      <c r="D36" s="70">
        <f>IF(SUMIFS(_book!$F$2:$F$379,_book!$C$2:$C$379,$A36,_book!$A$2:$A$379,bkc_lob,_book!$B$2:$B$379,bkc_bu)=0,"—",SUMIFS(_book!$AN$2:$AN$379,_book!$C$2:$C$379,$A36,_book!$A$2:$A$379,bkc_lob,_book!$B$2:$B$379,bkc_bu)/SUMIFS(_book!$F$2:$F$379,_book!$C$2:$C$379,$A36,_book!$A$2:$A$379,bkc_lob,_book!$B$2:$B$379,bkc_bu))</f>
        <v>0.63267557932263818</v>
      </c>
      <c r="E36" s="71">
        <f>IF(SUMIFS(_book!$F$2:$F$379,_book!$C$2:$C$379,$A36,_book!$A$2:$A$379,bkc_lob,_book!$B$2:$B$379,bkc_bu)=0,"—",SUMIFS(_book!$AK$2:$AK$379,_book!$C$2:$C$379,$A36,_book!$A$2:$A$379,bkc_lob,_book!$B$2:$B$379,bkc_bu)/SUMIFS(_book!$F$2:$F$379,_book!$C$2:$C$379,$A36,_book!$A$2:$A$379,bkc_lob,_book!$B$2:$B$379,bkc_bu))</f>
        <v>0.97779416443626943</v>
      </c>
      <c r="F36" s="71">
        <f>IF(SUMIFS(_book!$F$2:$F$379,_book!$C$2:$C$379,$A36,_book!$A$2:$A$379,bkc_lob,_book!$B$2:$B$379,bkc_bu)=0,"—",SUMIFS(_book!$AL$2:$AL$379,_book!$C$2:$C$379,$A36,_book!$A$2:$A$379,bkc_lob,_book!$B$2:$B$379,bkc_bu)/SUMIFS(_book!$F$2:$F$379,_book!$C$2:$C$379,$A36,_book!$A$2:$A$379,bkc_lob,_book!$B$2:$B$379,bkc_bu))</f>
        <v>1.0062220769090895</v>
      </c>
      <c r="G36" s="72">
        <f>IF(SUMIFS(_book!$F$2:$F$379,_book!$C$2:$C$379,$A36,_book!$A$2:$A$379,bkc_lob,_book!$B$2:$B$379,bkc_bu)=0,"—",SUMIFS(_book!$AO$2:$AO$379,_book!$C$2:$C$379,$A36,_book!$A$2:$A$379,bkc_lob,_book!$B$2:$B$379,bkc_bu)/SUMIFS(_book!$F$2:$F$379,_book!$C$2:$C$379,$A36,_book!$A$2:$A$379,bkc_lob,_book!$B$2:$B$379,bkc_bu))</f>
        <v>0.62220100904985076</v>
      </c>
      <c r="H36" s="70">
        <f>IF(SUMIFS(_book!$F$2:$F$379,_book!$C$2:$C$379,$A36,_book!$A$2:$A$379,bkc_lob,_book!$B$2:$B$379,bkc_bu)=0,"—",SUMIFS(_book!$AP$2:$AP$379,_book!$C$2:$C$379,$A36,_book!$A$2:$A$379,bkc_lob,_book!$B$2:$B$379,bkc_bu)/SUMIFS(_book!$F$2:$F$379,_book!$C$2:$C$379,$A36,_book!$A$2:$A$379,bkc_lob,_book!$B$2:$B$379,bkc_bu))</f>
        <v>0.59490704852005472</v>
      </c>
      <c r="I36" s="70">
        <f>IF(SUMIFS(_book!$F$2:$F$379,_book!$C$2:$C$379,$A36,_book!$A$2:$A$379,bkc_lob,_book!$B$2:$B$379,bkc_bu)=0,"—",SUMIFS(_book!$AT$2:$AT$379,_book!$C$2:$C$379,$A36,_book!$A$2:$A$379,bkc_lob,_book!$B$2:$B$379,bkc_bu)/SUMIFS(_book!$F$2:$F$379,_book!$C$2:$C$379,$A36,_book!$A$2:$A$379,bkc_lob,_book!$B$2:$B$379,bkc_bu))</f>
        <v>0.61983809869668405</v>
      </c>
      <c r="J36" s="73">
        <f>IF(SUMIFS(_book!$V$2:$V$379,_book!$C$2:$C$379,$A36,_book!$A$2:$A$379,bkc_lob,_book!$B$2:$B$379,bkc_bu)=0,"—",($I36-$G36)*100)</f>
        <v>-0.23629103531667139</v>
      </c>
      <c r="K36" s="68">
        <f>SUMIFS(_book!$V$2:$V$379,_book!$C$2:$C$379,$A36,_book!$A$2:$A$379,bkc_lob,_book!$B$2:$B$379,bkc_bu)</f>
        <v>6</v>
      </c>
    </row>
    <row r="37" spans="1:11" x14ac:dyDescent="0.3">
      <c r="A37" s="23" t="s">
        <v>73</v>
      </c>
      <c r="B37" s="68">
        <f>COUNTIFS(_book!$D$2:$D$379,"?*",_book!$C$2:$C$379,$A37,_book!$A$2:$A$379,bkc_lob,_book!$B$2:$B$379,bkc_bu)</f>
        <v>18</v>
      </c>
      <c r="C37" s="69">
        <f>SUMIFS(_book!$F$2:$F$379,_book!$C$2:$C$379,$A37,_book!$A$2:$A$379,bkc_lob,_book!$B$2:$B$379,bkc_bu)</f>
        <v>935000</v>
      </c>
      <c r="D37" s="70">
        <f>IF(SUMIFS(_book!$F$2:$F$379,_book!$C$2:$C$379,$A37,_book!$A$2:$A$379,bkc_lob,_book!$B$2:$B$379,bkc_bu)=0,"—",SUMIFS(_book!$AN$2:$AN$379,_book!$C$2:$C$379,$A37,_book!$A$2:$A$379,bkc_lob,_book!$B$2:$B$379,bkc_bu)/SUMIFS(_book!$F$2:$F$379,_book!$C$2:$C$379,$A37,_book!$A$2:$A$379,bkc_lob,_book!$B$2:$B$379,bkc_bu))</f>
        <v>0.62974224598930484</v>
      </c>
      <c r="E37" s="71">
        <f>IF(SUMIFS(_book!$F$2:$F$379,_book!$C$2:$C$379,$A37,_book!$A$2:$A$379,bkc_lob,_book!$B$2:$B$379,bkc_bu)=0,"—",SUMIFS(_book!$AK$2:$AK$379,_book!$C$2:$C$379,$A37,_book!$A$2:$A$379,bkc_lob,_book!$B$2:$B$379,bkc_bu)/SUMIFS(_book!$F$2:$F$379,_book!$C$2:$C$379,$A37,_book!$A$2:$A$379,bkc_lob,_book!$B$2:$B$379,bkc_bu))</f>
        <v>1.0071014071025131</v>
      </c>
      <c r="F37" s="71">
        <f>IF(SUMIFS(_book!$F$2:$F$379,_book!$C$2:$C$379,$A37,_book!$A$2:$A$379,bkc_lob,_book!$B$2:$B$379,bkc_bu)=0,"—",SUMIFS(_book!$AL$2:$AL$379,_book!$C$2:$C$379,$A37,_book!$A$2:$A$379,bkc_lob,_book!$B$2:$B$379,bkc_bu)/SUMIFS(_book!$F$2:$F$379,_book!$C$2:$C$379,$A37,_book!$A$2:$A$379,bkc_lob,_book!$B$2:$B$379,bkc_bu))</f>
        <v>1.0063331554742274</v>
      </c>
      <c r="G37" s="72">
        <f>IF(SUMIFS(_book!$F$2:$F$379,_book!$C$2:$C$379,$A37,_book!$A$2:$A$379,bkc_lob,_book!$B$2:$B$379,bkc_bu)=0,"—",SUMIFS(_book!$AO$2:$AO$379,_book!$C$2:$C$379,$A37,_book!$A$2:$A$379,bkc_lob,_book!$B$2:$B$379,bkc_bu)/SUMIFS(_book!$F$2:$F$379,_book!$C$2:$C$379,$A37,_book!$A$2:$A$379,bkc_lob,_book!$B$2:$B$379,bkc_bu))</f>
        <v>0.63832837666519981</v>
      </c>
      <c r="H37" s="70">
        <f>IF(SUMIFS(_book!$F$2:$F$379,_book!$C$2:$C$379,$A37,_book!$A$2:$A$379,bkc_lob,_book!$B$2:$B$379,bkc_bu)=0,"—",SUMIFS(_book!$AP$2:$AP$379,_book!$C$2:$C$379,$A37,_book!$A$2:$A$379,bkc_lob,_book!$B$2:$B$379,bkc_bu)/SUMIFS(_book!$F$2:$F$379,_book!$C$2:$C$379,$A37,_book!$A$2:$A$379,bkc_lob,_book!$B$2:$B$379,bkc_bu))</f>
        <v>0.61718697248052623</v>
      </c>
      <c r="I37" s="70">
        <f>IF(SUMIFS(_book!$F$2:$F$379,_book!$C$2:$C$379,$A37,_book!$A$2:$A$379,bkc_lob,_book!$B$2:$B$379,bkc_bu)=0,"—",SUMIFS(_book!$AT$2:$AT$379,_book!$C$2:$C$379,$A37,_book!$A$2:$A$379,bkc_lob,_book!$B$2:$B$379,bkc_bu)/SUMIFS(_book!$F$2:$F$379,_book!$C$2:$C$379,$A37,_book!$A$2:$A$379,bkc_lob,_book!$B$2:$B$379,bkc_bu))</f>
        <v>0.63832837666519981</v>
      </c>
      <c r="J37" s="73" t="str">
        <f>IF(SUMIFS(_book!$V$2:$V$379,_book!$C$2:$C$379,$A37,_book!$A$2:$A$379,bkc_lob,_book!$B$2:$B$379,bkc_bu)=0,"—",($I37-$G37)*100)</f>
        <v>—</v>
      </c>
      <c r="K37" s="68">
        <f>SUMIFS(_book!$V$2:$V$379,_book!$C$2:$C$379,$A37,_book!$A$2:$A$379,bkc_lob,_book!$B$2:$B$379,bkc_bu)</f>
        <v>0</v>
      </c>
    </row>
    <row r="38" spans="1:11" x14ac:dyDescent="0.3">
      <c r="A38" s="23" t="s">
        <v>78</v>
      </c>
      <c r="B38" s="68">
        <f>COUNTIFS(_book!$D$2:$D$379,"?*",_book!$C$2:$C$379,$A38,_book!$A$2:$A$379,bkc_lob,_book!$B$2:$B$379,bkc_bu)</f>
        <v>18</v>
      </c>
      <c r="C38" s="69">
        <f>SUMIFS(_book!$F$2:$F$379,_book!$C$2:$C$379,$A38,_book!$A$2:$A$379,bkc_lob,_book!$B$2:$B$379,bkc_bu)</f>
        <v>1020000</v>
      </c>
      <c r="D38" s="70">
        <f>IF(SUMIFS(_book!$F$2:$F$379,_book!$C$2:$C$379,$A38,_book!$A$2:$A$379,bkc_lob,_book!$B$2:$B$379,bkc_bu)=0,"—",SUMIFS(_book!$AN$2:$AN$379,_book!$C$2:$C$379,$A38,_book!$A$2:$A$379,bkc_lob,_book!$B$2:$B$379,bkc_bu)/SUMIFS(_book!$F$2:$F$379,_book!$C$2:$C$379,$A38,_book!$A$2:$A$379,bkc_lob,_book!$B$2:$B$379,bkc_bu))</f>
        <v>0.62883921568627454</v>
      </c>
      <c r="E38" s="71">
        <f>IF(SUMIFS(_book!$F$2:$F$379,_book!$C$2:$C$379,$A38,_book!$A$2:$A$379,bkc_lob,_book!$B$2:$B$379,bkc_bu)=0,"—",SUMIFS(_book!$AK$2:$AK$379,_book!$C$2:$C$379,$A38,_book!$A$2:$A$379,bkc_lob,_book!$B$2:$B$379,bkc_bu)/SUMIFS(_book!$F$2:$F$379,_book!$C$2:$C$379,$A38,_book!$A$2:$A$379,bkc_lob,_book!$B$2:$B$379,bkc_bu))</f>
        <v>1.0044004277774889</v>
      </c>
      <c r="F38" s="71">
        <f>IF(SUMIFS(_book!$F$2:$F$379,_book!$C$2:$C$379,$A38,_book!$A$2:$A$379,bkc_lob,_book!$B$2:$B$379,bkc_bu)=0,"—",SUMIFS(_book!$AL$2:$AL$379,_book!$C$2:$C$379,$A38,_book!$A$2:$A$379,bkc_lob,_book!$B$2:$B$379,bkc_bu)/SUMIFS(_book!$F$2:$F$379,_book!$C$2:$C$379,$A38,_book!$A$2:$A$379,bkc_lob,_book!$B$2:$B$379,bkc_bu))</f>
        <v>1.0109311645652717</v>
      </c>
      <c r="G38" s="72">
        <f>IF(SUMIFS(_book!$F$2:$F$379,_book!$C$2:$C$379,$A38,_book!$A$2:$A$379,bkc_lob,_book!$B$2:$B$379,bkc_bu)=0,"—",SUMIFS(_book!$AO$2:$AO$379,_book!$C$2:$C$379,$A38,_book!$A$2:$A$379,bkc_lob,_book!$B$2:$B$379,bkc_bu)/SUMIFS(_book!$F$2:$F$379,_book!$C$2:$C$379,$A38,_book!$A$2:$A$379,bkc_lob,_book!$B$2:$B$379,bkc_bu))</f>
        <v>0.63853082186350196</v>
      </c>
      <c r="H38" s="70">
        <f>IF(SUMIFS(_book!$F$2:$F$379,_book!$C$2:$C$379,$A38,_book!$A$2:$A$379,bkc_lob,_book!$B$2:$B$379,bkc_bu)=0,"—",SUMIFS(_book!$AP$2:$AP$379,_book!$C$2:$C$379,$A38,_book!$A$2:$A$379,bkc_lob,_book!$B$2:$B$379,bkc_bu)/SUMIFS(_book!$F$2:$F$379,_book!$C$2:$C$379,$A38,_book!$A$2:$A$379,bkc_lob,_book!$B$2:$B$379,bkc_bu))</f>
        <v>0.63571208963976633</v>
      </c>
      <c r="I38" s="70">
        <f>IF(SUMIFS(_book!$F$2:$F$379,_book!$C$2:$C$379,$A38,_book!$A$2:$A$379,bkc_lob,_book!$B$2:$B$379,bkc_bu)=0,"—",SUMIFS(_book!$AT$2:$AT$379,_book!$C$2:$C$379,$A38,_book!$A$2:$A$379,bkc_lob,_book!$B$2:$B$379,bkc_bu)/SUMIFS(_book!$F$2:$F$379,_book!$C$2:$C$379,$A38,_book!$A$2:$A$379,bkc_lob,_book!$B$2:$B$379,bkc_bu))</f>
        <v>0.63853082186350196</v>
      </c>
      <c r="J38" s="73" t="str">
        <f>IF(SUMIFS(_book!$V$2:$V$379,_book!$C$2:$C$379,$A38,_book!$A$2:$A$379,bkc_lob,_book!$B$2:$B$379,bkc_bu)=0,"—",($I38-$G38)*100)</f>
        <v>—</v>
      </c>
      <c r="K38" s="68">
        <f>SUMIFS(_book!$V$2:$V$379,_book!$C$2:$C$379,$A38,_book!$A$2:$A$379,bkc_lob,_book!$B$2:$B$379,bkc_bu)</f>
        <v>0</v>
      </c>
    </row>
    <row r="39" spans="1:11" x14ac:dyDescent="0.3">
      <c r="A39" s="23" t="s">
        <v>80</v>
      </c>
      <c r="B39" s="68">
        <f>COUNTIFS(_book!$D$2:$D$379,"?*",_book!$C$2:$C$379,$A39,_book!$A$2:$A$379,bkc_lob,_book!$B$2:$B$379,bkc_bu)</f>
        <v>18</v>
      </c>
      <c r="C39" s="69">
        <f>SUMIFS(_book!$F$2:$F$379,_book!$C$2:$C$379,$A39,_book!$A$2:$A$379,bkc_lob,_book!$B$2:$B$379,bkc_bu)</f>
        <v>816000</v>
      </c>
      <c r="D39" s="70">
        <f>IF(SUMIFS(_book!$F$2:$F$379,_book!$C$2:$C$379,$A39,_book!$A$2:$A$379,bkc_lob,_book!$B$2:$B$379,bkc_bu)=0,"—",SUMIFS(_book!$AN$2:$AN$379,_book!$C$2:$C$379,$A39,_book!$A$2:$A$379,bkc_lob,_book!$B$2:$B$379,bkc_bu)/SUMIFS(_book!$F$2:$F$379,_book!$C$2:$C$379,$A39,_book!$A$2:$A$379,bkc_lob,_book!$B$2:$B$379,bkc_bu))</f>
        <v>0.62837254901960782</v>
      </c>
      <c r="E39" s="71">
        <f>IF(SUMIFS(_book!$F$2:$F$379,_book!$C$2:$C$379,$A39,_book!$A$2:$A$379,bkc_lob,_book!$B$2:$B$379,bkc_bu)=0,"—",SUMIFS(_book!$AK$2:$AK$379,_book!$C$2:$C$379,$A39,_book!$A$2:$A$379,bkc_lob,_book!$B$2:$B$379,bkc_bu)/SUMIFS(_book!$F$2:$F$379,_book!$C$2:$C$379,$A39,_book!$A$2:$A$379,bkc_lob,_book!$B$2:$B$379,bkc_bu))</f>
        <v>0.99591856726209227</v>
      </c>
      <c r="F39" s="71">
        <f>IF(SUMIFS(_book!$F$2:$F$379,_book!$C$2:$C$379,$A39,_book!$A$2:$A$379,bkc_lob,_book!$B$2:$B$379,bkc_bu)=0,"—",SUMIFS(_book!$AL$2:$AL$379,_book!$C$2:$C$379,$A39,_book!$A$2:$A$379,bkc_lob,_book!$B$2:$B$379,bkc_bu)/SUMIFS(_book!$F$2:$F$379,_book!$C$2:$C$379,$A39,_book!$A$2:$A$379,bkc_lob,_book!$B$2:$B$379,bkc_bu))</f>
        <v>1.0074785553735897</v>
      </c>
      <c r="G39" s="72">
        <f>IF(SUMIFS(_book!$F$2:$F$379,_book!$C$2:$C$379,$A39,_book!$A$2:$A$379,bkc_lob,_book!$B$2:$B$379,bkc_bu)=0,"—",SUMIFS(_book!$AO$2:$AO$379,_book!$C$2:$C$379,$A39,_book!$A$2:$A$379,bkc_lob,_book!$B$2:$B$379,bkc_bu)/SUMIFS(_book!$F$2:$F$379,_book!$C$2:$C$379,$A39,_book!$A$2:$A$379,bkc_lob,_book!$B$2:$B$379,bkc_bu))</f>
        <v>0.63043984352016469</v>
      </c>
      <c r="H39" s="70">
        <f>IF(SUMIFS(_book!$F$2:$F$379,_book!$C$2:$C$379,$A39,_book!$A$2:$A$379,bkc_lob,_book!$B$2:$B$379,bkc_bu)=0,"—",SUMIFS(_book!$AP$2:$AP$379,_book!$C$2:$C$379,$A39,_book!$A$2:$A$379,bkc_lob,_book!$B$2:$B$379,bkc_bu)/SUMIFS(_book!$F$2:$F$379,_book!$C$2:$C$379,$A39,_book!$A$2:$A$379,bkc_lob,_book!$B$2:$B$379,bkc_bu))</f>
        <v>0.61781953071697027</v>
      </c>
      <c r="I39" s="70">
        <f>IF(SUMIFS(_book!$F$2:$F$379,_book!$C$2:$C$379,$A39,_book!$A$2:$A$379,bkc_lob,_book!$B$2:$B$379,bkc_bu)=0,"—",SUMIFS(_book!$AT$2:$AT$379,_book!$C$2:$C$379,$A39,_book!$A$2:$A$379,bkc_lob,_book!$B$2:$B$379,bkc_bu)/SUMIFS(_book!$F$2:$F$379,_book!$C$2:$C$379,$A39,_book!$A$2:$A$379,bkc_lob,_book!$B$2:$B$379,bkc_bu))</f>
        <v>0.63043984352016469</v>
      </c>
      <c r="J39" s="73" t="str">
        <f>IF(SUMIFS(_book!$V$2:$V$379,_book!$C$2:$C$379,$A39,_book!$A$2:$A$379,bkc_lob,_book!$B$2:$B$379,bkc_bu)=0,"—",($I39-$G39)*100)</f>
        <v>—</v>
      </c>
      <c r="K39" s="68">
        <f>SUMIFS(_book!$V$2:$V$379,_book!$C$2:$C$379,$A39,_book!$A$2:$A$379,bkc_lob,_book!$B$2:$B$379,bkc_bu)</f>
        <v>0</v>
      </c>
    </row>
    <row r="40" spans="1:11" x14ac:dyDescent="0.3">
      <c r="A40" s="23" t="s">
        <v>82</v>
      </c>
      <c r="B40" s="68">
        <f>COUNTIFS(_book!$D$2:$D$379,"?*",_book!$C$2:$C$379,$A40,_book!$A$2:$A$379,bkc_lob,_book!$B$2:$B$379,bkc_bu)</f>
        <v>18</v>
      </c>
      <c r="C40" s="69">
        <f>SUMIFS(_book!$F$2:$F$379,_book!$C$2:$C$379,$A40,_book!$A$2:$A$379,bkc_lob,_book!$B$2:$B$379,bkc_bu)</f>
        <v>612000</v>
      </c>
      <c r="D40" s="70">
        <f>IF(SUMIFS(_book!$F$2:$F$379,_book!$C$2:$C$379,$A40,_book!$A$2:$A$379,bkc_lob,_book!$B$2:$B$379,bkc_bu)=0,"—",SUMIFS(_book!$AN$2:$AN$379,_book!$C$2:$C$379,$A40,_book!$A$2:$A$379,bkc_lob,_book!$B$2:$B$379,bkc_bu)/SUMIFS(_book!$F$2:$F$379,_book!$C$2:$C$379,$A40,_book!$A$2:$A$379,bkc_lob,_book!$B$2:$B$379,bkc_bu))</f>
        <v>0.62603921568627452</v>
      </c>
      <c r="E40" s="71">
        <f>IF(SUMIFS(_book!$F$2:$F$379,_book!$C$2:$C$379,$A40,_book!$A$2:$A$379,bkc_lob,_book!$B$2:$B$379,bkc_bu)=0,"—",SUMIFS(_book!$AK$2:$AK$379,_book!$C$2:$C$379,$A40,_book!$A$2:$A$379,bkc_lob,_book!$B$2:$B$379,bkc_bu)/SUMIFS(_book!$F$2:$F$379,_book!$C$2:$C$379,$A40,_book!$A$2:$A$379,bkc_lob,_book!$B$2:$B$379,bkc_bu))</f>
        <v>1.0028717085337278</v>
      </c>
      <c r="F40" s="71">
        <f>IF(SUMIFS(_book!$F$2:$F$379,_book!$C$2:$C$379,$A40,_book!$A$2:$A$379,bkc_lob,_book!$B$2:$B$379,bkc_bu)=0,"—",SUMIFS(_book!$AL$2:$AL$379,_book!$C$2:$C$379,$A40,_book!$A$2:$A$379,bkc_lob,_book!$B$2:$B$379,bkc_bu)/SUMIFS(_book!$F$2:$F$379,_book!$C$2:$C$379,$A40,_book!$A$2:$A$379,bkc_lob,_book!$B$2:$B$379,bkc_bu))</f>
        <v>1.0120875391944273</v>
      </c>
      <c r="G40" s="72">
        <f>IF(SUMIFS(_book!$F$2:$F$379,_book!$C$2:$C$379,$A40,_book!$A$2:$A$379,bkc_lob,_book!$B$2:$B$379,bkc_bu)=0,"—",SUMIFS(_book!$AO$2:$AO$379,_book!$C$2:$C$379,$A40,_book!$A$2:$A$379,bkc_lob,_book!$B$2:$B$379,bkc_bu)/SUMIFS(_book!$F$2:$F$379,_book!$C$2:$C$379,$A40,_book!$A$2:$A$379,bkc_lob,_book!$B$2:$B$379,bkc_bu))</f>
        <v>0.63544174752774585</v>
      </c>
      <c r="H40" s="70">
        <f>IF(SUMIFS(_book!$F$2:$F$379,_book!$C$2:$C$379,$A40,_book!$A$2:$A$379,bkc_lob,_book!$B$2:$B$379,bkc_bu)=0,"—",SUMIFS(_book!$AP$2:$AP$379,_book!$C$2:$C$379,$A40,_book!$A$2:$A$379,bkc_lob,_book!$B$2:$B$379,bkc_bu)/SUMIFS(_book!$F$2:$F$379,_book!$C$2:$C$379,$A40,_book!$A$2:$A$379,bkc_lob,_book!$B$2:$B$379,bkc_bu))</f>
        <v>0.62816830751523089</v>
      </c>
      <c r="I40" s="70">
        <f>IF(SUMIFS(_book!$F$2:$F$379,_book!$C$2:$C$379,$A40,_book!$A$2:$A$379,bkc_lob,_book!$B$2:$B$379,bkc_bu)=0,"—",SUMIFS(_book!$AT$2:$AT$379,_book!$C$2:$C$379,$A40,_book!$A$2:$A$379,bkc_lob,_book!$B$2:$B$379,bkc_bu)/SUMIFS(_book!$F$2:$F$379,_book!$C$2:$C$379,$A40,_book!$A$2:$A$379,bkc_lob,_book!$B$2:$B$379,bkc_bu))</f>
        <v>0.63544174752774585</v>
      </c>
      <c r="J40" s="73" t="str">
        <f>IF(SUMIFS(_book!$V$2:$V$379,_book!$C$2:$C$379,$A40,_book!$A$2:$A$379,bkc_lob,_book!$B$2:$B$379,bkc_bu)=0,"—",($I40-$G40)*100)</f>
        <v>—</v>
      </c>
      <c r="K40" s="68">
        <f>SUMIFS(_book!$V$2:$V$379,_book!$C$2:$C$379,$A40,_book!$A$2:$A$379,bkc_lob,_book!$B$2:$B$379,bkc_bu)</f>
        <v>0</v>
      </c>
    </row>
    <row r="41" spans="1:11" x14ac:dyDescent="0.3">
      <c r="A41" s="23" t="s">
        <v>85</v>
      </c>
      <c r="B41" s="68">
        <f>COUNTIFS(_book!$D$2:$D$379,"?*",_book!$C$2:$C$379,$A41,_book!$A$2:$A$379,bkc_lob,_book!$B$2:$B$379,bkc_bu)</f>
        <v>18</v>
      </c>
      <c r="C41" s="69">
        <f>SUMIFS(_book!$F$2:$F$379,_book!$C$2:$C$379,$A41,_book!$A$2:$A$379,bkc_lob,_book!$B$2:$B$379,bkc_bu)</f>
        <v>697000</v>
      </c>
      <c r="D41" s="70">
        <f>IF(SUMIFS(_book!$F$2:$F$379,_book!$C$2:$C$379,$A41,_book!$A$2:$A$379,bkc_lob,_book!$B$2:$B$379,bkc_bu)=0,"—",SUMIFS(_book!$AN$2:$AN$379,_book!$C$2:$C$379,$A41,_book!$A$2:$A$379,bkc_lob,_book!$B$2:$B$379,bkc_bu)/SUMIFS(_book!$F$2:$F$379,_book!$C$2:$C$379,$A41,_book!$A$2:$A$379,bkc_lob,_book!$B$2:$B$379,bkc_bu))</f>
        <v>0.62419368723099</v>
      </c>
      <c r="E41" s="71">
        <f>IF(SUMIFS(_book!$F$2:$F$379,_book!$C$2:$C$379,$A41,_book!$A$2:$A$379,bkc_lob,_book!$B$2:$B$379,bkc_bu)=0,"—",SUMIFS(_book!$AK$2:$AK$379,_book!$C$2:$C$379,$A41,_book!$A$2:$A$379,bkc_lob,_book!$B$2:$B$379,bkc_bu)/SUMIFS(_book!$F$2:$F$379,_book!$C$2:$C$379,$A41,_book!$A$2:$A$379,bkc_lob,_book!$B$2:$B$379,bkc_bu))</f>
        <v>0.99783186636750276</v>
      </c>
      <c r="F41" s="71">
        <f>IF(SUMIFS(_book!$F$2:$F$379,_book!$C$2:$C$379,$A41,_book!$A$2:$A$379,bkc_lob,_book!$B$2:$B$379,bkc_bu)=0,"—",SUMIFS(_book!$AL$2:$AL$379,_book!$C$2:$C$379,$A41,_book!$A$2:$A$379,bkc_lob,_book!$B$2:$B$379,bkc_bu)/SUMIFS(_book!$F$2:$F$379,_book!$C$2:$C$379,$A41,_book!$A$2:$A$379,bkc_lob,_book!$B$2:$B$379,bkc_bu))</f>
        <v>1.0086266832047017</v>
      </c>
      <c r="G41" s="72">
        <f>IF(SUMIFS(_book!$F$2:$F$379,_book!$C$2:$C$379,$A41,_book!$A$2:$A$379,bkc_lob,_book!$B$2:$B$379,bkc_bu)=0,"—",SUMIFS(_book!$AO$2:$AO$379,_book!$C$2:$C$379,$A41,_book!$A$2:$A$379,bkc_lob,_book!$B$2:$B$379,bkc_bu)/SUMIFS(_book!$F$2:$F$379,_book!$C$2:$C$379,$A41,_book!$A$2:$A$379,bkc_lob,_book!$B$2:$B$379,bkc_bu))</f>
        <v>0.62829275783415195</v>
      </c>
      <c r="H41" s="70">
        <f>IF(SUMIFS(_book!$F$2:$F$379,_book!$C$2:$C$379,$A41,_book!$A$2:$A$379,bkc_lob,_book!$B$2:$B$379,bkc_bu)=0,"—",SUMIFS(_book!$AP$2:$AP$379,_book!$C$2:$C$379,$A41,_book!$A$2:$A$379,bkc_lob,_book!$B$2:$B$379,bkc_bu)/SUMIFS(_book!$F$2:$F$379,_book!$C$2:$C$379,$A41,_book!$A$2:$A$379,bkc_lob,_book!$B$2:$B$379,bkc_bu))</f>
        <v>0.61141513632175959</v>
      </c>
      <c r="I41" s="70">
        <f>IF(SUMIFS(_book!$F$2:$F$379,_book!$C$2:$C$379,$A41,_book!$A$2:$A$379,bkc_lob,_book!$B$2:$B$379,bkc_bu)=0,"—",SUMIFS(_book!$AT$2:$AT$379,_book!$C$2:$C$379,$A41,_book!$A$2:$A$379,bkc_lob,_book!$B$2:$B$379,bkc_bu)/SUMIFS(_book!$F$2:$F$379,_book!$C$2:$C$379,$A41,_book!$A$2:$A$379,bkc_lob,_book!$B$2:$B$379,bkc_bu))</f>
        <v>0.62829275783415195</v>
      </c>
      <c r="J41" s="73" t="str">
        <f>IF(SUMIFS(_book!$V$2:$V$379,_book!$C$2:$C$379,$A41,_book!$A$2:$A$379,bkc_lob,_book!$B$2:$B$379,bkc_bu)=0,"—",($I41-$G41)*100)</f>
        <v>—</v>
      </c>
      <c r="K41" s="68">
        <f>SUMIFS(_book!$V$2:$V$379,_book!$C$2:$C$379,$A41,_book!$A$2:$A$379,bkc_lob,_book!$B$2:$B$379,bkc_bu)</f>
        <v>0</v>
      </c>
    </row>
    <row r="42" spans="1:11" x14ac:dyDescent="0.3">
      <c r="A42" s="23" t="s">
        <v>87</v>
      </c>
      <c r="B42" s="68">
        <f>COUNTIFS(_book!$D$2:$D$379,"?*",_book!$C$2:$C$379,$A42,_book!$A$2:$A$379,bkc_lob,_book!$B$2:$B$379,bkc_bu)</f>
        <v>18</v>
      </c>
      <c r="C42" s="69">
        <f>SUMIFS(_book!$F$2:$F$379,_book!$C$2:$C$379,$A42,_book!$A$2:$A$379,bkc_lob,_book!$B$2:$B$379,bkc_bu)</f>
        <v>1071000</v>
      </c>
      <c r="D42" s="70">
        <f>IF(SUMIFS(_book!$F$2:$F$379,_book!$C$2:$C$379,$A42,_book!$A$2:$A$379,bkc_lob,_book!$B$2:$B$379,bkc_bu)=0,"—",SUMIFS(_book!$AN$2:$AN$379,_book!$C$2:$C$379,$A42,_book!$A$2:$A$379,bkc_lob,_book!$B$2:$B$379,bkc_bu)/SUMIFS(_book!$F$2:$F$379,_book!$C$2:$C$379,$A42,_book!$A$2:$A$379,bkc_lob,_book!$B$2:$B$379,bkc_bu))</f>
        <v>0.63818207282913164</v>
      </c>
      <c r="E42" s="71">
        <f>IF(SUMIFS(_book!$F$2:$F$379,_book!$C$2:$C$379,$A42,_book!$A$2:$A$379,bkc_lob,_book!$B$2:$B$379,bkc_bu)=0,"—",SUMIFS(_book!$AK$2:$AK$379,_book!$C$2:$C$379,$A42,_book!$A$2:$A$379,bkc_lob,_book!$B$2:$B$379,bkc_bu)/SUMIFS(_book!$F$2:$F$379,_book!$C$2:$C$379,$A42,_book!$A$2:$A$379,bkc_lob,_book!$B$2:$B$379,bkc_bu))</f>
        <v>1</v>
      </c>
      <c r="F42" s="71">
        <f>IF(SUMIFS(_book!$F$2:$F$379,_book!$C$2:$C$379,$A42,_book!$A$2:$A$379,bkc_lob,_book!$B$2:$B$379,bkc_bu)=0,"—",SUMIFS(_book!$AL$2:$AL$379,_book!$C$2:$C$379,$A42,_book!$A$2:$A$379,bkc_lob,_book!$B$2:$B$379,bkc_bu)/SUMIFS(_book!$F$2:$F$379,_book!$C$2:$C$379,$A42,_book!$A$2:$A$379,bkc_lob,_book!$B$2:$B$379,bkc_bu))</f>
        <v>1.0132466839556691</v>
      </c>
      <c r="G42" s="72">
        <f>IF(SUMIFS(_book!$F$2:$F$379,_book!$C$2:$C$379,$A42,_book!$A$2:$A$379,bkc_lob,_book!$B$2:$B$379,bkc_bu)=0,"—",SUMIFS(_book!$AO$2:$AO$379,_book!$C$2:$C$379,$A42,_book!$A$2:$A$379,bkc_lob,_book!$B$2:$B$379,bkc_bu)/SUMIFS(_book!$F$2:$F$379,_book!$C$2:$C$379,$A42,_book!$A$2:$A$379,bkc_lob,_book!$B$2:$B$379,bkc_bu))</f>
        <v>0.64662914721223319</v>
      </c>
      <c r="H42" s="70">
        <f>IF(SUMIFS(_book!$F$2:$F$379,_book!$C$2:$C$379,$A42,_book!$A$2:$A$379,bkc_lob,_book!$B$2:$B$379,bkc_bu)=0,"—",SUMIFS(_book!$AP$2:$AP$379,_book!$C$2:$C$379,$A42,_book!$A$2:$A$379,bkc_lob,_book!$B$2:$B$379,bkc_bu)/SUMIFS(_book!$F$2:$F$379,_book!$C$2:$C$379,$A42,_book!$A$2:$A$379,bkc_lob,_book!$B$2:$B$379,bkc_bu))</f>
        <v>0.65135112324380595</v>
      </c>
      <c r="I42" s="70">
        <f>IF(SUMIFS(_book!$F$2:$F$379,_book!$C$2:$C$379,$A42,_book!$A$2:$A$379,bkc_lob,_book!$B$2:$B$379,bkc_bu)=0,"—",SUMIFS(_book!$AT$2:$AT$379,_book!$C$2:$C$379,$A42,_book!$A$2:$A$379,bkc_lob,_book!$B$2:$B$379,bkc_bu)/SUMIFS(_book!$F$2:$F$379,_book!$C$2:$C$379,$A42,_book!$A$2:$A$379,bkc_lob,_book!$B$2:$B$379,bkc_bu))</f>
        <v>0.64662914721223319</v>
      </c>
      <c r="J42" s="73" t="str">
        <f>IF(SUMIFS(_book!$V$2:$V$379,_book!$C$2:$C$379,$A42,_book!$A$2:$A$379,bkc_lob,_book!$B$2:$B$379,bkc_bu)=0,"—",($I42-$G42)*100)</f>
        <v>—</v>
      </c>
      <c r="K42" s="68">
        <f>SUMIFS(_book!$V$2:$V$379,_book!$C$2:$C$379,$A42,_book!$A$2:$A$379,bkc_lob,_book!$B$2:$B$379,bkc_bu)</f>
        <v>0</v>
      </c>
    </row>
    <row r="43" spans="1:11" x14ac:dyDescent="0.3">
      <c r="A43" s="23" t="s">
        <v>89</v>
      </c>
      <c r="B43" s="68">
        <f>COUNTIFS(_book!$D$2:$D$379,"?*",_book!$C$2:$C$379,$A43,_book!$A$2:$A$379,bkc_lob,_book!$B$2:$B$379,bkc_bu)</f>
        <v>18</v>
      </c>
      <c r="C43" s="69">
        <f>SUMIFS(_book!$F$2:$F$379,_book!$C$2:$C$379,$A43,_book!$A$2:$A$379,bkc_lob,_book!$B$2:$B$379,bkc_bu)</f>
        <v>867000</v>
      </c>
      <c r="D43" s="70">
        <f>IF(SUMIFS(_book!$F$2:$F$379,_book!$C$2:$C$379,$A43,_book!$A$2:$A$379,bkc_lob,_book!$B$2:$B$379,bkc_bu)=0,"—",SUMIFS(_book!$AN$2:$AN$379,_book!$C$2:$C$379,$A43,_book!$A$2:$A$379,bkc_lob,_book!$B$2:$B$379,bkc_bu)/SUMIFS(_book!$F$2:$F$379,_book!$C$2:$C$379,$A43,_book!$A$2:$A$379,bkc_lob,_book!$B$2:$B$379,bkc_bu))</f>
        <v>0.63680392156862742</v>
      </c>
      <c r="E43" s="71">
        <f>IF(SUMIFS(_book!$F$2:$F$379,_book!$C$2:$C$379,$A43,_book!$A$2:$A$379,bkc_lob,_book!$B$2:$B$379,bkc_bu)=0,"—",SUMIFS(_book!$AK$2:$AK$379,_book!$C$2:$C$379,$A43,_book!$A$2:$A$379,bkc_lob,_book!$B$2:$B$379,bkc_bu)/SUMIFS(_book!$F$2:$F$379,_book!$C$2:$C$379,$A43,_book!$A$2:$A$379,bkc_lob,_book!$B$2:$B$379,bkc_bu))</f>
        <v>1.002596893964748</v>
      </c>
      <c r="F43" s="71">
        <f>IF(SUMIFS(_book!$F$2:$F$379,_book!$C$2:$C$379,$A43,_book!$A$2:$A$379,bkc_lob,_book!$B$2:$B$379,bkc_bu)=0,"—",SUMIFS(_book!$AL$2:$AL$379,_book!$C$2:$C$379,$A43,_book!$A$2:$A$379,bkc_lob,_book!$B$2:$B$379,bkc_bu)/SUMIFS(_book!$F$2:$F$379,_book!$C$2:$C$379,$A43,_book!$A$2:$A$379,bkc_lob,_book!$B$2:$B$379,bkc_bu))</f>
        <v>1.0097775494285695</v>
      </c>
      <c r="G43" s="72">
        <f>IF(SUMIFS(_book!$F$2:$F$379,_book!$C$2:$C$379,$A43,_book!$A$2:$A$379,bkc_lob,_book!$B$2:$B$379,bkc_bu)=0,"—",SUMIFS(_book!$AO$2:$AO$379,_book!$C$2:$C$379,$A43,_book!$A$2:$A$379,bkc_lob,_book!$B$2:$B$379,bkc_bu)/SUMIFS(_book!$F$2:$F$379,_book!$C$2:$C$379,$A43,_book!$A$2:$A$379,bkc_lob,_book!$B$2:$B$379,bkc_bu))</f>
        <v>0.64468071896320045</v>
      </c>
      <c r="H43" s="70">
        <f>IF(SUMIFS(_book!$F$2:$F$379,_book!$C$2:$C$379,$A43,_book!$A$2:$A$379,bkc_lob,_book!$B$2:$B$379,bkc_bu)=0,"—",SUMIFS(_book!$AP$2:$AP$379,_book!$C$2:$C$379,$A43,_book!$A$2:$A$379,bkc_lob,_book!$B$2:$B$379,bkc_bu)/SUMIFS(_book!$F$2:$F$379,_book!$C$2:$C$379,$A43,_book!$A$2:$A$379,bkc_lob,_book!$B$2:$B$379,bkc_bu))</f>
        <v>0.63354370796933601</v>
      </c>
      <c r="I43" s="70">
        <f>IF(SUMIFS(_book!$F$2:$F$379,_book!$C$2:$C$379,$A43,_book!$A$2:$A$379,bkc_lob,_book!$B$2:$B$379,bkc_bu)=0,"—",SUMIFS(_book!$AT$2:$AT$379,_book!$C$2:$C$379,$A43,_book!$A$2:$A$379,bkc_lob,_book!$B$2:$B$379,bkc_bu)/SUMIFS(_book!$F$2:$F$379,_book!$C$2:$C$379,$A43,_book!$A$2:$A$379,bkc_lob,_book!$B$2:$B$379,bkc_bu))</f>
        <v>0.64468071896320045</v>
      </c>
      <c r="J43" s="73" t="str">
        <f>IF(SUMIFS(_book!$V$2:$V$379,_book!$C$2:$C$379,$A43,_book!$A$2:$A$379,bkc_lob,_book!$B$2:$B$379,bkc_bu)=0,"—",($I43-$G43)*100)</f>
        <v>—</v>
      </c>
      <c r="K43" s="68">
        <f>SUMIFS(_book!$V$2:$V$379,_book!$C$2:$C$379,$A43,_book!$A$2:$A$379,bkc_lob,_book!$B$2:$B$379,bkc_bu)</f>
        <v>0</v>
      </c>
    </row>
    <row r="44" spans="1:11" x14ac:dyDescent="0.3">
      <c r="A44" s="23" t="s">
        <v>91</v>
      </c>
      <c r="B44" s="68">
        <f>COUNTIFS(_book!$D$2:$D$379,"?*",_book!$C$2:$C$379,$A44,_book!$A$2:$A$379,bkc_lob,_book!$B$2:$B$379,bkc_bu)</f>
        <v>18</v>
      </c>
      <c r="C44" s="69">
        <f>SUMIFS(_book!$F$2:$F$379,_book!$C$2:$C$379,$A44,_book!$A$2:$A$379,bkc_lob,_book!$B$2:$B$379,bkc_bu)</f>
        <v>663000</v>
      </c>
      <c r="D44" s="70">
        <f>IF(SUMIFS(_book!$F$2:$F$379,_book!$C$2:$C$379,$A44,_book!$A$2:$A$379,bkc_lob,_book!$B$2:$B$379,bkc_bu)=0,"—",SUMIFS(_book!$AN$2:$AN$379,_book!$C$2:$C$379,$A44,_book!$A$2:$A$379,bkc_lob,_book!$B$2:$B$379,bkc_bu)/SUMIFS(_book!$F$2:$F$379,_book!$C$2:$C$379,$A44,_book!$A$2:$A$379,bkc_lob,_book!$B$2:$B$379,bkc_bu))</f>
        <v>0.636526395173454</v>
      </c>
      <c r="E44" s="71">
        <f>IF(SUMIFS(_book!$F$2:$F$379,_book!$C$2:$C$379,$A44,_book!$A$2:$A$379,bkc_lob,_book!$B$2:$B$379,bkc_bu)=0,"—",SUMIFS(_book!$AK$2:$AK$379,_book!$C$2:$C$379,$A44,_book!$A$2:$A$379,bkc_lob,_book!$B$2:$B$379,bkc_bu)/SUMIFS(_book!$F$2:$F$379,_book!$C$2:$C$379,$A44,_book!$A$2:$A$379,bkc_lob,_book!$B$2:$B$379,bkc_bu))</f>
        <v>1.0051511076325563</v>
      </c>
      <c r="F44" s="71">
        <f>IF(SUMIFS(_book!$F$2:$F$379,_book!$C$2:$C$379,$A44,_book!$A$2:$A$379,bkc_lob,_book!$B$2:$B$379,bkc_bu)=0,"—",SUMIFS(_book!$AL$2:$AL$379,_book!$C$2:$C$379,$A44,_book!$A$2:$A$379,bkc_lob,_book!$B$2:$B$379,bkc_bu)/SUMIFS(_book!$F$2:$F$379,_book!$C$2:$C$379,$A44,_book!$A$2:$A$379,bkc_lob,_book!$B$2:$B$379,bkc_bu))</f>
        <v>1.0063331554742276</v>
      </c>
      <c r="G44" s="72">
        <f>IF(SUMIFS(_book!$F$2:$F$379,_book!$C$2:$C$379,$A44,_book!$A$2:$A$379,bkc_lob,_book!$B$2:$B$379,bkc_bu)=0,"—",SUMIFS(_book!$AO$2:$AO$379,_book!$C$2:$C$379,$A44,_book!$A$2:$A$379,bkc_lob,_book!$B$2:$B$379,bkc_bu)/SUMIFS(_book!$F$2:$F$379,_book!$C$2:$C$379,$A44,_book!$A$2:$A$379,bkc_lob,_book!$B$2:$B$379,bkc_bu))</f>
        <v>0.64396431912385765</v>
      </c>
      <c r="H44" s="70">
        <f>IF(SUMIFS(_book!$F$2:$F$379,_book!$C$2:$C$379,$A44,_book!$A$2:$A$379,bkc_lob,_book!$B$2:$B$379,bkc_bu)=0,"—",SUMIFS(_book!$AP$2:$AP$379,_book!$C$2:$C$379,$A44,_book!$A$2:$A$379,bkc_lob,_book!$B$2:$B$379,bkc_bu)/SUMIFS(_book!$F$2:$F$379,_book!$C$2:$C$379,$A44,_book!$A$2:$A$379,bkc_lob,_book!$B$2:$B$379,bkc_bu))</f>
        <v>0.62466582410327243</v>
      </c>
      <c r="I44" s="70">
        <f>IF(SUMIFS(_book!$F$2:$F$379,_book!$C$2:$C$379,$A44,_book!$A$2:$A$379,bkc_lob,_book!$B$2:$B$379,bkc_bu)=0,"—",SUMIFS(_book!$AT$2:$AT$379,_book!$C$2:$C$379,$A44,_book!$A$2:$A$379,bkc_lob,_book!$B$2:$B$379,bkc_bu)/SUMIFS(_book!$F$2:$F$379,_book!$C$2:$C$379,$A44,_book!$A$2:$A$379,bkc_lob,_book!$B$2:$B$379,bkc_bu))</f>
        <v>0.64396431912385765</v>
      </c>
      <c r="J44" s="73" t="str">
        <f>IF(SUMIFS(_book!$V$2:$V$379,_book!$C$2:$C$379,$A44,_book!$A$2:$A$379,bkc_lob,_book!$B$2:$B$379,bkc_bu)=0,"—",($I44-$G44)*100)</f>
        <v>—</v>
      </c>
      <c r="K44" s="68">
        <f>SUMIFS(_book!$V$2:$V$379,_book!$C$2:$C$379,$A44,_book!$A$2:$A$379,bkc_lob,_book!$B$2:$B$379,bkc_bu)</f>
        <v>0</v>
      </c>
    </row>
    <row r="45" spans="1:11" x14ac:dyDescent="0.3">
      <c r="A45" s="23" t="s">
        <v>92</v>
      </c>
      <c r="B45" s="68">
        <f>COUNTIFS(_book!$D$2:$D$379,"?*",_book!$C$2:$C$379,$A45,_book!$A$2:$A$379,bkc_lob,_book!$B$2:$B$379,bkc_bu)</f>
        <v>18</v>
      </c>
      <c r="C45" s="69">
        <f>SUMIFS(_book!$F$2:$F$379,_book!$C$2:$C$379,$A45,_book!$A$2:$A$379,bkc_lob,_book!$B$2:$B$379,bkc_bu)</f>
        <v>459000</v>
      </c>
      <c r="D45" s="70">
        <f>IF(SUMIFS(_book!$F$2:$F$379,_book!$C$2:$C$379,$A45,_book!$A$2:$A$379,bkc_lob,_book!$B$2:$B$379,bkc_bu)=0,"—",SUMIFS(_book!$AN$2:$AN$379,_book!$C$2:$C$379,$A45,_book!$A$2:$A$379,bkc_lob,_book!$B$2:$B$379,bkc_bu)/SUMIFS(_book!$F$2:$F$379,_book!$C$2:$C$379,$A45,_book!$A$2:$A$379,bkc_lob,_book!$B$2:$B$379,bkc_bu))</f>
        <v>0.63392810457516335</v>
      </c>
      <c r="E45" s="71">
        <f>IF(SUMIFS(_book!$F$2:$F$379,_book!$C$2:$C$379,$A45,_book!$A$2:$A$379,bkc_lob,_book!$B$2:$B$379,bkc_bu)=0,"—",SUMIFS(_book!$AK$2:$AK$379,_book!$C$2:$C$379,$A45,_book!$A$2:$A$379,bkc_lob,_book!$B$2:$B$379,bkc_bu)/SUMIFS(_book!$F$2:$F$379,_book!$C$2:$C$379,$A45,_book!$A$2:$A$379,bkc_lob,_book!$B$2:$B$379,bkc_bu))</f>
        <v>0.9989268391337498</v>
      </c>
      <c r="F45" s="71">
        <f>IF(SUMIFS(_book!$F$2:$F$379,_book!$C$2:$C$379,$A45,_book!$A$2:$A$379,bkc_lob,_book!$B$2:$B$379,bkc_bu)=0,"—",SUMIFS(_book!$AL$2:$AL$379,_book!$C$2:$C$379,$A45,_book!$A$2:$A$379,bkc_lob,_book!$B$2:$B$379,bkc_bu)/SUMIFS(_book!$F$2:$F$379,_book!$C$2:$C$379,$A45,_book!$A$2:$A$379,bkc_lob,_book!$B$2:$B$379,bkc_bu))</f>
        <v>1.0109311645652719</v>
      </c>
      <c r="G45" s="72">
        <f>IF(SUMIFS(_book!$F$2:$F$379,_book!$C$2:$C$379,$A45,_book!$A$2:$A$379,bkc_lob,_book!$B$2:$B$379,bkc_bu)=0,"—",SUMIFS(_book!$AO$2:$AO$379,_book!$C$2:$C$379,$A45,_book!$A$2:$A$379,bkc_lob,_book!$B$2:$B$379,bkc_bu)/SUMIFS(_book!$F$2:$F$379,_book!$C$2:$C$379,$A45,_book!$A$2:$A$379,bkc_lob,_book!$B$2:$B$379,bkc_bu))</f>
        <v>0.64015641920483179</v>
      </c>
      <c r="H45" s="70">
        <f>IF(SUMIFS(_book!$F$2:$F$379,_book!$C$2:$C$379,$A45,_book!$A$2:$A$379,bkc_lob,_book!$B$2:$B$379,bkc_bu)=0,"—",SUMIFS(_book!$AP$2:$AP$379,_book!$C$2:$C$379,$A45,_book!$A$2:$A$379,bkc_lob,_book!$B$2:$B$379,bkc_bu)/SUMIFS(_book!$F$2:$F$379,_book!$C$2:$C$379,$A45,_book!$A$2:$A$379,bkc_lob,_book!$B$2:$B$379,bkc_bu))</f>
        <v>0.63457239237371088</v>
      </c>
      <c r="I45" s="70">
        <f>IF(SUMIFS(_book!$F$2:$F$379,_book!$C$2:$C$379,$A45,_book!$A$2:$A$379,bkc_lob,_book!$B$2:$B$379,bkc_bu)=0,"—",SUMIFS(_book!$AT$2:$AT$379,_book!$C$2:$C$379,$A45,_book!$A$2:$A$379,bkc_lob,_book!$B$2:$B$379,bkc_bu)/SUMIFS(_book!$F$2:$F$379,_book!$C$2:$C$379,$A45,_book!$A$2:$A$379,bkc_lob,_book!$B$2:$B$379,bkc_bu))</f>
        <v>0.64015641920483179</v>
      </c>
      <c r="J45" s="73" t="str">
        <f>IF(SUMIFS(_book!$V$2:$V$379,_book!$C$2:$C$379,$A45,_book!$A$2:$A$379,bkc_lob,_book!$B$2:$B$379,bkc_bu)=0,"—",($I45-$G45)*100)</f>
        <v>—</v>
      </c>
      <c r="K45" s="68">
        <f>SUMIFS(_book!$V$2:$V$379,_book!$C$2:$C$379,$A45,_book!$A$2:$A$379,bkc_lob,_book!$B$2:$B$379,bkc_bu)</f>
        <v>0</v>
      </c>
    </row>
    <row r="46" spans="1:11" x14ac:dyDescent="0.3">
      <c r="A46" s="23" t="s">
        <v>94</v>
      </c>
      <c r="B46" s="68">
        <f>COUNTIFS(_book!$D$2:$D$379,"?*",_book!$C$2:$C$379,$A46,_book!$A$2:$A$379,bkc_lob,_book!$B$2:$B$379,bkc_bu)</f>
        <v>18</v>
      </c>
      <c r="C46" s="69">
        <f>SUMIFS(_book!$F$2:$F$379,_book!$C$2:$C$379,$A46,_book!$A$2:$A$379,bkc_lob,_book!$B$2:$B$379,bkc_bu)</f>
        <v>1122000</v>
      </c>
      <c r="D46" s="70">
        <f>IF(SUMIFS(_book!$F$2:$F$379,_book!$C$2:$C$379,$A46,_book!$A$2:$A$379,bkc_lob,_book!$B$2:$B$379,bkc_bu)=0,"—",SUMIFS(_book!$AN$2:$AN$379,_book!$C$2:$C$379,$A46,_book!$A$2:$A$379,bkc_lob,_book!$B$2:$B$379,bkc_bu)/SUMIFS(_book!$F$2:$F$379,_book!$C$2:$C$379,$A46,_book!$A$2:$A$379,bkc_lob,_book!$B$2:$B$379,bkc_bu))</f>
        <v>0.63285739750445635</v>
      </c>
      <c r="E46" s="71">
        <f>IF(SUMIFS(_book!$F$2:$F$379,_book!$C$2:$C$379,$A46,_book!$A$2:$A$379,bkc_lob,_book!$B$2:$B$379,bkc_bu)=0,"—",SUMIFS(_book!$AK$2:$AK$379,_book!$C$2:$C$379,$A46,_book!$A$2:$A$379,bkc_lob,_book!$B$2:$B$379,bkc_bu)/SUMIFS(_book!$F$2:$F$379,_book!$C$2:$C$379,$A46,_book!$A$2:$A$379,bkc_lob,_book!$B$2:$B$379,bkc_bu))</f>
        <v>1.0023784914354354</v>
      </c>
      <c r="F46" s="71">
        <f>IF(SUMIFS(_book!$F$2:$F$379,_book!$C$2:$C$379,$A46,_book!$A$2:$A$379,bkc_lob,_book!$B$2:$B$379,bkc_bu)=0,"—",SUMIFS(_book!$AL$2:$AL$379,_book!$C$2:$C$379,$A46,_book!$A$2:$A$379,bkc_lob,_book!$B$2:$B$379,bkc_bu)/SUMIFS(_book!$F$2:$F$379,_book!$C$2:$C$379,$A46,_book!$A$2:$A$379,bkc_lob,_book!$B$2:$B$379,bkc_bu))</f>
        <v>1.0074785553735899</v>
      </c>
      <c r="G46" s="72">
        <f>IF(SUMIFS(_book!$F$2:$F$379,_book!$C$2:$C$379,$A46,_book!$A$2:$A$379,bkc_lob,_book!$B$2:$B$379,bkc_bu)=0,"—",SUMIFS(_book!$AO$2:$AO$379,_book!$C$2:$C$379,$A46,_book!$A$2:$A$379,bkc_lob,_book!$B$2:$B$379,bkc_bu)/SUMIFS(_book!$F$2:$F$379,_book!$C$2:$C$379,$A46,_book!$A$2:$A$379,bkc_lob,_book!$B$2:$B$379,bkc_bu))</f>
        <v>0.63912669281896373</v>
      </c>
      <c r="H46" s="70">
        <f>IF(SUMIFS(_book!$F$2:$F$379,_book!$C$2:$C$379,$A46,_book!$A$2:$A$379,bkc_lob,_book!$B$2:$B$379,bkc_bu)=0,"—",SUMIFS(_book!$AP$2:$AP$379,_book!$C$2:$C$379,$A46,_book!$A$2:$A$379,bkc_lob,_book!$B$2:$B$379,bkc_bu)/SUMIFS(_book!$F$2:$F$379,_book!$C$2:$C$379,$A46,_book!$A$2:$A$379,bkc_lob,_book!$B$2:$B$379,bkc_bu))</f>
        <v>0.63077766023739545</v>
      </c>
      <c r="I46" s="70">
        <f>IF(SUMIFS(_book!$F$2:$F$379,_book!$C$2:$C$379,$A46,_book!$A$2:$A$379,bkc_lob,_book!$B$2:$B$379,bkc_bu)=0,"—",SUMIFS(_book!$AT$2:$AT$379,_book!$C$2:$C$379,$A46,_book!$A$2:$A$379,bkc_lob,_book!$B$2:$B$379,bkc_bu)/SUMIFS(_book!$F$2:$F$379,_book!$C$2:$C$379,$A46,_book!$A$2:$A$379,bkc_lob,_book!$B$2:$B$379,bkc_bu))</f>
        <v>0.63912669281896373</v>
      </c>
      <c r="J46" s="73" t="str">
        <f>IF(SUMIFS(_book!$V$2:$V$379,_book!$C$2:$C$379,$A46,_book!$A$2:$A$379,bkc_lob,_book!$B$2:$B$379,bkc_bu)=0,"—",($I46-$G46)*100)</f>
        <v>—</v>
      </c>
      <c r="K46" s="68">
        <f>SUMIFS(_book!$V$2:$V$379,_book!$C$2:$C$379,$A46,_book!$A$2:$A$379,bkc_lob,_book!$B$2:$B$379,bkc_bu)</f>
        <v>0</v>
      </c>
    </row>
    <row r="47" spans="1:11" x14ac:dyDescent="0.3">
      <c r="A47" s="23" t="s">
        <v>95</v>
      </c>
      <c r="B47" s="68">
        <f>COUNTIFS(_book!$D$2:$D$379,"?*",_book!$C$2:$C$379,$A47,_book!$A$2:$A$379,bkc_lob,_book!$B$2:$B$379,bkc_bu)</f>
        <v>18</v>
      </c>
      <c r="C47" s="69">
        <f>SUMIFS(_book!$F$2:$F$379,_book!$C$2:$C$379,$A47,_book!$A$2:$A$379,bkc_lob,_book!$B$2:$B$379,bkc_bu)</f>
        <v>918000</v>
      </c>
      <c r="D47" s="70">
        <f>IF(SUMIFS(_book!$F$2:$F$379,_book!$C$2:$C$379,$A47,_book!$A$2:$A$379,bkc_lob,_book!$B$2:$B$379,bkc_bu)=0,"—",SUMIFS(_book!$AN$2:$AN$379,_book!$C$2:$C$379,$A47,_book!$A$2:$A$379,bkc_lob,_book!$B$2:$B$379,bkc_bu)/SUMIFS(_book!$F$2:$F$379,_book!$C$2:$C$379,$A47,_book!$A$2:$A$379,bkc_lob,_book!$B$2:$B$379,bkc_bu))</f>
        <v>0.63229847494553382</v>
      </c>
      <c r="E47" s="71">
        <f>IF(SUMIFS(_book!$F$2:$F$379,_book!$C$2:$C$379,$A47,_book!$A$2:$A$379,bkc_lob,_book!$B$2:$B$379,bkc_bu)=0,"—",SUMIFS(_book!$AK$2:$AK$379,_book!$C$2:$C$379,$A47,_book!$A$2:$A$379,bkc_lob,_book!$B$2:$B$379,bkc_bu)/SUMIFS(_book!$F$2:$F$379,_book!$C$2:$C$379,$A47,_book!$A$2:$A$379,bkc_lob,_book!$B$2:$B$379,bkc_bu))</f>
        <v>0.99733052609549178</v>
      </c>
      <c r="F47" s="71">
        <f>IF(SUMIFS(_book!$F$2:$F$379,_book!$C$2:$C$379,$A47,_book!$A$2:$A$379,bkc_lob,_book!$B$2:$B$379,bkc_bu)=0,"—",SUMIFS(_book!$AL$2:$AL$379,_book!$C$2:$C$379,$A47,_book!$A$2:$A$379,bkc_lob,_book!$B$2:$B$379,bkc_bu)/SUMIFS(_book!$F$2:$F$379,_book!$C$2:$C$379,$A47,_book!$A$2:$A$379,bkc_lob,_book!$B$2:$B$379,bkc_bu))</f>
        <v>1.0120875391944273</v>
      </c>
      <c r="G47" s="72">
        <f>IF(SUMIFS(_book!$F$2:$F$379,_book!$C$2:$C$379,$A47,_book!$A$2:$A$379,bkc_lob,_book!$B$2:$B$379,bkc_bu)=0,"—",SUMIFS(_book!$AO$2:$AO$379,_book!$C$2:$C$379,$A47,_book!$A$2:$A$379,bkc_lob,_book!$B$2:$B$379,bkc_bu)/SUMIFS(_book!$F$2:$F$379,_book!$C$2:$C$379,$A47,_book!$A$2:$A$379,bkc_lob,_book!$B$2:$B$379,bkc_bu))</f>
        <v>0.63810351162598955</v>
      </c>
      <c r="H47" s="70">
        <f>IF(SUMIFS(_book!$F$2:$F$379,_book!$C$2:$C$379,$A47,_book!$A$2:$A$379,bkc_lob,_book!$B$2:$B$379,bkc_bu)=0,"—",SUMIFS(_book!$AP$2:$AP$379,_book!$C$2:$C$379,$A47,_book!$A$2:$A$379,bkc_lob,_book!$B$2:$B$379,bkc_bu)/SUMIFS(_book!$F$2:$F$379,_book!$C$2:$C$379,$A47,_book!$A$2:$A$379,bkc_lob,_book!$B$2:$B$379,bkc_bu))</f>
        <v>0.63338794431982492</v>
      </c>
      <c r="I47" s="70">
        <f>IF(SUMIFS(_book!$F$2:$F$379,_book!$C$2:$C$379,$A47,_book!$A$2:$A$379,bkc_lob,_book!$B$2:$B$379,bkc_bu)=0,"—",SUMIFS(_book!$AT$2:$AT$379,_book!$C$2:$C$379,$A47,_book!$A$2:$A$379,bkc_lob,_book!$B$2:$B$379,bkc_bu)/SUMIFS(_book!$F$2:$F$379,_book!$C$2:$C$379,$A47,_book!$A$2:$A$379,bkc_lob,_book!$B$2:$B$379,bkc_bu))</f>
        <v>0.63810351162598955</v>
      </c>
      <c r="J47" s="73" t="str">
        <f>IF(SUMIFS(_book!$V$2:$V$379,_book!$C$2:$C$379,$A47,_book!$A$2:$A$379,bkc_lob,_book!$B$2:$B$379,bkc_bu)=0,"—",($I47-$G47)*100)</f>
        <v>—</v>
      </c>
      <c r="K47" s="68">
        <f>SUMIFS(_book!$V$2:$V$379,_book!$C$2:$C$379,$A47,_book!$A$2:$A$379,bkc_lob,_book!$B$2:$B$379,bkc_bu)</f>
        <v>0</v>
      </c>
    </row>
    <row r="48" spans="1:11" x14ac:dyDescent="0.3">
      <c r="A48" s="23" t="s">
        <v>96</v>
      </c>
      <c r="B48" s="68">
        <f>COUNTIFS(_book!$D$2:$D$379,"?*",_book!$C$2:$C$379,$A48,_book!$A$2:$A$379,bkc_lob,_book!$B$2:$B$379,bkc_bu)</f>
        <v>18</v>
      </c>
      <c r="C48" s="69">
        <f>SUMIFS(_book!$F$2:$F$379,_book!$C$2:$C$379,$A48,_book!$A$2:$A$379,bkc_lob,_book!$B$2:$B$379,bkc_bu)</f>
        <v>714000</v>
      </c>
      <c r="D48" s="70">
        <f>IF(SUMIFS(_book!$F$2:$F$379,_book!$C$2:$C$379,$A48,_book!$A$2:$A$379,bkc_lob,_book!$B$2:$B$379,bkc_bu)=0,"—",SUMIFS(_book!$AN$2:$AN$379,_book!$C$2:$C$379,$A48,_book!$A$2:$A$379,bkc_lob,_book!$B$2:$B$379,bkc_bu)/SUMIFS(_book!$F$2:$F$379,_book!$C$2:$C$379,$A48,_book!$A$2:$A$379,bkc_lob,_book!$B$2:$B$379,bkc_bu))</f>
        <v>0.6300868347338936</v>
      </c>
      <c r="E48" s="71">
        <f>IF(SUMIFS(_book!$F$2:$F$379,_book!$C$2:$C$379,$A48,_book!$A$2:$A$379,bkc_lob,_book!$B$2:$B$379,bkc_bu)=0,"—",SUMIFS(_book!$AK$2:$AK$379,_book!$C$2:$C$379,$A48,_book!$A$2:$A$379,bkc_lob,_book!$B$2:$B$379,bkc_bu)/SUMIFS(_book!$F$2:$F$379,_book!$C$2:$C$379,$A48,_book!$A$2:$A$379,bkc_lob,_book!$B$2:$B$379,bkc_bu))</f>
        <v>0.99434255827226892</v>
      </c>
      <c r="F48" s="71">
        <f>IF(SUMIFS(_book!$F$2:$F$379,_book!$C$2:$C$379,$A48,_book!$A$2:$A$379,bkc_lob,_book!$B$2:$B$379,bkc_bu)=0,"—",SUMIFS(_book!$AL$2:$AL$379,_book!$C$2:$C$379,$A48,_book!$A$2:$A$379,bkc_lob,_book!$B$2:$B$379,bkc_bu)/SUMIFS(_book!$F$2:$F$379,_book!$C$2:$C$379,$A48,_book!$A$2:$A$379,bkc_lob,_book!$B$2:$B$379,bkc_bu))</f>
        <v>1.0086266832047019</v>
      </c>
      <c r="G48" s="72">
        <f>IF(SUMIFS(_book!$F$2:$F$379,_book!$C$2:$C$379,$A48,_book!$A$2:$A$379,bkc_lob,_book!$B$2:$B$379,bkc_bu)=0,"—",SUMIFS(_book!$AO$2:$AO$379,_book!$C$2:$C$379,$A48,_book!$A$2:$A$379,bkc_lob,_book!$B$2:$B$379,bkc_bu)/SUMIFS(_book!$F$2:$F$379,_book!$C$2:$C$379,$A48,_book!$A$2:$A$379,bkc_lob,_book!$B$2:$B$379,bkc_bu))</f>
        <v>0.63202140662769801</v>
      </c>
      <c r="H48" s="70">
        <f>IF(SUMIFS(_book!$F$2:$F$379,_book!$C$2:$C$379,$A48,_book!$A$2:$A$379,bkc_lob,_book!$B$2:$B$379,bkc_bu)=0,"—",SUMIFS(_book!$AP$2:$AP$379,_book!$C$2:$C$379,$A48,_book!$A$2:$A$379,bkc_lob,_book!$B$2:$B$379,bkc_bu)/SUMIFS(_book!$F$2:$F$379,_book!$C$2:$C$379,$A48,_book!$A$2:$A$379,bkc_lob,_book!$B$2:$B$379,bkc_bu))</f>
        <v>0.62309415684181158</v>
      </c>
      <c r="I48" s="70">
        <f>IF(SUMIFS(_book!$F$2:$F$379,_book!$C$2:$C$379,$A48,_book!$A$2:$A$379,bkc_lob,_book!$B$2:$B$379,bkc_bu)=0,"—",SUMIFS(_book!$AT$2:$AT$379,_book!$C$2:$C$379,$A48,_book!$A$2:$A$379,bkc_lob,_book!$B$2:$B$379,bkc_bu)/SUMIFS(_book!$F$2:$F$379,_book!$C$2:$C$379,$A48,_book!$A$2:$A$379,bkc_lob,_book!$B$2:$B$379,bkc_bu))</f>
        <v>0.63202140662769801</v>
      </c>
      <c r="J48" s="73" t="str">
        <f>IF(SUMIFS(_book!$V$2:$V$379,_book!$C$2:$C$379,$A48,_book!$A$2:$A$379,bkc_lob,_book!$B$2:$B$379,bkc_bu)=0,"—",($I48-$G48)*100)</f>
        <v>—</v>
      </c>
      <c r="K48" s="68">
        <f>SUMIFS(_book!$V$2:$V$379,_book!$C$2:$C$379,$A48,_book!$A$2:$A$379,bkc_lob,_book!$B$2:$B$379,bkc_bu)</f>
        <v>0</v>
      </c>
    </row>
    <row r="49" spans="1:11" x14ac:dyDescent="0.3">
      <c r="A49" s="74" t="s">
        <v>90</v>
      </c>
      <c r="B49" s="54">
        <f>COUNTIFS(_book!$D$2:$D$379,"?*",_book!$A$2:$A$379,bkc_lob,_book!$B$2:$B$379,bkc_bu)</f>
        <v>378</v>
      </c>
      <c r="C49" s="52">
        <f>SUMIFS(_book!$F$2:$F$379,_book!$A$2:$A$379,bkc_lob,_book!$B$2:$B$379,bkc_bu)</f>
        <v>17085000</v>
      </c>
      <c r="D49" s="56">
        <f>IF(SUMIFS(_book!$F$2:$F$379,_book!$A$2:$A$379,bkc_lob,_book!$B$2:$B$379,bkc_bu)=0,"n/a",SUMIFS(_book!$AN$2:$AN$379,_book!$A$2:$A$379,bkc_lob,_book!$B$2:$B$379,bkc_bu)/SUMIFS(_book!$F$2:$F$379,_book!$A$2:$A$379,bkc_lob,_book!$B$2:$B$379,bkc_bu))</f>
        <v>0.63321728065554583</v>
      </c>
      <c r="E49" s="55">
        <f>IF(SUMIFS(_book!$F$2:$F$379,_book!$A$2:$A$379,bkc_lob,_book!$B$2:$B$379,bkc_bu)=0,"n/a",SUMIFS(_book!$AK$2:$AK$379,_book!$A$2:$A$379,bkc_lob,_book!$B$2:$B$379,bkc_bu)/SUMIFS(_book!$F$2:$F$379,_book!$A$2:$A$379,bkc_lob,_book!$B$2:$B$379,bkc_bu))</f>
        <v>0.99877491135968011</v>
      </c>
      <c r="F49" s="55">
        <f>IF(SUMIFS(_book!$F$2:$F$379,_book!$A$2:$A$379,bkc_lob,_book!$B$2:$B$379,bkc_bu)=0,"n/a",SUMIFS(_book!$AL$2:$AL$379,_book!$A$2:$A$379,bkc_lob,_book!$B$2:$B$379,bkc_bu)/SUMIFS(_book!$F$2:$F$379,_book!$A$2:$A$379,bkc_lob,_book!$B$2:$B$379,bkc_bu))</f>
        <v>1.0090431406727232</v>
      </c>
      <c r="G49" s="57">
        <f>IF(SUMIFS(_book!$F$2:$F$379,_book!$A$2:$A$379,bkc_lob,_book!$B$2:$B$379,bkc_bu)=0,"n/a",SUMIFS(_book!$AO$2:$AO$379,_book!$A$2:$A$379,bkc_lob,_book!$B$2:$B$379,bkc_bu)/SUMIFS(_book!$F$2:$F$379,_book!$A$2:$A$379,bkc_lob,_book!$B$2:$B$379,bkc_bu))</f>
        <v>0.6383994815534072</v>
      </c>
      <c r="H49" s="56">
        <f>IF(SUMIFS(_book!$F$2:$F$379,_book!$A$2:$A$379,bkc_lob,_book!$B$2:$B$379,bkc_bu)=0,"n/a",SUMIFS(_book!$AP$2:$AP$379,_book!$A$2:$A$379,bkc_lob,_book!$B$2:$B$379,bkc_bu)/SUMIFS(_book!$F$2:$F$379,_book!$A$2:$A$379,bkc_lob,_book!$B$2:$B$379,bkc_bu))</f>
        <v>0.62825697156966254</v>
      </c>
      <c r="I49" s="56">
        <f>IF(SUMIFS(_book!$F$2:$F$379,_book!$A$2:$A$379,bkc_lob,_book!$B$2:$B$379,bkc_bu)=0,"n/a",SUMIFS(_book!$AT$2:$AT$379,_book!$A$2:$A$379,bkc_lob,_book!$B$2:$B$379,bkc_bu)/SUMIFS(_book!$F$2:$F$379,_book!$A$2:$A$379,bkc_lob,_book!$B$2:$B$379,bkc_bu))</f>
        <v>0.63832189345225843</v>
      </c>
      <c r="J49" s="58">
        <f>IF($C49=0,"",($I49-$G49)*100)</f>
        <v>-7.7588101148773347E-3</v>
      </c>
      <c r="K49" s="54">
        <f>SUMIFS(_book!$V$2:$V$379,_book!$A$2:$A$379,bkc_lob,_book!$B$2:$B$379,bkc_bu)</f>
        <v>6</v>
      </c>
    </row>
    <row r="50" spans="1:11" x14ac:dyDescent="0.3">
      <c r="A50" s="9" t="str">
        <f>"Mix / interaction: "&amp;TEXT($G49-$D49*$E49*$F49,"+0.00%;-0.00%;0.00%")&amp;" — the EP-weighted plan LR minus the product of the EP-weighted factors above it."</f>
        <v>Mix / interaction: +0.02% — the EP-weighted plan LR minus the product of the EP-weighted factors above it.</v>
      </c>
    </row>
  </sheetData>
  <pageMargins left="0.75" right="0.75" top="1" bottom="1" header="0.5" footer="0.5"/>
  <pageSetup fitToHeight="0" orientation="landscape"/>
  <headerFooter>
    <oddHeader>&amp;C&amp;"Calibri,Bold"&amp;10 CY Plan Loss Ratio Workbook</oddHeader>
    <oddFooter>&amp;L&amp;9 &amp;A&amp;R&amp;9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  <pageSetUpPr fitToPage="1"/>
  </sheetPr>
  <dimension ref="A1:M86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3" width="10" customWidth="1"/>
  </cols>
  <sheetData>
    <row r="1" spans="1:13" ht="21" x14ac:dyDescent="0.3">
      <c r="A1" s="1" t="s">
        <v>158</v>
      </c>
    </row>
    <row r="2" spans="1:13" x14ac:dyDescent="0.3">
      <c r="A2" s="2" t="s">
        <v>159</v>
      </c>
    </row>
    <row r="3" spans="1:13" x14ac:dyDescent="0.3">
      <c r="A3" s="7" t="s">
        <v>36</v>
      </c>
      <c r="C3" s="8" t="str">
        <f>HYPERLINK("#Control!A1","Control")</f>
        <v>Control</v>
      </c>
      <c r="E3" s="8" t="str">
        <f>HYPERLINK("#'State Summary'!A1","State Summary")</f>
        <v>State Summary</v>
      </c>
      <c r="G3" s="8" t="str">
        <f>HYPERLINK("#Portfolio!A1","Portfolio")</f>
        <v>Portfolio</v>
      </c>
      <c r="I3" s="8" t="str">
        <f>HYPERLINK("#'Roll-ups'!A1","Roll-ups")</f>
        <v>Roll-ups</v>
      </c>
      <c r="K3" s="8" t="str">
        <f>HYPERLINK("#Checks!A1","Checks")</f>
        <v>Checks</v>
      </c>
    </row>
    <row r="5" spans="1:13" ht="15.6" x14ac:dyDescent="0.3">
      <c r="A5" s="3" t="s">
        <v>160</v>
      </c>
    </row>
    <row r="6" spans="1:13" x14ac:dyDescent="0.3">
      <c r="A6" s="9" t="s">
        <v>161</v>
      </c>
    </row>
    <row r="7" spans="1:13" x14ac:dyDescent="0.3">
      <c r="A7" s="75" t="s">
        <v>44</v>
      </c>
      <c r="B7" s="76" t="str">
        <f>TEXT(DATE(2027,1,1),"mmm")&amp;" 2027"</f>
        <v>Jan 2027</v>
      </c>
      <c r="C7" s="76" t="str">
        <f>TEXT(DATE(2027,2,1),"mmm")&amp;" 2027"</f>
        <v>Feb 2027</v>
      </c>
      <c r="D7" s="76" t="str">
        <f>TEXT(DATE(2027,3,1),"mmm")&amp;" 2027"</f>
        <v>Mar 2027</v>
      </c>
      <c r="E7" s="76" t="str">
        <f>TEXT(DATE(2027,4,1),"mmm")&amp;" 2027"</f>
        <v>Apr 2027</v>
      </c>
      <c r="F7" s="76" t="str">
        <f>TEXT(DATE(2027,5,1),"mmm")&amp;" 2027"</f>
        <v>May 2027</v>
      </c>
      <c r="G7" s="76" t="str">
        <f>TEXT(DATE(2027,6,1),"mmm")&amp;" 2027"</f>
        <v>Jun 2027</v>
      </c>
      <c r="H7" s="76" t="str">
        <f>TEXT(DATE(2027,7,1),"mmm")&amp;" 2027"</f>
        <v>Jul 2027</v>
      </c>
      <c r="I7" s="76" t="str">
        <f>TEXT(DATE(2027,8,1),"mmm")&amp;" 2027"</f>
        <v>Aug 2027</v>
      </c>
      <c r="J7" s="76" t="str">
        <f>TEXT(DATE(2027,9,1),"mmm")&amp;" 2027"</f>
        <v>Sep 2027</v>
      </c>
      <c r="K7" s="76" t="str">
        <f>TEXT(DATE(2027,10,1),"mmm")&amp;" 2027"</f>
        <v>Oct 2027</v>
      </c>
      <c r="L7" s="76" t="str">
        <f>TEXT(DATE(2027,11,1),"mmm")&amp;" 2027"</f>
        <v>Nov 2027</v>
      </c>
      <c r="M7" s="76" t="str">
        <f>TEXT(DATE(2027,12,1),"mmm")&amp;" 2027"</f>
        <v>Dec 2027</v>
      </c>
    </row>
    <row r="8" spans="1:13" x14ac:dyDescent="0.3">
      <c r="A8" s="77" t="s">
        <v>43</v>
      </c>
      <c r="B8" s="78">
        <f>IF(SUMIFS(_book!$AY$2:$AY$379,_book!$C$2:$C$379,$A8,_book!$A$2:$A$379,bkc_lob,_book!$B$2:$B$379,bkc_bu)=0,"—",SUMIFS(_book!$BW$2:$BW$379,_book!$C$2:$C$379,$A8,_book!$A$2:$A$379,bkc_lob,_book!$B$2:$B$379,bkc_bu)/SUMIFS(_book!$AY$2:$AY$379,_book!$C$2:$C$379,$A8,_book!$A$2:$A$379,bkc_lob,_book!$B$2:$B$379,bkc_bu))</f>
        <v>4.2592592592592619E-2</v>
      </c>
      <c r="C8" s="78">
        <f>IF(SUMIFS(_book!$AZ$2:$AZ$379,_book!$C$2:$C$379,$A8,_book!$A$2:$A$379,bkc_lob,_book!$B$2:$B$379,bkc_bu)=0,"—",SUMIFS(_book!$BX$2:$BX$379,_book!$C$2:$C$379,$A8,_book!$A$2:$A$379,bkc_lob,_book!$B$2:$B$379,bkc_bu)/SUMIFS(_book!$AZ$2:$AZ$379,_book!$C$2:$C$379,$A8,_book!$A$2:$A$379,bkc_lob,_book!$B$2:$B$379,bkc_bu))</f>
        <v>5.6325925925925995E-2</v>
      </c>
      <c r="D8" s="78">
        <f>IF(SUMIFS(_book!$BA$2:$BA$379,_book!$C$2:$C$379,$A8,_book!$A$2:$A$379,bkc_lob,_book!$B$2:$B$379,bkc_bu)=0,"—",SUMIFS(_book!$BY$2:$BY$379,_book!$C$2:$C$379,$A8,_book!$A$2:$A$379,bkc_lob,_book!$B$2:$B$379,bkc_bu)/SUMIFS(_book!$BA$2:$BA$379,_book!$C$2:$C$379,$A8,_book!$A$2:$A$379,bkc_lob,_book!$B$2:$B$379,bkc_bu))</f>
        <v>5.6325925925925995E-2</v>
      </c>
      <c r="E8" s="78">
        <f>IF(SUMIFS(_book!$BB$2:$BB$379,_book!$C$2:$C$379,$A8,_book!$A$2:$A$379,bkc_lob,_book!$B$2:$B$379,bkc_bu)=0,"—",SUMIFS(_book!$BZ$2:$BZ$379,_book!$C$2:$C$379,$A8,_book!$A$2:$A$379,bkc_lob,_book!$B$2:$B$379,bkc_bu)/SUMIFS(_book!$BB$2:$BB$379,_book!$C$2:$C$379,$A8,_book!$A$2:$A$379,bkc_lob,_book!$B$2:$B$379,bkc_bu))</f>
        <v>7.2029629629629693E-2</v>
      </c>
      <c r="F8" s="78">
        <f>IF(SUMIFS(_book!$BC$2:$BC$379,_book!$C$2:$C$379,$A8,_book!$A$2:$A$379,bkc_lob,_book!$B$2:$B$379,bkc_bu)=0,"—",SUMIFS(_book!$CA$2:$CA$379,_book!$C$2:$C$379,$A8,_book!$A$2:$A$379,bkc_lob,_book!$B$2:$B$379,bkc_bu)/SUMIFS(_book!$BC$2:$BC$379,_book!$C$2:$C$379,$A8,_book!$A$2:$A$379,bkc_lob,_book!$B$2:$B$379,bkc_bu))</f>
        <v>7.2029629629629693E-2</v>
      </c>
      <c r="G8" s="78">
        <f>IF(SUMIFS(_book!$BD$2:$BD$379,_book!$C$2:$C$379,$A8,_book!$A$2:$A$379,bkc_lob,_book!$B$2:$B$379,bkc_bu)=0,"—",SUMIFS(_book!$CB$2:$CB$379,_book!$C$2:$C$379,$A8,_book!$A$2:$A$379,bkc_lob,_book!$B$2:$B$379,bkc_bu)/SUMIFS(_book!$BD$2:$BD$379,_book!$C$2:$C$379,$A8,_book!$A$2:$A$379,bkc_lob,_book!$B$2:$B$379,bkc_bu))</f>
        <v>7.2029629629629693E-2</v>
      </c>
      <c r="H8" s="78">
        <f>IF(SUMIFS(_book!$BE$2:$BE$379,_book!$C$2:$C$379,$A8,_book!$A$2:$A$379,bkc_lob,_book!$B$2:$B$379,bkc_bu)=0,"—",SUMIFS(_book!$CC$2:$CC$379,_book!$C$2:$C$379,$A8,_book!$A$2:$A$379,bkc_lob,_book!$B$2:$B$379,bkc_bu)/SUMIFS(_book!$BE$2:$BE$379,_book!$C$2:$C$379,$A8,_book!$A$2:$A$379,bkc_lob,_book!$B$2:$B$379,bkc_bu))</f>
        <v>3.8548148148148199E-2</v>
      </c>
      <c r="I8" s="78">
        <f>IF(SUMIFS(_book!$BF$2:$BF$379,_book!$C$2:$C$379,$A8,_book!$A$2:$A$379,bkc_lob,_book!$B$2:$B$379,bkc_bu)=0,"—",SUMIFS(_book!$CD$2:$CD$379,_book!$C$2:$C$379,$A8,_book!$A$2:$A$379,bkc_lob,_book!$B$2:$B$379,bkc_bu)/SUMIFS(_book!$BF$2:$BF$379,_book!$C$2:$C$379,$A8,_book!$A$2:$A$379,bkc_lob,_book!$B$2:$B$379,bkc_bu))</f>
        <v>3.8548148148148199E-2</v>
      </c>
      <c r="J8" s="78">
        <f>IF(SUMIFS(_book!$BG$2:$BG$379,_book!$C$2:$C$379,$A8,_book!$A$2:$A$379,bkc_lob,_book!$B$2:$B$379,bkc_bu)=0,"—",SUMIFS(_book!$CE$2:$CE$379,_book!$C$2:$C$379,$A8,_book!$A$2:$A$379,bkc_lob,_book!$B$2:$B$379,bkc_bu)/SUMIFS(_book!$BG$2:$BG$379,_book!$C$2:$C$379,$A8,_book!$A$2:$A$379,bkc_lob,_book!$B$2:$B$379,bkc_bu))</f>
        <v>3.8548148148148199E-2</v>
      </c>
      <c r="K8" s="78">
        <f>IF(SUMIFS(_book!$BH$2:$BH$379,_book!$C$2:$C$379,$A8,_book!$A$2:$A$379,bkc_lob,_book!$B$2:$B$379,bkc_bu)=0,"—",SUMIFS(_book!$CF$2:$CF$379,_book!$C$2:$C$379,$A8,_book!$A$2:$A$379,bkc_lob,_book!$B$2:$B$379,bkc_bu)/SUMIFS(_book!$BH$2:$BH$379,_book!$C$2:$C$379,$A8,_book!$A$2:$A$379,bkc_lob,_book!$B$2:$B$379,bkc_bu))</f>
        <v>2.8148148148148165E-2</v>
      </c>
      <c r="L8" s="78">
        <f>IF(SUMIFS(_book!$BI$2:$BI$379,_book!$C$2:$C$379,$A8,_book!$A$2:$A$379,bkc_lob,_book!$B$2:$B$379,bkc_bu)=0,"—",SUMIFS(_book!$CG$2:$CG$379,_book!$C$2:$C$379,$A8,_book!$A$2:$A$379,bkc_lob,_book!$B$2:$B$379,bkc_bu)/SUMIFS(_book!$BI$2:$BI$379,_book!$C$2:$C$379,$A8,_book!$A$2:$A$379,bkc_lob,_book!$B$2:$B$379,bkc_bu))</f>
        <v>2.8148148148148165E-2</v>
      </c>
      <c r="M8" s="78">
        <f>IF(SUMIFS(_book!$BJ$2:$BJ$379,_book!$C$2:$C$379,$A8,_book!$A$2:$A$379,bkc_lob,_book!$B$2:$B$379,bkc_bu)=0,"—",SUMIFS(_book!$CH$2:$CH$379,_book!$C$2:$C$379,$A8,_book!$A$2:$A$379,bkc_lob,_book!$B$2:$B$379,bkc_bu)/SUMIFS(_book!$BJ$2:$BJ$379,_book!$C$2:$C$379,$A8,_book!$A$2:$A$379,bkc_lob,_book!$B$2:$B$379,bkc_bu))</f>
        <v>2.8148148148148165E-2</v>
      </c>
    </row>
    <row r="9" spans="1:13" x14ac:dyDescent="0.3">
      <c r="A9" s="77" t="s">
        <v>46</v>
      </c>
      <c r="B9" s="78">
        <f>IF(SUMIFS(_book!$AY$2:$AY$379,_book!$C$2:$C$379,$A9,_book!$A$2:$A$379,bkc_lob,_book!$B$2:$B$379,bkc_bu)=0,"—",SUMIFS(_book!$BW$2:$BW$379,_book!$C$2:$C$379,$A9,_book!$A$2:$A$379,bkc_lob,_book!$B$2:$B$379,bkc_bu)/SUMIFS(_book!$AY$2:$AY$379,_book!$C$2:$C$379,$A9,_book!$A$2:$A$379,bkc_lob,_book!$B$2:$B$379,bkc_bu))</f>
        <v>4.0303030303030327E-2</v>
      </c>
      <c r="C9" s="78">
        <f>IF(SUMIFS(_book!$AZ$2:$AZ$379,_book!$C$2:$C$379,$A9,_book!$A$2:$A$379,bkc_lob,_book!$B$2:$B$379,bkc_bu)=0,"—",SUMIFS(_book!$BX$2:$BX$379,_book!$C$2:$C$379,$A9,_book!$A$2:$A$379,bkc_lob,_book!$B$2:$B$379,bkc_bu)/SUMIFS(_book!$AZ$2:$AZ$379,_book!$C$2:$C$379,$A9,_book!$A$2:$A$379,bkc_lob,_book!$B$2:$B$379,bkc_bu))</f>
        <v>4.3484848484848508E-2</v>
      </c>
      <c r="D9" s="78">
        <f>IF(SUMIFS(_book!$BA$2:$BA$379,_book!$C$2:$C$379,$A9,_book!$A$2:$A$379,bkc_lob,_book!$B$2:$B$379,bkc_bu)=0,"—",SUMIFS(_book!$BY$2:$BY$379,_book!$C$2:$C$379,$A9,_book!$A$2:$A$379,bkc_lob,_book!$B$2:$B$379,bkc_bu)/SUMIFS(_book!$BA$2:$BA$379,_book!$C$2:$C$379,$A9,_book!$A$2:$A$379,bkc_lob,_book!$B$2:$B$379,bkc_bu))</f>
        <v>4.3484848484848508E-2</v>
      </c>
      <c r="E9" s="78">
        <f>IF(SUMIFS(_book!$BB$2:$BB$379,_book!$C$2:$C$379,$A9,_book!$A$2:$A$379,bkc_lob,_book!$B$2:$B$379,bkc_bu)=0,"—",SUMIFS(_book!$BZ$2:$BZ$379,_book!$C$2:$C$379,$A9,_book!$A$2:$A$379,bkc_lob,_book!$B$2:$B$379,bkc_bu)/SUMIFS(_book!$BB$2:$BB$379,_book!$C$2:$C$379,$A9,_book!$A$2:$A$379,bkc_lob,_book!$B$2:$B$379,bkc_bu))</f>
        <v>4.3484848484848508E-2</v>
      </c>
      <c r="F9" s="78">
        <f>IF(SUMIFS(_book!$BC$2:$BC$379,_book!$C$2:$C$379,$A9,_book!$A$2:$A$379,bkc_lob,_book!$B$2:$B$379,bkc_bu)=0,"—",SUMIFS(_book!$CA$2:$CA$379,_book!$C$2:$C$379,$A9,_book!$A$2:$A$379,bkc_lob,_book!$B$2:$B$379,bkc_bu)/SUMIFS(_book!$BC$2:$BC$379,_book!$C$2:$C$379,$A9,_book!$A$2:$A$379,bkc_lob,_book!$B$2:$B$379,bkc_bu))</f>
        <v>4.3484848484848508E-2</v>
      </c>
      <c r="G9" s="78">
        <f>IF(SUMIFS(_book!$BD$2:$BD$379,_book!$C$2:$C$379,$A9,_book!$A$2:$A$379,bkc_lob,_book!$B$2:$B$379,bkc_bu)=0,"—",SUMIFS(_book!$CB$2:$CB$379,_book!$C$2:$C$379,$A9,_book!$A$2:$A$379,bkc_lob,_book!$B$2:$B$379,bkc_bu)/SUMIFS(_book!$BD$2:$BD$379,_book!$C$2:$C$379,$A9,_book!$A$2:$A$379,bkc_lob,_book!$B$2:$B$379,bkc_bu))</f>
        <v>4.3484848484848508E-2</v>
      </c>
      <c r="H9" s="78">
        <f>IF(SUMIFS(_book!$BE$2:$BE$379,_book!$C$2:$C$379,$A9,_book!$A$2:$A$379,bkc_lob,_book!$B$2:$B$379,bkc_bu)=0,"—",SUMIFS(_book!$CC$2:$CC$379,_book!$C$2:$C$379,$A9,_book!$A$2:$A$379,bkc_lob,_book!$B$2:$B$379,bkc_bu)/SUMIFS(_book!$BE$2:$BE$379,_book!$C$2:$C$379,$A9,_book!$A$2:$A$379,bkc_lob,_book!$B$2:$B$379,bkc_bu))</f>
        <v>4.3484848484848508E-2</v>
      </c>
      <c r="I9" s="78">
        <f>IF(SUMIFS(_book!$BF$2:$BF$379,_book!$C$2:$C$379,$A9,_book!$A$2:$A$379,bkc_lob,_book!$B$2:$B$379,bkc_bu)=0,"—",SUMIFS(_book!$CD$2:$CD$379,_book!$C$2:$C$379,$A9,_book!$A$2:$A$379,bkc_lob,_book!$B$2:$B$379,bkc_bu)/SUMIFS(_book!$BF$2:$BF$379,_book!$C$2:$C$379,$A9,_book!$A$2:$A$379,bkc_lob,_book!$B$2:$B$379,bkc_bu))</f>
        <v>2.6060606060606079E-2</v>
      </c>
      <c r="J9" s="78">
        <f>IF(SUMIFS(_book!$BG$2:$BG$379,_book!$C$2:$C$379,$A9,_book!$A$2:$A$379,bkc_lob,_book!$B$2:$B$379,bkc_bu)=0,"—",SUMIFS(_book!$CE$2:$CE$379,_book!$C$2:$C$379,$A9,_book!$A$2:$A$379,bkc_lob,_book!$B$2:$B$379,bkc_bu)/SUMIFS(_book!$BG$2:$BG$379,_book!$C$2:$C$379,$A9,_book!$A$2:$A$379,bkc_lob,_book!$B$2:$B$379,bkc_bu))</f>
        <v>2.6060606060606079E-2</v>
      </c>
      <c r="K9" s="78">
        <f>IF(SUMIFS(_book!$BH$2:$BH$379,_book!$C$2:$C$379,$A9,_book!$A$2:$A$379,bkc_lob,_book!$B$2:$B$379,bkc_bu)=0,"—",SUMIFS(_book!$CF$2:$CF$379,_book!$C$2:$C$379,$A9,_book!$A$2:$A$379,bkc_lob,_book!$B$2:$B$379,bkc_bu)/SUMIFS(_book!$BH$2:$BH$379,_book!$C$2:$C$379,$A9,_book!$A$2:$A$379,bkc_lob,_book!$B$2:$B$379,bkc_bu))</f>
        <v>2.6060606060606079E-2</v>
      </c>
      <c r="L9" s="78">
        <f>IF(SUMIFS(_book!$BI$2:$BI$379,_book!$C$2:$C$379,$A9,_book!$A$2:$A$379,bkc_lob,_book!$B$2:$B$379,bkc_bu)=0,"—",SUMIFS(_book!$CG$2:$CG$379,_book!$C$2:$C$379,$A9,_book!$A$2:$A$379,bkc_lob,_book!$B$2:$B$379,bkc_bu)/SUMIFS(_book!$BI$2:$BI$379,_book!$C$2:$C$379,$A9,_book!$A$2:$A$379,bkc_lob,_book!$B$2:$B$379,bkc_bu))</f>
        <v>1.2727272727272738E-2</v>
      </c>
      <c r="M9" s="78">
        <f>IF(SUMIFS(_book!$BJ$2:$BJ$379,_book!$C$2:$C$379,$A9,_book!$A$2:$A$379,bkc_lob,_book!$B$2:$B$379,bkc_bu)=0,"—",SUMIFS(_book!$CH$2:$CH$379,_book!$C$2:$C$379,$A9,_book!$A$2:$A$379,bkc_lob,_book!$B$2:$B$379,bkc_bu)/SUMIFS(_book!$BJ$2:$BJ$379,_book!$C$2:$C$379,$A9,_book!$A$2:$A$379,bkc_lob,_book!$B$2:$B$379,bkc_bu))</f>
        <v>1.2727272727272738E-2</v>
      </c>
    </row>
    <row r="10" spans="1:13" x14ac:dyDescent="0.3">
      <c r="A10" s="77" t="s">
        <v>48</v>
      </c>
      <c r="B10" s="78">
        <f>IF(SUMIFS(_book!$AY$2:$AY$379,_book!$C$2:$C$379,$A10,_book!$A$2:$A$379,bkc_lob,_book!$B$2:$B$379,bkc_bu)=0,"—",SUMIFS(_book!$BW$2:$BW$379,_book!$C$2:$C$379,$A10,_book!$A$2:$A$379,bkc_lob,_book!$B$2:$B$379,bkc_bu)/SUMIFS(_book!$AY$2:$AY$379,_book!$C$2:$C$379,$A10,_book!$A$2:$A$379,bkc_lob,_book!$B$2:$B$379,bkc_bu))</f>
        <v>1.6666666666666684E-2</v>
      </c>
      <c r="C10" s="78">
        <f>IF(SUMIFS(_book!$AZ$2:$AZ$379,_book!$C$2:$C$379,$A10,_book!$A$2:$A$379,bkc_lob,_book!$B$2:$B$379,bkc_bu)=0,"—",SUMIFS(_book!$BX$2:$BX$379,_book!$C$2:$C$379,$A10,_book!$A$2:$A$379,bkc_lob,_book!$B$2:$B$379,bkc_bu)/SUMIFS(_book!$AZ$2:$AZ$379,_book!$C$2:$C$379,$A10,_book!$A$2:$A$379,bkc_lob,_book!$B$2:$B$379,bkc_bu))</f>
        <v>1.6666666666666684E-2</v>
      </c>
      <c r="D10" s="78">
        <f>IF(SUMIFS(_book!$BA$2:$BA$379,_book!$C$2:$C$379,$A10,_book!$A$2:$A$379,bkc_lob,_book!$B$2:$B$379,bkc_bu)=0,"—",SUMIFS(_book!$BY$2:$BY$379,_book!$C$2:$C$379,$A10,_book!$A$2:$A$379,bkc_lob,_book!$B$2:$B$379,bkc_bu)/SUMIFS(_book!$BA$2:$BA$379,_book!$C$2:$C$379,$A10,_book!$A$2:$A$379,bkc_lob,_book!$B$2:$B$379,bkc_bu))</f>
        <v>1.6666666666666684E-2</v>
      </c>
      <c r="E10" s="78">
        <f>IF(SUMIFS(_book!$BB$2:$BB$379,_book!$C$2:$C$379,$A10,_book!$A$2:$A$379,bkc_lob,_book!$B$2:$B$379,bkc_bu)=0,"—",SUMIFS(_book!$BZ$2:$BZ$379,_book!$C$2:$C$379,$A10,_book!$A$2:$A$379,bkc_lob,_book!$B$2:$B$379,bkc_bu)/SUMIFS(_book!$BB$2:$BB$379,_book!$C$2:$C$379,$A10,_book!$A$2:$A$379,bkc_lob,_book!$B$2:$B$379,bkc_bu))</f>
        <v>0</v>
      </c>
      <c r="F10" s="78">
        <f>IF(SUMIFS(_book!$BC$2:$BC$379,_book!$C$2:$C$379,$A10,_book!$A$2:$A$379,bkc_lob,_book!$B$2:$B$379,bkc_bu)=0,"—",SUMIFS(_book!$CA$2:$CA$379,_book!$C$2:$C$379,$A10,_book!$A$2:$A$379,bkc_lob,_book!$B$2:$B$379,bkc_bu)/SUMIFS(_book!$BC$2:$BC$379,_book!$C$2:$C$379,$A10,_book!$A$2:$A$379,bkc_lob,_book!$B$2:$B$379,bkc_bu))</f>
        <v>5.4838709677419058E-3</v>
      </c>
      <c r="G10" s="78">
        <f>IF(SUMIFS(_book!$BD$2:$BD$379,_book!$C$2:$C$379,$A10,_book!$A$2:$A$379,bkc_lob,_book!$B$2:$B$379,bkc_bu)=0,"—",SUMIFS(_book!$CB$2:$CB$379,_book!$C$2:$C$379,$A10,_book!$A$2:$A$379,bkc_lob,_book!$B$2:$B$379,bkc_bu)/SUMIFS(_book!$BD$2:$BD$379,_book!$C$2:$C$379,$A10,_book!$A$2:$A$379,bkc_lob,_book!$B$2:$B$379,bkc_bu))</f>
        <v>1.0000000000000007E-2</v>
      </c>
      <c r="H10" s="78">
        <f>IF(SUMIFS(_book!$BE$2:$BE$379,_book!$C$2:$C$379,$A10,_book!$A$2:$A$379,bkc_lob,_book!$B$2:$B$379,bkc_bu)=0,"—",SUMIFS(_book!$CC$2:$CC$379,_book!$C$2:$C$379,$A10,_book!$A$2:$A$379,bkc_lob,_book!$B$2:$B$379,bkc_bu)/SUMIFS(_book!$BE$2:$BE$379,_book!$C$2:$C$379,$A10,_book!$A$2:$A$379,bkc_lob,_book!$B$2:$B$379,bkc_bu))</f>
        <v>1.0000000000000007E-2</v>
      </c>
      <c r="I10" s="78">
        <f>IF(SUMIFS(_book!$BF$2:$BF$379,_book!$C$2:$C$379,$A10,_book!$A$2:$A$379,bkc_lob,_book!$B$2:$B$379,bkc_bu)=0,"—",SUMIFS(_book!$CD$2:$CD$379,_book!$C$2:$C$379,$A10,_book!$A$2:$A$379,bkc_lob,_book!$B$2:$B$379,bkc_bu)/SUMIFS(_book!$BF$2:$BF$379,_book!$C$2:$C$379,$A10,_book!$A$2:$A$379,bkc_lob,_book!$B$2:$B$379,bkc_bu))</f>
        <v>1.0000000000000007E-2</v>
      </c>
      <c r="J10" s="78">
        <f>IF(SUMIFS(_book!$BG$2:$BG$379,_book!$C$2:$C$379,$A10,_book!$A$2:$A$379,bkc_lob,_book!$B$2:$B$379,bkc_bu)=0,"—",SUMIFS(_book!$CE$2:$CE$379,_book!$C$2:$C$379,$A10,_book!$A$2:$A$379,bkc_lob,_book!$B$2:$B$379,bkc_bu)/SUMIFS(_book!$BG$2:$BG$379,_book!$C$2:$C$379,$A10,_book!$A$2:$A$379,bkc_lob,_book!$B$2:$B$379,bkc_bu))</f>
        <v>1.0000000000000007E-2</v>
      </c>
      <c r="K10" s="78">
        <f>IF(SUMIFS(_book!$BH$2:$BH$379,_book!$C$2:$C$379,$A10,_book!$A$2:$A$379,bkc_lob,_book!$B$2:$B$379,bkc_bu)=0,"—",SUMIFS(_book!$CF$2:$CF$379,_book!$C$2:$C$379,$A10,_book!$A$2:$A$379,bkc_lob,_book!$B$2:$B$379,bkc_bu)/SUMIFS(_book!$BH$2:$BH$379,_book!$C$2:$C$379,$A10,_book!$A$2:$A$379,bkc_lob,_book!$B$2:$B$379,bkc_bu))</f>
        <v>1.0000000000000007E-2</v>
      </c>
      <c r="L10" s="78">
        <f>IF(SUMIFS(_book!$BI$2:$BI$379,_book!$C$2:$C$379,$A10,_book!$A$2:$A$379,bkc_lob,_book!$B$2:$B$379,bkc_bu)=0,"—",SUMIFS(_book!$CG$2:$CG$379,_book!$C$2:$C$379,$A10,_book!$A$2:$A$379,bkc_lob,_book!$B$2:$B$379,bkc_bu)/SUMIFS(_book!$BI$2:$BI$379,_book!$C$2:$C$379,$A10,_book!$A$2:$A$379,bkc_lob,_book!$B$2:$B$379,bkc_bu))</f>
        <v>1.0000000000000007E-2</v>
      </c>
      <c r="M10" s="78">
        <f>IF(SUMIFS(_book!$BJ$2:$BJ$379,_book!$C$2:$C$379,$A10,_book!$A$2:$A$379,bkc_lob,_book!$B$2:$B$379,bkc_bu)=0,"—",SUMIFS(_book!$CH$2:$CH$379,_book!$C$2:$C$379,$A10,_book!$A$2:$A$379,bkc_lob,_book!$B$2:$B$379,bkc_bu)/SUMIFS(_book!$BJ$2:$BJ$379,_book!$C$2:$C$379,$A10,_book!$A$2:$A$379,bkc_lob,_book!$B$2:$B$379,bkc_bu))</f>
        <v>1.0000000000000007E-2</v>
      </c>
    </row>
    <row r="11" spans="1:13" x14ac:dyDescent="0.3">
      <c r="A11" s="77" t="s">
        <v>50</v>
      </c>
      <c r="B11" s="78">
        <f>IF(SUMIFS(_book!$AY$2:$AY$379,_book!$C$2:$C$379,$A11,_book!$A$2:$A$379,bkc_lob,_book!$B$2:$B$379,bkc_bu)=0,"—",SUMIFS(_book!$BW$2:$BW$379,_book!$C$2:$C$379,$A11,_book!$A$2:$A$379,bkc_lob,_book!$B$2:$B$379,bkc_bu)/SUMIFS(_book!$AY$2:$AY$379,_book!$C$2:$C$379,$A11,_book!$A$2:$A$379,bkc_lob,_book!$B$2:$B$379,bkc_bu))</f>
        <v>4.9285714285714328E-2</v>
      </c>
      <c r="C11" s="78">
        <f>IF(SUMIFS(_book!$AZ$2:$AZ$379,_book!$C$2:$C$379,$A11,_book!$A$2:$A$379,bkc_lob,_book!$B$2:$B$379,bkc_bu)=0,"—",SUMIFS(_book!$BX$2:$BX$379,_book!$C$2:$C$379,$A11,_book!$A$2:$A$379,bkc_lob,_book!$B$2:$B$379,bkc_bu)/SUMIFS(_book!$AZ$2:$AZ$379,_book!$C$2:$C$379,$A11,_book!$A$2:$A$379,bkc_lob,_book!$B$2:$B$379,bkc_bu))</f>
        <v>4.9285714285714328E-2</v>
      </c>
      <c r="D11" s="78">
        <f>IF(SUMIFS(_book!$BA$2:$BA$379,_book!$C$2:$C$379,$A11,_book!$A$2:$A$379,bkc_lob,_book!$B$2:$B$379,bkc_bu)=0,"—",SUMIFS(_book!$BY$2:$BY$379,_book!$C$2:$C$379,$A11,_book!$A$2:$A$379,bkc_lob,_book!$B$2:$B$379,bkc_bu)/SUMIFS(_book!$BA$2:$BA$379,_book!$C$2:$C$379,$A11,_book!$A$2:$A$379,bkc_lob,_book!$B$2:$B$379,bkc_bu))</f>
        <v>6.6565714285714353E-2</v>
      </c>
      <c r="E11" s="78">
        <f>IF(SUMIFS(_book!$BB$2:$BB$379,_book!$C$2:$C$379,$A11,_book!$A$2:$A$379,bkc_lob,_book!$B$2:$B$379,bkc_bu)=0,"—",SUMIFS(_book!$BZ$2:$BZ$379,_book!$C$2:$C$379,$A11,_book!$A$2:$A$379,bkc_lob,_book!$B$2:$B$379,bkc_bu)/SUMIFS(_book!$BB$2:$BB$379,_book!$C$2:$C$379,$A11,_book!$A$2:$A$379,bkc_lob,_book!$B$2:$B$379,bkc_bu))</f>
        <v>5.1089523809523869E-2</v>
      </c>
      <c r="F11" s="78">
        <f>IF(SUMIFS(_book!$BC$2:$BC$379,_book!$C$2:$C$379,$A11,_book!$A$2:$A$379,bkc_lob,_book!$B$2:$B$379,bkc_bu)=0,"—",SUMIFS(_book!$CA$2:$CA$379,_book!$C$2:$C$379,$A11,_book!$A$2:$A$379,bkc_lob,_book!$B$2:$B$379,bkc_bu)/SUMIFS(_book!$BC$2:$BC$379,_book!$C$2:$C$379,$A11,_book!$A$2:$A$379,bkc_lob,_book!$B$2:$B$379,bkc_bu))</f>
        <v>5.1089523809523869E-2</v>
      </c>
      <c r="G11" s="78">
        <f>IF(SUMIFS(_book!$BD$2:$BD$379,_book!$C$2:$C$379,$A11,_book!$A$2:$A$379,bkc_lob,_book!$B$2:$B$379,bkc_bu)=0,"—",SUMIFS(_book!$CB$2:$CB$379,_book!$C$2:$C$379,$A11,_book!$A$2:$A$379,bkc_lob,_book!$B$2:$B$379,bkc_bu)/SUMIFS(_book!$BD$2:$BD$379,_book!$C$2:$C$379,$A11,_book!$A$2:$A$379,bkc_lob,_book!$B$2:$B$379,bkc_bu))</f>
        <v>6.5660952380952431E-2</v>
      </c>
      <c r="H11" s="78">
        <f>IF(SUMIFS(_book!$BE$2:$BE$379,_book!$C$2:$C$379,$A11,_book!$A$2:$A$379,bkc_lob,_book!$B$2:$B$379,bkc_bu)=0,"—",SUMIFS(_book!$CC$2:$CC$379,_book!$C$2:$C$379,$A11,_book!$A$2:$A$379,bkc_lob,_book!$B$2:$B$379,bkc_bu)/SUMIFS(_book!$BE$2:$BE$379,_book!$C$2:$C$379,$A11,_book!$A$2:$A$379,bkc_lob,_book!$B$2:$B$379,bkc_bu))</f>
        <v>6.5660952380952431E-2</v>
      </c>
      <c r="I11" s="78">
        <f>IF(SUMIFS(_book!$BF$2:$BF$379,_book!$C$2:$C$379,$A11,_book!$A$2:$A$379,bkc_lob,_book!$B$2:$B$379,bkc_bu)=0,"—",SUMIFS(_book!$CD$2:$CD$379,_book!$C$2:$C$379,$A11,_book!$A$2:$A$379,bkc_lob,_book!$B$2:$B$379,bkc_bu)/SUMIFS(_book!$BF$2:$BF$379,_book!$C$2:$C$379,$A11,_book!$A$2:$A$379,bkc_lob,_book!$B$2:$B$379,bkc_bu))</f>
        <v>6.5660952380952431E-2</v>
      </c>
      <c r="J11" s="78">
        <f>IF(SUMIFS(_book!$BG$2:$BG$379,_book!$C$2:$C$379,$A11,_book!$A$2:$A$379,bkc_lob,_book!$B$2:$B$379,bkc_bu)=0,"—",SUMIFS(_book!$CE$2:$CE$379,_book!$C$2:$C$379,$A11,_book!$A$2:$A$379,bkc_lob,_book!$B$2:$B$379,bkc_bu)/SUMIFS(_book!$BG$2:$BG$379,_book!$C$2:$C$379,$A11,_book!$A$2:$A$379,bkc_lob,_book!$B$2:$B$379,bkc_bu))</f>
        <v>6.5660952380952431E-2</v>
      </c>
      <c r="K11" s="78">
        <f>IF(SUMIFS(_book!$BH$2:$BH$379,_book!$C$2:$C$379,$A11,_book!$A$2:$A$379,bkc_lob,_book!$B$2:$B$379,bkc_bu)=0,"—",SUMIFS(_book!$CF$2:$CF$379,_book!$C$2:$C$379,$A11,_book!$A$2:$A$379,bkc_lob,_book!$B$2:$B$379,bkc_bu)/SUMIFS(_book!$BH$2:$BH$379,_book!$C$2:$C$379,$A11,_book!$A$2:$A$379,bkc_lob,_book!$B$2:$B$379,bkc_bu))</f>
        <v>3.0285714285714315E-2</v>
      </c>
      <c r="L11" s="78">
        <f>IF(SUMIFS(_book!$BI$2:$BI$379,_book!$C$2:$C$379,$A11,_book!$A$2:$A$379,bkc_lob,_book!$B$2:$B$379,bkc_bu)=0,"—",SUMIFS(_book!$CG$2:$CG$379,_book!$C$2:$C$379,$A11,_book!$A$2:$A$379,bkc_lob,_book!$B$2:$B$379,bkc_bu)/SUMIFS(_book!$BI$2:$BI$379,_book!$C$2:$C$379,$A11,_book!$A$2:$A$379,bkc_lob,_book!$B$2:$B$379,bkc_bu))</f>
        <v>3.0285714285714315E-2</v>
      </c>
      <c r="M11" s="78">
        <f>IF(SUMIFS(_book!$BJ$2:$BJ$379,_book!$C$2:$C$379,$A11,_book!$A$2:$A$379,bkc_lob,_book!$B$2:$B$379,bkc_bu)=0,"—",SUMIFS(_book!$CH$2:$CH$379,_book!$C$2:$C$379,$A11,_book!$A$2:$A$379,bkc_lob,_book!$B$2:$B$379,bkc_bu)/SUMIFS(_book!$BJ$2:$BJ$379,_book!$C$2:$C$379,$A11,_book!$A$2:$A$379,bkc_lob,_book!$B$2:$B$379,bkc_bu))</f>
        <v>3.0285714285714315E-2</v>
      </c>
    </row>
    <row r="12" spans="1:13" x14ac:dyDescent="0.3">
      <c r="A12" s="77" t="s">
        <v>57</v>
      </c>
      <c r="B12" s="78">
        <f>IF(SUMIFS(_book!$AY$2:$AY$379,_book!$C$2:$C$379,$A12,_book!$A$2:$A$379,bkc_lob,_book!$B$2:$B$379,bkc_bu)=0,"—",SUMIFS(_book!$BW$2:$BW$379,_book!$C$2:$C$379,$A12,_book!$A$2:$A$379,bkc_lob,_book!$B$2:$B$379,bkc_bu)/SUMIFS(_book!$AY$2:$AY$379,_book!$C$2:$C$379,$A12,_book!$A$2:$A$379,bkc_lob,_book!$B$2:$B$379,bkc_bu))</f>
        <v>2.466666666666668E-2</v>
      </c>
      <c r="C12" s="78">
        <f>IF(SUMIFS(_book!$AZ$2:$AZ$379,_book!$C$2:$C$379,$A12,_book!$A$2:$A$379,bkc_lob,_book!$B$2:$B$379,bkc_bu)=0,"—",SUMIFS(_book!$BX$2:$BX$379,_book!$C$2:$C$379,$A12,_book!$A$2:$A$379,bkc_lob,_book!$B$2:$B$379,bkc_bu)/SUMIFS(_book!$AZ$2:$AZ$379,_book!$C$2:$C$379,$A12,_book!$A$2:$A$379,bkc_lob,_book!$B$2:$B$379,bkc_bu))</f>
        <v>1.8000000000000016E-2</v>
      </c>
      <c r="D12" s="78">
        <f>IF(SUMIFS(_book!$BA$2:$BA$379,_book!$C$2:$C$379,$A12,_book!$A$2:$A$379,bkc_lob,_book!$B$2:$B$379,bkc_bu)=0,"—",SUMIFS(_book!$BY$2:$BY$379,_book!$C$2:$C$379,$A12,_book!$A$2:$A$379,bkc_lob,_book!$B$2:$B$379,bkc_bu)/SUMIFS(_book!$BA$2:$BA$379,_book!$C$2:$C$379,$A12,_book!$A$2:$A$379,bkc_lob,_book!$B$2:$B$379,bkc_bu))</f>
        <v>1.8000000000000016E-2</v>
      </c>
      <c r="E12" s="78">
        <f>IF(SUMIFS(_book!$BB$2:$BB$379,_book!$C$2:$C$379,$A12,_book!$A$2:$A$379,bkc_lob,_book!$B$2:$B$379,bkc_bu)=0,"—",SUMIFS(_book!$BZ$2:$BZ$379,_book!$C$2:$C$379,$A12,_book!$A$2:$A$379,bkc_lob,_book!$B$2:$B$379,bkc_bu)/SUMIFS(_book!$BB$2:$BB$379,_book!$C$2:$C$379,$A12,_book!$A$2:$A$379,bkc_lob,_book!$B$2:$B$379,bkc_bu))</f>
        <v>1.8000000000000016E-2</v>
      </c>
      <c r="F12" s="78">
        <f>IF(SUMIFS(_book!$BC$2:$BC$379,_book!$C$2:$C$379,$A12,_book!$A$2:$A$379,bkc_lob,_book!$B$2:$B$379,bkc_bu)=0,"—",SUMIFS(_book!$CA$2:$CA$379,_book!$C$2:$C$379,$A12,_book!$A$2:$A$379,bkc_lob,_book!$B$2:$B$379,bkc_bu)/SUMIFS(_book!$BC$2:$BC$379,_book!$C$2:$C$379,$A12,_book!$A$2:$A$379,bkc_lob,_book!$B$2:$B$379,bkc_bu))</f>
        <v>0</v>
      </c>
      <c r="G12" s="78">
        <f>IF(SUMIFS(_book!$BD$2:$BD$379,_book!$C$2:$C$379,$A12,_book!$A$2:$A$379,bkc_lob,_book!$B$2:$B$379,bkc_bu)=0,"—",SUMIFS(_book!$CB$2:$CB$379,_book!$C$2:$C$379,$A12,_book!$A$2:$A$379,bkc_lob,_book!$B$2:$B$379,bkc_bu)/SUMIFS(_book!$BD$2:$BD$379,_book!$C$2:$C$379,$A12,_book!$A$2:$A$379,bkc_lob,_book!$B$2:$B$379,bkc_bu))</f>
        <v>1.3333333333333345E-2</v>
      </c>
      <c r="H12" s="78">
        <f>IF(SUMIFS(_book!$BE$2:$BE$379,_book!$C$2:$C$379,$A12,_book!$A$2:$A$379,bkc_lob,_book!$B$2:$B$379,bkc_bu)=0,"—",SUMIFS(_book!$CC$2:$CC$379,_book!$C$2:$C$379,$A12,_book!$A$2:$A$379,bkc_lob,_book!$B$2:$B$379,bkc_bu)/SUMIFS(_book!$BE$2:$BE$379,_book!$C$2:$C$379,$A12,_book!$A$2:$A$379,bkc_lob,_book!$B$2:$B$379,bkc_bu))</f>
        <v>1.3333333333333345E-2</v>
      </c>
      <c r="I12" s="78">
        <f>IF(SUMIFS(_book!$BF$2:$BF$379,_book!$C$2:$C$379,$A12,_book!$A$2:$A$379,bkc_lob,_book!$B$2:$B$379,bkc_bu)=0,"—",SUMIFS(_book!$CD$2:$CD$379,_book!$C$2:$C$379,$A12,_book!$A$2:$A$379,bkc_lob,_book!$B$2:$B$379,bkc_bu)/SUMIFS(_book!$BF$2:$BF$379,_book!$C$2:$C$379,$A12,_book!$A$2:$A$379,bkc_lob,_book!$B$2:$B$379,bkc_bu))</f>
        <v>1.3333333333333345E-2</v>
      </c>
      <c r="J12" s="78">
        <f>IF(SUMIFS(_book!$BG$2:$BG$379,_book!$C$2:$C$379,$A12,_book!$A$2:$A$379,bkc_lob,_book!$B$2:$B$379,bkc_bu)=0,"—",SUMIFS(_book!$CE$2:$CE$379,_book!$C$2:$C$379,$A12,_book!$A$2:$A$379,bkc_lob,_book!$B$2:$B$379,bkc_bu)/SUMIFS(_book!$BG$2:$BG$379,_book!$C$2:$C$379,$A12,_book!$A$2:$A$379,bkc_lob,_book!$B$2:$B$379,bkc_bu))</f>
        <v>1.3333333333333345E-2</v>
      </c>
      <c r="K12" s="78">
        <f>IF(SUMIFS(_book!$BH$2:$BH$379,_book!$C$2:$C$379,$A12,_book!$A$2:$A$379,bkc_lob,_book!$B$2:$B$379,bkc_bu)=0,"—",SUMIFS(_book!$CF$2:$CF$379,_book!$C$2:$C$379,$A12,_book!$A$2:$A$379,bkc_lob,_book!$B$2:$B$379,bkc_bu)/SUMIFS(_book!$BH$2:$BH$379,_book!$C$2:$C$379,$A12,_book!$A$2:$A$379,bkc_lob,_book!$B$2:$B$379,bkc_bu))</f>
        <v>1.3333333333333345E-2</v>
      </c>
      <c r="L12" s="78">
        <f>IF(SUMIFS(_book!$BI$2:$BI$379,_book!$C$2:$C$379,$A12,_book!$A$2:$A$379,bkc_lob,_book!$B$2:$B$379,bkc_bu)=0,"—",SUMIFS(_book!$CG$2:$CG$379,_book!$C$2:$C$379,$A12,_book!$A$2:$A$379,bkc_lob,_book!$B$2:$B$379,bkc_bu)/SUMIFS(_book!$BI$2:$BI$379,_book!$C$2:$C$379,$A12,_book!$A$2:$A$379,bkc_lob,_book!$B$2:$B$379,bkc_bu))</f>
        <v>1.3333333333333345E-2</v>
      </c>
      <c r="M12" s="78">
        <f>IF(SUMIFS(_book!$BJ$2:$BJ$379,_book!$C$2:$C$379,$A12,_book!$A$2:$A$379,bkc_lob,_book!$B$2:$B$379,bkc_bu)=0,"—",SUMIFS(_book!$CH$2:$CH$379,_book!$C$2:$C$379,$A12,_book!$A$2:$A$379,bkc_lob,_book!$B$2:$B$379,bkc_bu)/SUMIFS(_book!$BJ$2:$BJ$379,_book!$C$2:$C$379,$A12,_book!$A$2:$A$379,bkc_lob,_book!$B$2:$B$379,bkc_bu))</f>
        <v>1.3333333333333345E-2</v>
      </c>
    </row>
    <row r="13" spans="1:13" x14ac:dyDescent="0.3">
      <c r="A13" s="77" t="s">
        <v>58</v>
      </c>
      <c r="B13" s="78">
        <f>IF(SUMIFS(_book!$AY$2:$AY$379,_book!$C$2:$C$379,$A13,_book!$A$2:$A$379,bkc_lob,_book!$B$2:$B$379,bkc_bu)=0,"—",SUMIFS(_book!$BW$2:$BW$379,_book!$C$2:$C$379,$A13,_book!$A$2:$A$379,bkc_lob,_book!$B$2:$B$379,bkc_bu)/SUMIFS(_book!$AY$2:$AY$379,_book!$C$2:$C$379,$A13,_book!$A$2:$A$379,bkc_lob,_book!$B$2:$B$379,bkc_bu))</f>
        <v>1.43478260869565E-2</v>
      </c>
      <c r="C13" s="78">
        <f>IF(SUMIFS(_book!$AZ$2:$AZ$379,_book!$C$2:$C$379,$A13,_book!$A$2:$A$379,bkc_lob,_book!$B$2:$B$379,bkc_bu)=0,"—",SUMIFS(_book!$BX$2:$BX$379,_book!$C$2:$C$379,$A13,_book!$A$2:$A$379,bkc_lob,_book!$B$2:$B$379,bkc_bu)/SUMIFS(_book!$AZ$2:$AZ$379,_book!$C$2:$C$379,$A13,_book!$A$2:$A$379,bkc_lob,_book!$B$2:$B$379,bkc_bu))</f>
        <v>1.43478260869565E-2</v>
      </c>
      <c r="D13" s="78">
        <f>IF(SUMIFS(_book!$BA$2:$BA$379,_book!$C$2:$C$379,$A13,_book!$A$2:$A$379,bkc_lob,_book!$B$2:$B$379,bkc_bu)=0,"—",SUMIFS(_book!$BY$2:$BY$379,_book!$C$2:$C$379,$A13,_book!$A$2:$A$379,bkc_lob,_book!$B$2:$B$379,bkc_bu)/SUMIFS(_book!$BA$2:$BA$379,_book!$C$2:$C$379,$A13,_book!$A$2:$A$379,bkc_lob,_book!$B$2:$B$379,bkc_bu))</f>
        <v>1.43478260869565E-2</v>
      </c>
      <c r="E13" s="78">
        <f>IF(SUMIFS(_book!$BB$2:$BB$379,_book!$C$2:$C$379,$A13,_book!$A$2:$A$379,bkc_lob,_book!$B$2:$B$379,bkc_bu)=0,"—",SUMIFS(_book!$BZ$2:$BZ$379,_book!$C$2:$C$379,$A13,_book!$A$2:$A$379,bkc_lob,_book!$B$2:$B$379,bkc_bu)/SUMIFS(_book!$BB$2:$BB$379,_book!$C$2:$C$379,$A13,_book!$A$2:$A$379,bkc_lob,_book!$B$2:$B$379,bkc_bu))</f>
        <v>1.43478260869565E-2</v>
      </c>
      <c r="F13" s="78">
        <f>IF(SUMIFS(_book!$BC$2:$BC$379,_book!$C$2:$C$379,$A13,_book!$A$2:$A$379,bkc_lob,_book!$B$2:$B$379,bkc_bu)=0,"—",SUMIFS(_book!$CA$2:$CA$379,_book!$C$2:$C$379,$A13,_book!$A$2:$A$379,bkc_lob,_book!$B$2:$B$379,bkc_bu)/SUMIFS(_book!$BC$2:$BC$379,_book!$C$2:$C$379,$A13,_book!$A$2:$A$379,bkc_lob,_book!$B$2:$B$379,bkc_bu))</f>
        <v>1.43478260869565E-2</v>
      </c>
      <c r="G13" s="78">
        <f>IF(SUMIFS(_book!$BD$2:$BD$379,_book!$C$2:$C$379,$A13,_book!$A$2:$A$379,bkc_lob,_book!$B$2:$B$379,bkc_bu)=0,"—",SUMIFS(_book!$CB$2:$CB$379,_book!$C$2:$C$379,$A13,_book!$A$2:$A$379,bkc_lob,_book!$B$2:$B$379,bkc_bu)/SUMIFS(_book!$BD$2:$BD$379,_book!$C$2:$C$379,$A13,_book!$A$2:$A$379,bkc_lob,_book!$B$2:$B$379,bkc_bu))</f>
        <v>1.2753623188405809E-2</v>
      </c>
      <c r="H13" s="78">
        <f>IF(SUMIFS(_book!$BE$2:$BE$379,_book!$C$2:$C$379,$A13,_book!$A$2:$A$379,bkc_lob,_book!$B$2:$B$379,bkc_bu)=0,"—",SUMIFS(_book!$CC$2:$CC$379,_book!$C$2:$C$379,$A13,_book!$A$2:$A$379,bkc_lob,_book!$B$2:$B$379,bkc_bu)/SUMIFS(_book!$BE$2:$BE$379,_book!$C$2:$C$379,$A13,_book!$A$2:$A$379,bkc_lob,_book!$B$2:$B$379,bkc_bu))</f>
        <v>1.2753623188405809E-2</v>
      </c>
      <c r="I13" s="78">
        <f>IF(SUMIFS(_book!$BF$2:$BF$379,_book!$C$2:$C$379,$A13,_book!$A$2:$A$379,bkc_lob,_book!$B$2:$B$379,bkc_bu)=0,"—",SUMIFS(_book!$CD$2:$CD$379,_book!$C$2:$C$379,$A13,_book!$A$2:$A$379,bkc_lob,_book!$B$2:$B$379,bkc_bu)/SUMIFS(_book!$BF$2:$BF$379,_book!$C$2:$C$379,$A13,_book!$A$2:$A$379,bkc_lob,_book!$B$2:$B$379,bkc_bu))</f>
        <v>1.2753623188405809E-2</v>
      </c>
      <c r="J13" s="78">
        <f>IF(SUMIFS(_book!$BG$2:$BG$379,_book!$C$2:$C$379,$A13,_book!$A$2:$A$379,bkc_lob,_book!$B$2:$B$379,bkc_bu)=0,"—",SUMIFS(_book!$CE$2:$CE$379,_book!$C$2:$C$379,$A13,_book!$A$2:$A$379,bkc_lob,_book!$B$2:$B$379,bkc_bu)/SUMIFS(_book!$BG$2:$BG$379,_book!$C$2:$C$379,$A13,_book!$A$2:$A$379,bkc_lob,_book!$B$2:$B$379,bkc_bu))</f>
        <v>1.2753623188405809E-2</v>
      </c>
      <c r="K13" s="78">
        <f>IF(SUMIFS(_book!$BH$2:$BH$379,_book!$C$2:$C$379,$A13,_book!$A$2:$A$379,bkc_lob,_book!$B$2:$B$379,bkc_bu)=0,"—",SUMIFS(_book!$CF$2:$CF$379,_book!$C$2:$C$379,$A13,_book!$A$2:$A$379,bkc_lob,_book!$B$2:$B$379,bkc_bu)/SUMIFS(_book!$BH$2:$BH$379,_book!$C$2:$C$379,$A13,_book!$A$2:$A$379,bkc_lob,_book!$B$2:$B$379,bkc_bu))</f>
        <v>1.2753623188405809E-2</v>
      </c>
      <c r="L13" s="78">
        <f>IF(SUMIFS(_book!$BI$2:$BI$379,_book!$C$2:$C$379,$A13,_book!$A$2:$A$379,bkc_lob,_book!$B$2:$B$379,bkc_bu)=0,"—",SUMIFS(_book!$CG$2:$CG$379,_book!$C$2:$C$379,$A13,_book!$A$2:$A$379,bkc_lob,_book!$B$2:$B$379,bkc_bu)/SUMIFS(_book!$BI$2:$BI$379,_book!$C$2:$C$379,$A13,_book!$A$2:$A$379,bkc_lob,_book!$B$2:$B$379,bkc_bu))</f>
        <v>1.2753623188405809E-2</v>
      </c>
      <c r="M13" s="78">
        <f>IF(SUMIFS(_book!$BJ$2:$BJ$379,_book!$C$2:$C$379,$A13,_book!$A$2:$A$379,bkc_lob,_book!$B$2:$B$379,bkc_bu)=0,"—",SUMIFS(_book!$CH$2:$CH$379,_book!$C$2:$C$379,$A13,_book!$A$2:$A$379,bkc_lob,_book!$B$2:$B$379,bkc_bu)/SUMIFS(_book!$BJ$2:$BJ$379,_book!$C$2:$C$379,$A13,_book!$A$2:$A$379,bkc_lob,_book!$B$2:$B$379,bkc_bu))</f>
        <v>1.2753623188405809E-2</v>
      </c>
    </row>
    <row r="14" spans="1:13" x14ac:dyDescent="0.3">
      <c r="A14" s="77" t="s">
        <v>65</v>
      </c>
      <c r="B14" s="78">
        <f>IF(SUMIFS(_book!$AY$2:$AY$379,_book!$C$2:$C$379,$A14,_book!$A$2:$A$379,bkc_lob,_book!$B$2:$B$379,bkc_bu)=0,"—",SUMIFS(_book!$BW$2:$BW$379,_book!$C$2:$C$379,$A14,_book!$A$2:$A$379,bkc_lob,_book!$B$2:$B$379,bkc_bu)/SUMIFS(_book!$AY$2:$AY$379,_book!$C$2:$C$379,$A14,_book!$A$2:$A$379,bkc_lob,_book!$B$2:$B$379,bkc_bu))</f>
        <v>4.5614035087719301E-2</v>
      </c>
      <c r="C14" s="78">
        <f>IF(SUMIFS(_book!$AZ$2:$AZ$379,_book!$C$2:$C$379,$A14,_book!$A$2:$A$379,bkc_lob,_book!$B$2:$B$379,bkc_bu)=0,"—",SUMIFS(_book!$BX$2:$BX$379,_book!$C$2:$C$379,$A14,_book!$A$2:$A$379,bkc_lob,_book!$B$2:$B$379,bkc_bu)/SUMIFS(_book!$AZ$2:$AZ$379,_book!$C$2:$C$379,$A14,_book!$A$2:$A$379,bkc_lob,_book!$B$2:$B$379,bkc_bu))</f>
        <v>4.5614035087719301E-2</v>
      </c>
      <c r="D14" s="78">
        <f>IF(SUMIFS(_book!$BA$2:$BA$379,_book!$C$2:$C$379,$A14,_book!$A$2:$A$379,bkc_lob,_book!$B$2:$B$379,bkc_bu)=0,"—",SUMIFS(_book!$BY$2:$BY$379,_book!$C$2:$C$379,$A14,_book!$A$2:$A$379,bkc_lob,_book!$B$2:$B$379,bkc_bu)/SUMIFS(_book!$BA$2:$BA$379,_book!$C$2:$C$379,$A14,_book!$A$2:$A$379,bkc_lob,_book!$B$2:$B$379,bkc_bu))</f>
        <v>4.5614035087719301E-2</v>
      </c>
      <c r="E14" s="78">
        <f>IF(SUMIFS(_book!$BB$2:$BB$379,_book!$C$2:$C$379,$A14,_book!$A$2:$A$379,bkc_lob,_book!$B$2:$B$379,bkc_bu)=0,"—",SUMIFS(_book!$BZ$2:$BZ$379,_book!$C$2:$C$379,$A14,_book!$A$2:$A$379,bkc_lob,_book!$B$2:$B$379,bkc_bu)/SUMIFS(_book!$BB$2:$BB$379,_book!$C$2:$C$379,$A14,_book!$A$2:$A$379,bkc_lob,_book!$B$2:$B$379,bkc_bu))</f>
        <v>3.2280701754385951E-2</v>
      </c>
      <c r="F14" s="78">
        <f>IF(SUMIFS(_book!$BC$2:$BC$379,_book!$C$2:$C$379,$A14,_book!$A$2:$A$379,bkc_lob,_book!$B$2:$B$379,bkc_bu)=0,"—",SUMIFS(_book!$CA$2:$CA$379,_book!$C$2:$C$379,$A14,_book!$A$2:$A$379,bkc_lob,_book!$B$2:$B$379,bkc_bu)/SUMIFS(_book!$BC$2:$BC$379,_book!$C$2:$C$379,$A14,_book!$A$2:$A$379,bkc_lob,_book!$B$2:$B$379,bkc_bu))</f>
        <v>3.2280701754385951E-2</v>
      </c>
      <c r="G14" s="78">
        <f>IF(SUMIFS(_book!$BD$2:$BD$379,_book!$C$2:$C$379,$A14,_book!$A$2:$A$379,bkc_lob,_book!$B$2:$B$379,bkc_bu)=0,"—",SUMIFS(_book!$CB$2:$CB$379,_book!$C$2:$C$379,$A14,_book!$A$2:$A$379,bkc_lob,_book!$B$2:$B$379,bkc_bu)/SUMIFS(_book!$BD$2:$BD$379,_book!$C$2:$C$379,$A14,_book!$A$2:$A$379,bkc_lob,_book!$B$2:$B$379,bkc_bu))</f>
        <v>3.2280701754385951E-2</v>
      </c>
      <c r="H14" s="78">
        <f>IF(SUMIFS(_book!$BE$2:$BE$379,_book!$C$2:$C$379,$A14,_book!$A$2:$A$379,bkc_lob,_book!$B$2:$B$379,bkc_bu)=0,"—",SUMIFS(_book!$CC$2:$CC$379,_book!$C$2:$C$379,$A14,_book!$A$2:$A$379,bkc_lob,_book!$B$2:$B$379,bkc_bu)/SUMIFS(_book!$BE$2:$BE$379,_book!$C$2:$C$379,$A14,_book!$A$2:$A$379,bkc_lob,_book!$B$2:$B$379,bkc_bu))</f>
        <v>0</v>
      </c>
      <c r="I14" s="78">
        <f>IF(SUMIFS(_book!$BF$2:$BF$379,_book!$C$2:$C$379,$A14,_book!$A$2:$A$379,bkc_lob,_book!$B$2:$B$379,bkc_bu)=0,"—",SUMIFS(_book!$CD$2:$CD$379,_book!$C$2:$C$379,$A14,_book!$A$2:$A$379,bkc_lob,_book!$B$2:$B$379,bkc_bu)/SUMIFS(_book!$BF$2:$BF$379,_book!$C$2:$C$379,$A14,_book!$A$2:$A$379,bkc_lob,_book!$B$2:$B$379,bkc_bu))</f>
        <v>0</v>
      </c>
      <c r="J14" s="78">
        <f>IF(SUMIFS(_book!$BG$2:$BG$379,_book!$C$2:$C$379,$A14,_book!$A$2:$A$379,bkc_lob,_book!$B$2:$B$379,bkc_bu)=0,"—",SUMIFS(_book!$CE$2:$CE$379,_book!$C$2:$C$379,$A14,_book!$A$2:$A$379,bkc_lob,_book!$B$2:$B$379,bkc_bu)/SUMIFS(_book!$BG$2:$BG$379,_book!$C$2:$C$379,$A14,_book!$A$2:$A$379,bkc_lob,_book!$B$2:$B$379,bkc_bu))</f>
        <v>0</v>
      </c>
      <c r="K14" s="78">
        <f>IF(SUMIFS(_book!$BH$2:$BH$379,_book!$C$2:$C$379,$A14,_book!$A$2:$A$379,bkc_lob,_book!$B$2:$B$379,bkc_bu)=0,"—",SUMIFS(_book!$CF$2:$CF$379,_book!$C$2:$C$379,$A14,_book!$A$2:$A$379,bkc_lob,_book!$B$2:$B$379,bkc_bu)/SUMIFS(_book!$BH$2:$BH$379,_book!$C$2:$C$379,$A14,_book!$A$2:$A$379,bkc_lob,_book!$B$2:$B$379,bkc_bu))</f>
        <v>0</v>
      </c>
      <c r="L14" s="78">
        <f>IF(SUMIFS(_book!$BI$2:$BI$379,_book!$C$2:$C$379,$A14,_book!$A$2:$A$379,bkc_lob,_book!$B$2:$B$379,bkc_bu)=0,"—",SUMIFS(_book!$CG$2:$CG$379,_book!$C$2:$C$379,$A14,_book!$A$2:$A$379,bkc_lob,_book!$B$2:$B$379,bkc_bu)/SUMIFS(_book!$BI$2:$BI$379,_book!$C$2:$C$379,$A14,_book!$A$2:$A$379,bkc_lob,_book!$B$2:$B$379,bkc_bu))</f>
        <v>0</v>
      </c>
      <c r="M14" s="78">
        <f>IF(SUMIFS(_book!$BJ$2:$BJ$379,_book!$C$2:$C$379,$A14,_book!$A$2:$A$379,bkc_lob,_book!$B$2:$B$379,bkc_bu)=0,"—",SUMIFS(_book!$CH$2:$CH$379,_book!$C$2:$C$379,$A14,_book!$A$2:$A$379,bkc_lob,_book!$B$2:$B$379,bkc_bu)/SUMIFS(_book!$BJ$2:$BJ$379,_book!$C$2:$C$379,$A14,_book!$A$2:$A$379,bkc_lob,_book!$B$2:$B$379,bkc_bu))</f>
        <v>0</v>
      </c>
    </row>
    <row r="15" spans="1:13" x14ac:dyDescent="0.3">
      <c r="A15" s="77" t="s">
        <v>66</v>
      </c>
      <c r="B15" s="78">
        <f>IF(SUMIFS(_book!$AY$2:$AY$379,_book!$C$2:$C$379,$A15,_book!$A$2:$A$379,bkc_lob,_book!$B$2:$B$379,bkc_bu)=0,"—",SUMIFS(_book!$BW$2:$BW$379,_book!$C$2:$C$379,$A15,_book!$A$2:$A$379,bkc_lob,_book!$B$2:$B$379,bkc_bu)/SUMIFS(_book!$AY$2:$AY$379,_book!$C$2:$C$379,$A15,_book!$A$2:$A$379,bkc_lob,_book!$B$2:$B$379,bkc_bu))</f>
        <v>5.0444444444444479E-2</v>
      </c>
      <c r="C15" s="78">
        <f>IF(SUMIFS(_book!$AZ$2:$AZ$379,_book!$C$2:$C$379,$A15,_book!$A$2:$A$379,bkc_lob,_book!$B$2:$B$379,bkc_bu)=0,"—",SUMIFS(_book!$BX$2:$BX$379,_book!$C$2:$C$379,$A15,_book!$A$2:$A$379,bkc_lob,_book!$B$2:$B$379,bkc_bu)/SUMIFS(_book!$AZ$2:$AZ$379,_book!$C$2:$C$379,$A15,_book!$A$2:$A$379,bkc_lob,_book!$B$2:$B$379,bkc_bu))</f>
        <v>2.911111111111114E-2</v>
      </c>
      <c r="D15" s="78">
        <f>IF(SUMIFS(_book!$BA$2:$BA$379,_book!$C$2:$C$379,$A15,_book!$A$2:$A$379,bkc_lob,_book!$B$2:$B$379,bkc_bu)=0,"—",SUMIFS(_book!$BY$2:$BY$379,_book!$C$2:$C$379,$A15,_book!$A$2:$A$379,bkc_lob,_book!$B$2:$B$379,bkc_bu)/SUMIFS(_book!$BA$2:$BA$379,_book!$C$2:$C$379,$A15,_book!$A$2:$A$379,bkc_lob,_book!$B$2:$B$379,bkc_bu))</f>
        <v>2.911111111111114E-2</v>
      </c>
      <c r="E15" s="78">
        <f>IF(SUMIFS(_book!$BB$2:$BB$379,_book!$C$2:$C$379,$A15,_book!$A$2:$A$379,bkc_lob,_book!$B$2:$B$379,bkc_bu)=0,"—",SUMIFS(_book!$BZ$2:$BZ$379,_book!$C$2:$C$379,$A15,_book!$A$2:$A$379,bkc_lob,_book!$B$2:$B$379,bkc_bu)/SUMIFS(_book!$BB$2:$BB$379,_book!$C$2:$C$379,$A15,_book!$A$2:$A$379,bkc_lob,_book!$B$2:$B$379,bkc_bu))</f>
        <v>2.911111111111114E-2</v>
      </c>
      <c r="F15" s="78">
        <f>IF(SUMIFS(_book!$BC$2:$BC$379,_book!$C$2:$C$379,$A15,_book!$A$2:$A$379,bkc_lob,_book!$B$2:$B$379,bkc_bu)=0,"—",SUMIFS(_book!$CA$2:$CA$379,_book!$C$2:$C$379,$A15,_book!$A$2:$A$379,bkc_lob,_book!$B$2:$B$379,bkc_bu)/SUMIFS(_book!$BC$2:$BC$379,_book!$C$2:$C$379,$A15,_book!$A$2:$A$379,bkc_lob,_book!$B$2:$B$379,bkc_bu))</f>
        <v>1.2444444444444454E-2</v>
      </c>
      <c r="G15" s="78">
        <f>IF(SUMIFS(_book!$BD$2:$BD$379,_book!$C$2:$C$379,$A15,_book!$A$2:$A$379,bkc_lob,_book!$B$2:$B$379,bkc_bu)=0,"—",SUMIFS(_book!$CB$2:$CB$379,_book!$C$2:$C$379,$A15,_book!$A$2:$A$379,bkc_lob,_book!$B$2:$B$379,bkc_bu)/SUMIFS(_book!$BD$2:$BD$379,_book!$C$2:$C$379,$A15,_book!$A$2:$A$379,bkc_lob,_book!$B$2:$B$379,bkc_bu))</f>
        <v>1.2444444444444454E-2</v>
      </c>
      <c r="H15" s="78">
        <f>IF(SUMIFS(_book!$BE$2:$BE$379,_book!$C$2:$C$379,$A15,_book!$A$2:$A$379,bkc_lob,_book!$B$2:$B$379,bkc_bu)=0,"—",SUMIFS(_book!$CC$2:$CC$379,_book!$C$2:$C$379,$A15,_book!$A$2:$A$379,bkc_lob,_book!$B$2:$B$379,bkc_bu)/SUMIFS(_book!$BE$2:$BE$379,_book!$C$2:$C$379,$A15,_book!$A$2:$A$379,bkc_lob,_book!$B$2:$B$379,bkc_bu))</f>
        <v>1.2444444444444454E-2</v>
      </c>
      <c r="I15" s="78">
        <f>IF(SUMIFS(_book!$BF$2:$BF$379,_book!$C$2:$C$379,$A15,_book!$A$2:$A$379,bkc_lob,_book!$B$2:$B$379,bkc_bu)=0,"—",SUMIFS(_book!$CD$2:$CD$379,_book!$C$2:$C$379,$A15,_book!$A$2:$A$379,bkc_lob,_book!$B$2:$B$379,bkc_bu)/SUMIFS(_book!$BF$2:$BF$379,_book!$C$2:$C$379,$A15,_book!$A$2:$A$379,bkc_lob,_book!$B$2:$B$379,bkc_bu))</f>
        <v>0</v>
      </c>
      <c r="J15" s="78">
        <f>IF(SUMIFS(_book!$BG$2:$BG$379,_book!$C$2:$C$379,$A15,_book!$A$2:$A$379,bkc_lob,_book!$B$2:$B$379,bkc_bu)=0,"—",SUMIFS(_book!$CE$2:$CE$379,_book!$C$2:$C$379,$A15,_book!$A$2:$A$379,bkc_lob,_book!$B$2:$B$379,bkc_bu)/SUMIFS(_book!$BG$2:$BG$379,_book!$C$2:$C$379,$A15,_book!$A$2:$A$379,bkc_lob,_book!$B$2:$B$379,bkc_bu))</f>
        <v>0</v>
      </c>
      <c r="K15" s="78">
        <f>IF(SUMIFS(_book!$BH$2:$BH$379,_book!$C$2:$C$379,$A15,_book!$A$2:$A$379,bkc_lob,_book!$B$2:$B$379,bkc_bu)=0,"—",SUMIFS(_book!$CF$2:$CF$379,_book!$C$2:$C$379,$A15,_book!$A$2:$A$379,bkc_lob,_book!$B$2:$B$379,bkc_bu)/SUMIFS(_book!$BH$2:$BH$379,_book!$C$2:$C$379,$A15,_book!$A$2:$A$379,bkc_lob,_book!$B$2:$B$379,bkc_bu))</f>
        <v>1.4222222222222233E-2</v>
      </c>
      <c r="L15" s="78">
        <f>IF(SUMIFS(_book!$BI$2:$BI$379,_book!$C$2:$C$379,$A15,_book!$A$2:$A$379,bkc_lob,_book!$B$2:$B$379,bkc_bu)=0,"—",SUMIFS(_book!$CG$2:$CG$379,_book!$C$2:$C$379,$A15,_book!$A$2:$A$379,bkc_lob,_book!$B$2:$B$379,bkc_bu)/SUMIFS(_book!$BI$2:$BI$379,_book!$C$2:$C$379,$A15,_book!$A$2:$A$379,bkc_lob,_book!$B$2:$B$379,bkc_bu))</f>
        <v>1.4222222222222233E-2</v>
      </c>
      <c r="M15" s="78">
        <f>IF(SUMIFS(_book!$BJ$2:$BJ$379,_book!$C$2:$C$379,$A15,_book!$A$2:$A$379,bkc_lob,_book!$B$2:$B$379,bkc_bu)=0,"—",SUMIFS(_book!$CH$2:$CH$379,_book!$C$2:$C$379,$A15,_book!$A$2:$A$379,bkc_lob,_book!$B$2:$B$379,bkc_bu)/SUMIFS(_book!$BJ$2:$BJ$379,_book!$C$2:$C$379,$A15,_book!$A$2:$A$379,bkc_lob,_book!$B$2:$B$379,bkc_bu))</f>
        <v>1.4222222222222233E-2</v>
      </c>
    </row>
    <row r="16" spans="1:13" x14ac:dyDescent="0.3">
      <c r="A16" s="77" t="s">
        <v>67</v>
      </c>
      <c r="B16" s="78">
        <f>IF(SUMIFS(_book!$AY$2:$AY$379,_book!$C$2:$C$379,$A16,_book!$A$2:$A$379,bkc_lob,_book!$B$2:$B$379,bkc_bu)=0,"—",SUMIFS(_book!$BW$2:$BW$379,_book!$C$2:$C$379,$A16,_book!$A$2:$A$379,bkc_lob,_book!$B$2:$B$379,bkc_bu)/SUMIFS(_book!$AY$2:$AY$379,_book!$C$2:$C$379,$A16,_book!$A$2:$A$379,bkc_lob,_book!$B$2:$B$379,bkc_bu))</f>
        <v>3.636363636363639E-2</v>
      </c>
      <c r="C16" s="78">
        <f>IF(SUMIFS(_book!$AZ$2:$AZ$379,_book!$C$2:$C$379,$A16,_book!$A$2:$A$379,bkc_lob,_book!$B$2:$B$379,bkc_bu)=0,"—",SUMIFS(_book!$BX$2:$BX$379,_book!$C$2:$C$379,$A16,_book!$A$2:$A$379,bkc_lob,_book!$B$2:$B$379,bkc_bu)/SUMIFS(_book!$AZ$2:$AZ$379,_book!$C$2:$C$379,$A16,_book!$A$2:$A$379,bkc_lob,_book!$B$2:$B$379,bkc_bu))</f>
        <v>3.636363636363639E-2</v>
      </c>
      <c r="D16" s="78">
        <f>IF(SUMIFS(_book!$BA$2:$BA$379,_book!$C$2:$C$379,$A16,_book!$A$2:$A$379,bkc_lob,_book!$B$2:$B$379,bkc_bu)=0,"—",SUMIFS(_book!$BY$2:$BY$379,_book!$C$2:$C$379,$A16,_book!$A$2:$A$379,bkc_lob,_book!$B$2:$B$379,bkc_bu)/SUMIFS(_book!$BA$2:$BA$379,_book!$C$2:$C$379,$A16,_book!$A$2:$A$379,bkc_lob,_book!$B$2:$B$379,bkc_bu))</f>
        <v>3.636363636363639E-2</v>
      </c>
      <c r="E16" s="78">
        <f>IF(SUMIFS(_book!$BB$2:$BB$379,_book!$C$2:$C$379,$A16,_book!$A$2:$A$379,bkc_lob,_book!$B$2:$B$379,bkc_bu)=0,"—",SUMIFS(_book!$BZ$2:$BZ$379,_book!$C$2:$C$379,$A16,_book!$A$2:$A$379,bkc_lob,_book!$B$2:$B$379,bkc_bu)/SUMIFS(_book!$BB$2:$BB$379,_book!$C$2:$C$379,$A16,_book!$A$2:$A$379,bkc_lob,_book!$B$2:$B$379,bkc_bu))</f>
        <v>5.2363636363636411E-2</v>
      </c>
      <c r="F16" s="78">
        <f>IF(SUMIFS(_book!$BC$2:$BC$379,_book!$C$2:$C$379,$A16,_book!$A$2:$A$379,bkc_lob,_book!$B$2:$B$379,bkc_bu)=0,"—",SUMIFS(_book!$CA$2:$CA$379,_book!$C$2:$C$379,$A16,_book!$A$2:$A$379,bkc_lob,_book!$B$2:$B$379,bkc_bu)/SUMIFS(_book!$BC$2:$BC$379,_book!$C$2:$C$379,$A16,_book!$A$2:$A$379,bkc_lob,_book!$B$2:$B$379,bkc_bu))</f>
        <v>5.2363636363636411E-2</v>
      </c>
      <c r="G16" s="78">
        <f>IF(SUMIFS(_book!$BD$2:$BD$379,_book!$C$2:$C$379,$A16,_book!$A$2:$A$379,bkc_lob,_book!$B$2:$B$379,bkc_bu)=0,"—",SUMIFS(_book!$CB$2:$CB$379,_book!$C$2:$C$379,$A16,_book!$A$2:$A$379,bkc_lob,_book!$B$2:$B$379,bkc_bu)/SUMIFS(_book!$BD$2:$BD$379,_book!$C$2:$C$379,$A16,_book!$A$2:$A$379,bkc_lob,_book!$B$2:$B$379,bkc_bu))</f>
        <v>5.2363636363636411E-2</v>
      </c>
      <c r="H16" s="78">
        <f>IF(SUMIFS(_book!$BE$2:$BE$379,_book!$C$2:$C$379,$A16,_book!$A$2:$A$379,bkc_lob,_book!$B$2:$B$379,bkc_bu)=0,"—",SUMIFS(_book!$CC$2:$CC$379,_book!$C$2:$C$379,$A16,_book!$A$2:$A$379,bkc_lob,_book!$B$2:$B$379,bkc_bu)/SUMIFS(_book!$BE$2:$BE$379,_book!$C$2:$C$379,$A16,_book!$A$2:$A$379,bkc_lob,_book!$B$2:$B$379,bkc_bu))</f>
        <v>5.2363636363636411E-2</v>
      </c>
      <c r="I16" s="78">
        <f>IF(SUMIFS(_book!$BF$2:$BF$379,_book!$C$2:$C$379,$A16,_book!$A$2:$A$379,bkc_lob,_book!$B$2:$B$379,bkc_bu)=0,"—",SUMIFS(_book!$CD$2:$CD$379,_book!$C$2:$C$379,$A16,_book!$A$2:$A$379,bkc_lob,_book!$B$2:$B$379,bkc_bu)/SUMIFS(_book!$BF$2:$BF$379,_book!$C$2:$C$379,$A16,_book!$A$2:$A$379,bkc_lob,_book!$B$2:$B$379,bkc_bu))</f>
        <v>5.2363636363636411E-2</v>
      </c>
      <c r="J16" s="78">
        <f>IF(SUMIFS(_book!$BG$2:$BG$379,_book!$C$2:$C$379,$A16,_book!$A$2:$A$379,bkc_lob,_book!$B$2:$B$379,bkc_bu)=0,"—",SUMIFS(_book!$CE$2:$CE$379,_book!$C$2:$C$379,$A16,_book!$A$2:$A$379,bkc_lob,_book!$B$2:$B$379,bkc_bu)/SUMIFS(_book!$BG$2:$BG$379,_book!$C$2:$C$379,$A16,_book!$A$2:$A$379,bkc_lob,_book!$B$2:$B$379,bkc_bu))</f>
        <v>5.2363636363636411E-2</v>
      </c>
      <c r="K16" s="78">
        <f>IF(SUMIFS(_book!$BH$2:$BH$379,_book!$C$2:$C$379,$A16,_book!$A$2:$A$379,bkc_lob,_book!$B$2:$B$379,bkc_bu)=0,"—",SUMIFS(_book!$CF$2:$CF$379,_book!$C$2:$C$379,$A16,_book!$A$2:$A$379,bkc_lob,_book!$B$2:$B$379,bkc_bu)/SUMIFS(_book!$BH$2:$BH$379,_book!$C$2:$C$379,$A16,_book!$A$2:$A$379,bkc_lob,_book!$B$2:$B$379,bkc_bu))</f>
        <v>2.7878787878787899E-2</v>
      </c>
      <c r="L16" s="78">
        <f>IF(SUMIFS(_book!$BI$2:$BI$379,_book!$C$2:$C$379,$A16,_book!$A$2:$A$379,bkc_lob,_book!$B$2:$B$379,bkc_bu)=0,"—",SUMIFS(_book!$CG$2:$CG$379,_book!$C$2:$C$379,$A16,_book!$A$2:$A$379,bkc_lob,_book!$B$2:$B$379,bkc_bu)/SUMIFS(_book!$BI$2:$BI$379,_book!$C$2:$C$379,$A16,_book!$A$2:$A$379,bkc_lob,_book!$B$2:$B$379,bkc_bu))</f>
        <v>2.7878787878787899E-2</v>
      </c>
      <c r="M16" s="78">
        <f>IF(SUMIFS(_book!$BJ$2:$BJ$379,_book!$C$2:$C$379,$A16,_book!$A$2:$A$379,bkc_lob,_book!$B$2:$B$379,bkc_bu)=0,"—",SUMIFS(_book!$CH$2:$CH$379,_book!$C$2:$C$379,$A16,_book!$A$2:$A$379,bkc_lob,_book!$B$2:$B$379,bkc_bu)/SUMIFS(_book!$BJ$2:$BJ$379,_book!$C$2:$C$379,$A16,_book!$A$2:$A$379,bkc_lob,_book!$B$2:$B$379,bkc_bu))</f>
        <v>2.7878787878787899E-2</v>
      </c>
    </row>
    <row r="17" spans="1:13" x14ac:dyDescent="0.3">
      <c r="A17" s="77" t="s">
        <v>73</v>
      </c>
      <c r="B17" s="78">
        <f>IF(SUMIFS(_book!$AY$2:$AY$379,_book!$C$2:$C$379,$A17,_book!$A$2:$A$379,bkc_lob,_book!$B$2:$B$379,bkc_bu)=0,"—",SUMIFS(_book!$BW$2:$BW$379,_book!$C$2:$C$379,$A17,_book!$A$2:$A$379,bkc_lob,_book!$B$2:$B$379,bkc_bu)/SUMIFS(_book!$AY$2:$AY$379,_book!$C$2:$C$379,$A17,_book!$A$2:$A$379,bkc_lob,_book!$B$2:$B$379,bkc_bu))</f>
        <v>3.8181818181818213E-2</v>
      </c>
      <c r="C17" s="78">
        <f>IF(SUMIFS(_book!$AZ$2:$AZ$379,_book!$C$2:$C$379,$A17,_book!$A$2:$A$379,bkc_lob,_book!$B$2:$B$379,bkc_bu)=0,"—",SUMIFS(_book!$BX$2:$BX$379,_book!$C$2:$C$379,$A17,_book!$A$2:$A$379,bkc_lob,_book!$B$2:$B$379,bkc_bu)/SUMIFS(_book!$AZ$2:$AZ$379,_book!$C$2:$C$379,$A17,_book!$A$2:$A$379,bkc_lob,_book!$B$2:$B$379,bkc_bu))</f>
        <v>3.8181818181818213E-2</v>
      </c>
      <c r="D17" s="78">
        <f>IF(SUMIFS(_book!$BA$2:$BA$379,_book!$C$2:$C$379,$A17,_book!$A$2:$A$379,bkc_lob,_book!$B$2:$B$379,bkc_bu)=0,"—",SUMIFS(_book!$BY$2:$BY$379,_book!$C$2:$C$379,$A17,_book!$A$2:$A$379,bkc_lob,_book!$B$2:$B$379,bkc_bu)/SUMIFS(_book!$BA$2:$BA$379,_book!$C$2:$C$379,$A17,_book!$A$2:$A$379,bkc_lob,_book!$B$2:$B$379,bkc_bu))</f>
        <v>3.8181818181818213E-2</v>
      </c>
      <c r="E17" s="78">
        <f>IF(SUMIFS(_book!$BB$2:$BB$379,_book!$C$2:$C$379,$A17,_book!$A$2:$A$379,bkc_lob,_book!$B$2:$B$379,bkc_bu)=0,"—",SUMIFS(_book!$BZ$2:$BZ$379,_book!$C$2:$C$379,$A17,_book!$A$2:$A$379,bkc_lob,_book!$B$2:$B$379,bkc_bu)/SUMIFS(_book!$BB$2:$BB$379,_book!$C$2:$C$379,$A17,_book!$A$2:$A$379,bkc_lob,_book!$B$2:$B$379,bkc_bu))</f>
        <v>3.3818181818181844E-2</v>
      </c>
      <c r="F17" s="78">
        <f>IF(SUMIFS(_book!$BC$2:$BC$379,_book!$C$2:$C$379,$A17,_book!$A$2:$A$379,bkc_lob,_book!$B$2:$B$379,bkc_bu)=0,"—",SUMIFS(_book!$CA$2:$CA$379,_book!$C$2:$C$379,$A17,_book!$A$2:$A$379,bkc_lob,_book!$B$2:$B$379,bkc_bu)/SUMIFS(_book!$BC$2:$BC$379,_book!$C$2:$C$379,$A17,_book!$A$2:$A$379,bkc_lob,_book!$B$2:$B$379,bkc_bu))</f>
        <v>3.3818181818181844E-2</v>
      </c>
      <c r="G17" s="78">
        <f>IF(SUMIFS(_book!$BD$2:$BD$379,_book!$C$2:$C$379,$A17,_book!$A$2:$A$379,bkc_lob,_book!$B$2:$B$379,bkc_bu)=0,"—",SUMIFS(_book!$CB$2:$CB$379,_book!$C$2:$C$379,$A17,_book!$A$2:$A$379,bkc_lob,_book!$B$2:$B$379,bkc_bu)/SUMIFS(_book!$BD$2:$BD$379,_book!$C$2:$C$379,$A17,_book!$A$2:$A$379,bkc_lob,_book!$B$2:$B$379,bkc_bu))</f>
        <v>3.3818181818181844E-2</v>
      </c>
      <c r="H17" s="78">
        <f>IF(SUMIFS(_book!$BE$2:$BE$379,_book!$C$2:$C$379,$A17,_book!$A$2:$A$379,bkc_lob,_book!$B$2:$B$379,bkc_bu)=0,"—",SUMIFS(_book!$CC$2:$CC$379,_book!$C$2:$C$379,$A17,_book!$A$2:$A$379,bkc_lob,_book!$B$2:$B$379,bkc_bu)/SUMIFS(_book!$BE$2:$BE$379,_book!$C$2:$C$379,$A17,_book!$A$2:$A$379,bkc_lob,_book!$B$2:$B$379,bkc_bu))</f>
        <v>2.5090909090909112E-2</v>
      </c>
      <c r="I17" s="78">
        <f>IF(SUMIFS(_book!$BF$2:$BF$379,_book!$C$2:$C$379,$A17,_book!$A$2:$A$379,bkc_lob,_book!$B$2:$B$379,bkc_bu)=0,"—",SUMIFS(_book!$CD$2:$CD$379,_book!$C$2:$C$379,$A17,_book!$A$2:$A$379,bkc_lob,_book!$B$2:$B$379,bkc_bu)/SUMIFS(_book!$BF$2:$BF$379,_book!$C$2:$C$379,$A17,_book!$A$2:$A$379,bkc_lob,_book!$B$2:$B$379,bkc_bu))</f>
        <v>2.5090909090909112E-2</v>
      </c>
      <c r="J17" s="78">
        <f>IF(SUMIFS(_book!$BG$2:$BG$379,_book!$C$2:$C$379,$A17,_book!$A$2:$A$379,bkc_lob,_book!$B$2:$B$379,bkc_bu)=0,"—",SUMIFS(_book!$CE$2:$CE$379,_book!$C$2:$C$379,$A17,_book!$A$2:$A$379,bkc_lob,_book!$B$2:$B$379,bkc_bu)/SUMIFS(_book!$BG$2:$BG$379,_book!$C$2:$C$379,$A17,_book!$A$2:$A$379,bkc_lob,_book!$B$2:$B$379,bkc_bu))</f>
        <v>2.5090909090909112E-2</v>
      </c>
      <c r="K17" s="78">
        <f>IF(SUMIFS(_book!$BH$2:$BH$379,_book!$C$2:$C$379,$A17,_book!$A$2:$A$379,bkc_lob,_book!$B$2:$B$379,bkc_bu)=0,"—",SUMIFS(_book!$CF$2:$CF$379,_book!$C$2:$C$379,$A17,_book!$A$2:$A$379,bkc_lob,_book!$B$2:$B$379,bkc_bu)/SUMIFS(_book!$BH$2:$BH$379,_book!$C$2:$C$379,$A17,_book!$A$2:$A$379,bkc_lob,_book!$B$2:$B$379,bkc_bu))</f>
        <v>1.6727272727272743E-2</v>
      </c>
      <c r="L17" s="78">
        <f>IF(SUMIFS(_book!$BI$2:$BI$379,_book!$C$2:$C$379,$A17,_book!$A$2:$A$379,bkc_lob,_book!$B$2:$B$379,bkc_bu)=0,"—",SUMIFS(_book!$CG$2:$CG$379,_book!$C$2:$C$379,$A17,_book!$A$2:$A$379,bkc_lob,_book!$B$2:$B$379,bkc_bu)/SUMIFS(_book!$BI$2:$BI$379,_book!$C$2:$C$379,$A17,_book!$A$2:$A$379,bkc_lob,_book!$B$2:$B$379,bkc_bu))</f>
        <v>1.6727272727272743E-2</v>
      </c>
      <c r="M17" s="78">
        <f>IF(SUMIFS(_book!$BJ$2:$BJ$379,_book!$C$2:$C$379,$A17,_book!$A$2:$A$379,bkc_lob,_book!$B$2:$B$379,bkc_bu)=0,"—",SUMIFS(_book!$CH$2:$CH$379,_book!$C$2:$C$379,$A17,_book!$A$2:$A$379,bkc_lob,_book!$B$2:$B$379,bkc_bu)/SUMIFS(_book!$BJ$2:$BJ$379,_book!$C$2:$C$379,$A17,_book!$A$2:$A$379,bkc_lob,_book!$B$2:$B$379,bkc_bu))</f>
        <v>1.6727272727272743E-2</v>
      </c>
    </row>
    <row r="18" spans="1:13" x14ac:dyDescent="0.3">
      <c r="A18" s="77" t="s">
        <v>78</v>
      </c>
      <c r="B18" s="78">
        <f>IF(SUMIFS(_book!$AY$2:$AY$379,_book!$C$2:$C$379,$A18,_book!$A$2:$A$379,bkc_lob,_book!$B$2:$B$379,bkc_bu)=0,"—",SUMIFS(_book!$BW$2:$BW$379,_book!$C$2:$C$379,$A18,_book!$A$2:$A$379,bkc_lob,_book!$B$2:$B$379,bkc_bu)/SUMIFS(_book!$AY$2:$AY$379,_book!$C$2:$C$379,$A18,_book!$A$2:$A$379,bkc_lob,_book!$B$2:$B$379,bkc_bu))</f>
        <v>3.0333333333333354E-2</v>
      </c>
      <c r="C18" s="78">
        <f>IF(SUMIFS(_book!$AZ$2:$AZ$379,_book!$C$2:$C$379,$A18,_book!$A$2:$A$379,bkc_lob,_book!$B$2:$B$379,bkc_bu)=0,"—",SUMIFS(_book!$BX$2:$BX$379,_book!$C$2:$C$379,$A18,_book!$A$2:$A$379,bkc_lob,_book!$B$2:$B$379,bkc_bu)/SUMIFS(_book!$AZ$2:$AZ$379,_book!$C$2:$C$379,$A18,_book!$A$2:$A$379,bkc_lob,_book!$B$2:$B$379,bkc_bu))</f>
        <v>3.0333333333333354E-2</v>
      </c>
      <c r="D18" s="78">
        <f>IF(SUMIFS(_book!$BA$2:$BA$379,_book!$C$2:$C$379,$A18,_book!$A$2:$A$379,bkc_lob,_book!$B$2:$B$379,bkc_bu)=0,"—",SUMIFS(_book!$BY$2:$BY$379,_book!$C$2:$C$379,$A18,_book!$A$2:$A$379,bkc_lob,_book!$B$2:$B$379,bkc_bu)/SUMIFS(_book!$BA$2:$BA$379,_book!$C$2:$C$379,$A18,_book!$A$2:$A$379,bkc_lob,_book!$B$2:$B$379,bkc_bu))</f>
        <v>3.0333333333333354E-2</v>
      </c>
      <c r="E18" s="78">
        <f>IF(SUMIFS(_book!$BB$2:$BB$379,_book!$C$2:$C$379,$A18,_book!$A$2:$A$379,bkc_lob,_book!$B$2:$B$379,bkc_bu)=0,"—",SUMIFS(_book!$BZ$2:$BZ$379,_book!$C$2:$C$379,$A18,_book!$A$2:$A$379,bkc_lob,_book!$B$2:$B$379,bkc_bu)/SUMIFS(_book!$BB$2:$BB$379,_book!$C$2:$C$379,$A18,_book!$A$2:$A$379,bkc_lob,_book!$B$2:$B$379,bkc_bu))</f>
        <v>3.0333333333333354E-2</v>
      </c>
      <c r="F18" s="78">
        <f>IF(SUMIFS(_book!$BC$2:$BC$379,_book!$C$2:$C$379,$A18,_book!$A$2:$A$379,bkc_lob,_book!$B$2:$B$379,bkc_bu)=0,"—",SUMIFS(_book!$CA$2:$CA$379,_book!$C$2:$C$379,$A18,_book!$A$2:$A$379,bkc_lob,_book!$B$2:$B$379,bkc_bu)/SUMIFS(_book!$BC$2:$BC$379,_book!$C$2:$C$379,$A18,_book!$A$2:$A$379,bkc_lob,_book!$B$2:$B$379,bkc_bu))</f>
        <v>1.6333333333333349E-2</v>
      </c>
      <c r="G18" s="78">
        <f>IF(SUMIFS(_book!$BD$2:$BD$379,_book!$C$2:$C$379,$A18,_book!$A$2:$A$379,bkc_lob,_book!$B$2:$B$379,bkc_bu)=0,"—",SUMIFS(_book!$CB$2:$CB$379,_book!$C$2:$C$379,$A18,_book!$A$2:$A$379,bkc_lob,_book!$B$2:$B$379,bkc_bu)/SUMIFS(_book!$BD$2:$BD$379,_book!$C$2:$C$379,$A18,_book!$A$2:$A$379,bkc_lob,_book!$B$2:$B$379,bkc_bu))</f>
        <v>1.6333333333333349E-2</v>
      </c>
      <c r="H18" s="78">
        <f>IF(SUMIFS(_book!$BE$2:$BE$379,_book!$C$2:$C$379,$A18,_book!$A$2:$A$379,bkc_lob,_book!$B$2:$B$379,bkc_bu)=0,"—",SUMIFS(_book!$CC$2:$CC$379,_book!$C$2:$C$379,$A18,_book!$A$2:$A$379,bkc_lob,_book!$B$2:$B$379,bkc_bu)/SUMIFS(_book!$BE$2:$BE$379,_book!$C$2:$C$379,$A18,_book!$A$2:$A$379,bkc_lob,_book!$B$2:$B$379,bkc_bu))</f>
        <v>1.6333333333333349E-2</v>
      </c>
      <c r="I18" s="78">
        <f>IF(SUMIFS(_book!$BF$2:$BF$379,_book!$C$2:$C$379,$A18,_book!$A$2:$A$379,bkc_lob,_book!$B$2:$B$379,bkc_bu)=0,"—",SUMIFS(_book!$CD$2:$CD$379,_book!$C$2:$C$379,$A18,_book!$A$2:$A$379,bkc_lob,_book!$B$2:$B$379,bkc_bu)/SUMIFS(_book!$BF$2:$BF$379,_book!$C$2:$C$379,$A18,_book!$A$2:$A$379,bkc_lob,_book!$B$2:$B$379,bkc_bu))</f>
        <v>6.3333333333333375E-3</v>
      </c>
      <c r="J18" s="78">
        <f>IF(SUMIFS(_book!$BG$2:$BG$379,_book!$C$2:$C$379,$A18,_book!$A$2:$A$379,bkc_lob,_book!$B$2:$B$379,bkc_bu)=0,"—",SUMIFS(_book!$CE$2:$CE$379,_book!$C$2:$C$379,$A18,_book!$A$2:$A$379,bkc_lob,_book!$B$2:$B$379,bkc_bu)/SUMIFS(_book!$BG$2:$BG$379,_book!$C$2:$C$379,$A18,_book!$A$2:$A$379,bkc_lob,_book!$B$2:$B$379,bkc_bu))</f>
        <v>6.3333333333333375E-3</v>
      </c>
      <c r="K18" s="78">
        <f>IF(SUMIFS(_book!$BH$2:$BH$379,_book!$C$2:$C$379,$A18,_book!$A$2:$A$379,bkc_lob,_book!$B$2:$B$379,bkc_bu)=0,"—",SUMIFS(_book!$CF$2:$CF$379,_book!$C$2:$C$379,$A18,_book!$A$2:$A$379,bkc_lob,_book!$B$2:$B$379,bkc_bu)/SUMIFS(_book!$BH$2:$BH$379,_book!$C$2:$C$379,$A18,_book!$A$2:$A$379,bkc_lob,_book!$B$2:$B$379,bkc_bu))</f>
        <v>6.3333333333333375E-3</v>
      </c>
      <c r="L18" s="78">
        <f>IF(SUMIFS(_book!$BI$2:$BI$379,_book!$C$2:$C$379,$A18,_book!$A$2:$A$379,bkc_lob,_book!$B$2:$B$379,bkc_bu)=0,"—",SUMIFS(_book!$CG$2:$CG$379,_book!$C$2:$C$379,$A18,_book!$A$2:$A$379,bkc_lob,_book!$B$2:$B$379,bkc_bu)/SUMIFS(_book!$BI$2:$BI$379,_book!$C$2:$C$379,$A18,_book!$A$2:$A$379,bkc_lob,_book!$B$2:$B$379,bkc_bu))</f>
        <v>0</v>
      </c>
      <c r="M18" s="78">
        <f>IF(SUMIFS(_book!$BJ$2:$BJ$379,_book!$C$2:$C$379,$A18,_book!$A$2:$A$379,bkc_lob,_book!$B$2:$B$379,bkc_bu)=0,"—",SUMIFS(_book!$CH$2:$CH$379,_book!$C$2:$C$379,$A18,_book!$A$2:$A$379,bkc_lob,_book!$B$2:$B$379,bkc_bu)/SUMIFS(_book!$BJ$2:$BJ$379,_book!$C$2:$C$379,$A18,_book!$A$2:$A$379,bkc_lob,_book!$B$2:$B$379,bkc_bu))</f>
        <v>0</v>
      </c>
    </row>
    <row r="19" spans="1:13" x14ac:dyDescent="0.3">
      <c r="A19" s="77" t="s">
        <v>80</v>
      </c>
      <c r="B19" s="78">
        <f>IF(SUMIFS(_book!$AY$2:$AY$379,_book!$C$2:$C$379,$A19,_book!$A$2:$A$379,bkc_lob,_book!$B$2:$B$379,bkc_bu)=0,"—",SUMIFS(_book!$BW$2:$BW$379,_book!$C$2:$C$379,$A19,_book!$A$2:$A$379,bkc_lob,_book!$B$2:$B$379,bkc_bu)/SUMIFS(_book!$AY$2:$AY$379,_book!$C$2:$C$379,$A19,_book!$A$2:$A$379,bkc_lob,_book!$B$2:$B$379,bkc_bu))</f>
        <v>0</v>
      </c>
      <c r="C19" s="78">
        <f>IF(SUMIFS(_book!$AZ$2:$AZ$379,_book!$C$2:$C$379,$A19,_book!$A$2:$A$379,bkc_lob,_book!$B$2:$B$379,bkc_bu)=0,"—",SUMIFS(_book!$BX$2:$BX$379,_book!$C$2:$C$379,$A19,_book!$A$2:$A$379,bkc_lob,_book!$B$2:$B$379,bkc_bu)/SUMIFS(_book!$AZ$2:$AZ$379,_book!$C$2:$C$379,$A19,_book!$A$2:$A$379,bkc_lob,_book!$B$2:$B$379,bkc_bu))</f>
        <v>0</v>
      </c>
      <c r="D19" s="78">
        <f>IF(SUMIFS(_book!$BA$2:$BA$379,_book!$C$2:$C$379,$A19,_book!$A$2:$A$379,bkc_lob,_book!$B$2:$B$379,bkc_bu)=0,"—",SUMIFS(_book!$BY$2:$BY$379,_book!$C$2:$C$379,$A19,_book!$A$2:$A$379,bkc_lob,_book!$B$2:$B$379,bkc_bu)/SUMIFS(_book!$BA$2:$BA$379,_book!$C$2:$C$379,$A19,_book!$A$2:$A$379,bkc_lob,_book!$B$2:$B$379,bkc_bu))</f>
        <v>0</v>
      </c>
      <c r="E19" s="78">
        <f>IF(SUMIFS(_book!$BB$2:$BB$379,_book!$C$2:$C$379,$A19,_book!$A$2:$A$379,bkc_lob,_book!$B$2:$B$379,bkc_bu)=0,"—",SUMIFS(_book!$BZ$2:$BZ$379,_book!$C$2:$C$379,$A19,_book!$A$2:$A$379,bkc_lob,_book!$B$2:$B$379,bkc_bu)/SUMIFS(_book!$BB$2:$BB$379,_book!$C$2:$C$379,$A19,_book!$A$2:$A$379,bkc_lob,_book!$B$2:$B$379,bkc_bu))</f>
        <v>1.4166666666666678E-2</v>
      </c>
      <c r="F19" s="78">
        <f>IF(SUMIFS(_book!$BC$2:$BC$379,_book!$C$2:$C$379,$A19,_book!$A$2:$A$379,bkc_lob,_book!$B$2:$B$379,bkc_bu)=0,"—",SUMIFS(_book!$CA$2:$CA$379,_book!$C$2:$C$379,$A19,_book!$A$2:$A$379,bkc_lob,_book!$B$2:$B$379,bkc_bu)/SUMIFS(_book!$BC$2:$BC$379,_book!$C$2:$C$379,$A19,_book!$A$2:$A$379,bkc_lob,_book!$B$2:$B$379,bkc_bu))</f>
        <v>1.4166666666666678E-2</v>
      </c>
      <c r="G19" s="78">
        <f>IF(SUMIFS(_book!$BD$2:$BD$379,_book!$C$2:$C$379,$A19,_book!$A$2:$A$379,bkc_lob,_book!$B$2:$B$379,bkc_bu)=0,"—",SUMIFS(_book!$CB$2:$CB$379,_book!$C$2:$C$379,$A19,_book!$A$2:$A$379,bkc_lob,_book!$B$2:$B$379,bkc_bu)/SUMIFS(_book!$BD$2:$BD$379,_book!$C$2:$C$379,$A19,_book!$A$2:$A$379,bkc_lob,_book!$B$2:$B$379,bkc_bu))</f>
        <v>1.4166666666666678E-2</v>
      </c>
      <c r="H19" s="78">
        <f>IF(SUMIFS(_book!$BE$2:$BE$379,_book!$C$2:$C$379,$A19,_book!$A$2:$A$379,bkc_lob,_book!$B$2:$B$379,bkc_bu)=0,"—",SUMIFS(_book!$CC$2:$CC$379,_book!$C$2:$C$379,$A19,_book!$A$2:$A$379,bkc_lob,_book!$B$2:$B$379,bkc_bu)/SUMIFS(_book!$BE$2:$BE$379,_book!$C$2:$C$379,$A19,_book!$A$2:$A$379,bkc_lob,_book!$B$2:$B$379,bkc_bu))</f>
        <v>1.4166666666666678E-2</v>
      </c>
      <c r="I19" s="78">
        <f>IF(SUMIFS(_book!$BF$2:$BF$379,_book!$C$2:$C$379,$A19,_book!$A$2:$A$379,bkc_lob,_book!$B$2:$B$379,bkc_bu)=0,"—",SUMIFS(_book!$CD$2:$CD$379,_book!$C$2:$C$379,$A19,_book!$A$2:$A$379,bkc_lob,_book!$B$2:$B$379,bkc_bu)/SUMIFS(_book!$BF$2:$BF$379,_book!$C$2:$C$379,$A19,_book!$A$2:$A$379,bkc_lob,_book!$B$2:$B$379,bkc_bu))</f>
        <v>1.4166666666666678E-2</v>
      </c>
      <c r="J19" s="78">
        <f>IF(SUMIFS(_book!$BG$2:$BG$379,_book!$C$2:$C$379,$A19,_book!$A$2:$A$379,bkc_lob,_book!$B$2:$B$379,bkc_bu)=0,"—",SUMIFS(_book!$CE$2:$CE$379,_book!$C$2:$C$379,$A19,_book!$A$2:$A$379,bkc_lob,_book!$B$2:$B$379,bkc_bu)/SUMIFS(_book!$BG$2:$BG$379,_book!$C$2:$C$379,$A19,_book!$A$2:$A$379,bkc_lob,_book!$B$2:$B$379,bkc_bu))</f>
        <v>1.4166666666666678E-2</v>
      </c>
      <c r="K19" s="78">
        <f>IF(SUMIFS(_book!$BH$2:$BH$379,_book!$C$2:$C$379,$A19,_book!$A$2:$A$379,bkc_lob,_book!$B$2:$B$379,bkc_bu)=0,"—",SUMIFS(_book!$CF$2:$CF$379,_book!$C$2:$C$379,$A19,_book!$A$2:$A$379,bkc_lob,_book!$B$2:$B$379,bkc_bu)/SUMIFS(_book!$BH$2:$BH$379,_book!$C$2:$C$379,$A19,_book!$A$2:$A$379,bkc_lob,_book!$B$2:$B$379,bkc_bu))</f>
        <v>1.4166666666666678E-2</v>
      </c>
      <c r="L19" s="78">
        <f>IF(SUMIFS(_book!$BI$2:$BI$379,_book!$C$2:$C$379,$A19,_book!$A$2:$A$379,bkc_lob,_book!$B$2:$B$379,bkc_bu)=0,"—",SUMIFS(_book!$CG$2:$CG$379,_book!$C$2:$C$379,$A19,_book!$A$2:$A$379,bkc_lob,_book!$B$2:$B$379,bkc_bu)/SUMIFS(_book!$BI$2:$BI$379,_book!$C$2:$C$379,$A19,_book!$A$2:$A$379,bkc_lob,_book!$B$2:$B$379,bkc_bu))</f>
        <v>1.4166666666666678E-2</v>
      </c>
      <c r="M19" s="78">
        <f>IF(SUMIFS(_book!$BJ$2:$BJ$379,_book!$C$2:$C$379,$A19,_book!$A$2:$A$379,bkc_lob,_book!$B$2:$B$379,bkc_bu)=0,"—",SUMIFS(_book!$CH$2:$CH$379,_book!$C$2:$C$379,$A19,_book!$A$2:$A$379,bkc_lob,_book!$B$2:$B$379,bkc_bu)/SUMIFS(_book!$BJ$2:$BJ$379,_book!$C$2:$C$379,$A19,_book!$A$2:$A$379,bkc_lob,_book!$B$2:$B$379,bkc_bu))</f>
        <v>1.4166666666666678E-2</v>
      </c>
    </row>
    <row r="20" spans="1:13" x14ac:dyDescent="0.3">
      <c r="A20" s="77" t="s">
        <v>82</v>
      </c>
      <c r="B20" s="78">
        <f>IF(SUMIFS(_book!$AY$2:$AY$379,_book!$C$2:$C$379,$A20,_book!$A$2:$A$379,bkc_lob,_book!$B$2:$B$379,bkc_bu)=0,"—",SUMIFS(_book!$BW$2:$BW$379,_book!$C$2:$C$379,$A20,_book!$A$2:$A$379,bkc_lob,_book!$B$2:$B$379,bkc_bu)/SUMIFS(_book!$AY$2:$AY$379,_book!$C$2:$C$379,$A20,_book!$A$2:$A$379,bkc_lob,_book!$B$2:$B$379,bkc_bu))</f>
        <v>3.8333333333333372E-2</v>
      </c>
      <c r="C20" s="78">
        <f>IF(SUMIFS(_book!$AZ$2:$AZ$379,_book!$C$2:$C$379,$A20,_book!$A$2:$A$379,bkc_lob,_book!$B$2:$B$379,bkc_bu)=0,"—",SUMIFS(_book!$BX$2:$BX$379,_book!$C$2:$C$379,$A20,_book!$A$2:$A$379,bkc_lob,_book!$B$2:$B$379,bkc_bu)/SUMIFS(_book!$AZ$2:$AZ$379,_book!$C$2:$C$379,$A20,_book!$A$2:$A$379,bkc_lob,_book!$B$2:$B$379,bkc_bu))</f>
        <v>3.8333333333333372E-2</v>
      </c>
      <c r="D20" s="78">
        <f>IF(SUMIFS(_book!$BA$2:$BA$379,_book!$C$2:$C$379,$A20,_book!$A$2:$A$379,bkc_lob,_book!$B$2:$B$379,bkc_bu)=0,"—",SUMIFS(_book!$BY$2:$BY$379,_book!$C$2:$C$379,$A20,_book!$A$2:$A$379,bkc_lob,_book!$B$2:$B$379,bkc_bu)/SUMIFS(_book!$BA$2:$BA$379,_book!$C$2:$C$379,$A20,_book!$A$2:$A$379,bkc_lob,_book!$B$2:$B$379,bkc_bu))</f>
        <v>3.8333333333333372E-2</v>
      </c>
      <c r="E20" s="78">
        <f>IF(SUMIFS(_book!$BB$2:$BB$379,_book!$C$2:$C$379,$A20,_book!$A$2:$A$379,bkc_lob,_book!$B$2:$B$379,bkc_bu)=0,"—",SUMIFS(_book!$BZ$2:$BZ$379,_book!$C$2:$C$379,$A20,_book!$A$2:$A$379,bkc_lob,_book!$B$2:$B$379,bkc_bu)/SUMIFS(_book!$BB$2:$BB$379,_book!$C$2:$C$379,$A20,_book!$A$2:$A$379,bkc_lob,_book!$B$2:$B$379,bkc_bu))</f>
        <v>5.2333333333333378E-2</v>
      </c>
      <c r="F20" s="78">
        <f>IF(SUMIFS(_book!$BC$2:$BC$379,_book!$C$2:$C$379,$A20,_book!$A$2:$A$379,bkc_lob,_book!$B$2:$B$379,bkc_bu)=0,"—",SUMIFS(_book!$CA$2:$CA$379,_book!$C$2:$C$379,$A20,_book!$A$2:$A$379,bkc_lob,_book!$B$2:$B$379,bkc_bu)/SUMIFS(_book!$BC$2:$BC$379,_book!$C$2:$C$379,$A20,_book!$A$2:$A$379,bkc_lob,_book!$B$2:$B$379,bkc_bu))</f>
        <v>5.2333333333333378E-2</v>
      </c>
      <c r="G20" s="78">
        <f>IF(SUMIFS(_book!$BD$2:$BD$379,_book!$C$2:$C$379,$A20,_book!$A$2:$A$379,bkc_lob,_book!$B$2:$B$379,bkc_bu)=0,"—",SUMIFS(_book!$CB$2:$CB$379,_book!$C$2:$C$379,$A20,_book!$A$2:$A$379,bkc_lob,_book!$B$2:$B$379,bkc_bu)/SUMIFS(_book!$BD$2:$BD$379,_book!$C$2:$C$379,$A20,_book!$A$2:$A$379,bkc_lob,_book!$B$2:$B$379,bkc_bu))</f>
        <v>5.2333333333333378E-2</v>
      </c>
      <c r="H20" s="78">
        <f>IF(SUMIFS(_book!$BE$2:$BE$379,_book!$C$2:$C$379,$A20,_book!$A$2:$A$379,bkc_lob,_book!$B$2:$B$379,bkc_bu)=0,"—",SUMIFS(_book!$CC$2:$CC$379,_book!$C$2:$C$379,$A20,_book!$A$2:$A$379,bkc_lob,_book!$B$2:$B$379,bkc_bu)/SUMIFS(_book!$BE$2:$BE$379,_book!$C$2:$C$379,$A20,_book!$A$2:$A$379,bkc_lob,_book!$B$2:$B$379,bkc_bu))</f>
        <v>3.0666666666666696E-2</v>
      </c>
      <c r="I20" s="78">
        <f>IF(SUMIFS(_book!$BF$2:$BF$379,_book!$C$2:$C$379,$A20,_book!$A$2:$A$379,bkc_lob,_book!$B$2:$B$379,bkc_bu)=0,"—",SUMIFS(_book!$CD$2:$CD$379,_book!$C$2:$C$379,$A20,_book!$A$2:$A$379,bkc_lob,_book!$B$2:$B$379,bkc_bu)/SUMIFS(_book!$BF$2:$BF$379,_book!$C$2:$C$379,$A20,_book!$A$2:$A$379,bkc_lob,_book!$B$2:$B$379,bkc_bu))</f>
        <v>3.0666666666666696E-2</v>
      </c>
      <c r="J20" s="78">
        <f>IF(SUMIFS(_book!$BG$2:$BG$379,_book!$C$2:$C$379,$A20,_book!$A$2:$A$379,bkc_lob,_book!$B$2:$B$379,bkc_bu)=0,"—",SUMIFS(_book!$CE$2:$CE$379,_book!$C$2:$C$379,$A20,_book!$A$2:$A$379,bkc_lob,_book!$B$2:$B$379,bkc_bu)/SUMIFS(_book!$BG$2:$BG$379,_book!$C$2:$C$379,$A20,_book!$A$2:$A$379,bkc_lob,_book!$B$2:$B$379,bkc_bu))</f>
        <v>3.0666666666666696E-2</v>
      </c>
      <c r="K20" s="78">
        <f>IF(SUMIFS(_book!$BH$2:$BH$379,_book!$C$2:$C$379,$A20,_book!$A$2:$A$379,bkc_lob,_book!$B$2:$B$379,bkc_bu)=0,"—",SUMIFS(_book!$CF$2:$CF$379,_book!$C$2:$C$379,$A20,_book!$A$2:$A$379,bkc_lob,_book!$B$2:$B$379,bkc_bu)/SUMIFS(_book!$BH$2:$BH$379,_book!$C$2:$C$379,$A20,_book!$A$2:$A$379,bkc_lob,_book!$B$2:$B$379,bkc_bu))</f>
        <v>1.3333333333333345E-2</v>
      </c>
      <c r="L20" s="78">
        <f>IF(SUMIFS(_book!$BI$2:$BI$379,_book!$C$2:$C$379,$A20,_book!$A$2:$A$379,bkc_lob,_book!$B$2:$B$379,bkc_bu)=0,"—",SUMIFS(_book!$CG$2:$CG$379,_book!$C$2:$C$379,$A20,_book!$A$2:$A$379,bkc_lob,_book!$B$2:$B$379,bkc_bu)/SUMIFS(_book!$BI$2:$BI$379,_book!$C$2:$C$379,$A20,_book!$A$2:$A$379,bkc_lob,_book!$B$2:$B$379,bkc_bu))</f>
        <v>1.3333333333333345E-2</v>
      </c>
      <c r="M20" s="78">
        <f>IF(SUMIFS(_book!$BJ$2:$BJ$379,_book!$C$2:$C$379,$A20,_book!$A$2:$A$379,bkc_lob,_book!$B$2:$B$379,bkc_bu)=0,"—",SUMIFS(_book!$CH$2:$CH$379,_book!$C$2:$C$379,$A20,_book!$A$2:$A$379,bkc_lob,_book!$B$2:$B$379,bkc_bu)/SUMIFS(_book!$BJ$2:$BJ$379,_book!$C$2:$C$379,$A20,_book!$A$2:$A$379,bkc_lob,_book!$B$2:$B$379,bkc_bu))</f>
        <v>1.3333333333333345E-2</v>
      </c>
    </row>
    <row r="21" spans="1:13" x14ac:dyDescent="0.3">
      <c r="A21" s="77" t="s">
        <v>85</v>
      </c>
      <c r="B21" s="78">
        <f>IF(SUMIFS(_book!$AY$2:$AY$379,_book!$C$2:$C$379,$A21,_book!$A$2:$A$379,bkc_lob,_book!$B$2:$B$379,bkc_bu)=0,"—",SUMIFS(_book!$BW$2:$BW$379,_book!$C$2:$C$379,$A21,_book!$A$2:$A$379,bkc_lob,_book!$B$2:$B$379,bkc_bu)/SUMIFS(_book!$AY$2:$AY$379,_book!$C$2:$C$379,$A21,_book!$A$2:$A$379,bkc_lob,_book!$B$2:$B$379,bkc_bu))</f>
        <v>4.5365853658536619E-2</v>
      </c>
      <c r="C21" s="78">
        <f>IF(SUMIFS(_book!$AZ$2:$AZ$379,_book!$C$2:$C$379,$A21,_book!$A$2:$A$379,bkc_lob,_book!$B$2:$B$379,bkc_bu)=0,"—",SUMIFS(_book!$BX$2:$BX$379,_book!$C$2:$C$379,$A21,_book!$A$2:$A$379,bkc_lob,_book!$B$2:$B$379,bkc_bu)/SUMIFS(_book!$AZ$2:$AZ$379,_book!$C$2:$C$379,$A21,_book!$A$2:$A$379,bkc_lob,_book!$B$2:$B$379,bkc_bu))</f>
        <v>1.609756097560977E-2</v>
      </c>
      <c r="D21" s="78">
        <f>IF(SUMIFS(_book!$BA$2:$BA$379,_book!$C$2:$C$379,$A21,_book!$A$2:$A$379,bkc_lob,_book!$B$2:$B$379,bkc_bu)=0,"—",SUMIFS(_book!$BY$2:$BY$379,_book!$C$2:$C$379,$A21,_book!$A$2:$A$379,bkc_lob,_book!$B$2:$B$379,bkc_bu)/SUMIFS(_book!$BA$2:$BA$379,_book!$C$2:$C$379,$A21,_book!$A$2:$A$379,bkc_lob,_book!$B$2:$B$379,bkc_bu))</f>
        <v>1.609756097560977E-2</v>
      </c>
      <c r="E21" s="78">
        <f>IF(SUMIFS(_book!$BB$2:$BB$379,_book!$C$2:$C$379,$A21,_book!$A$2:$A$379,bkc_lob,_book!$B$2:$B$379,bkc_bu)=0,"—",SUMIFS(_book!$BZ$2:$BZ$379,_book!$C$2:$C$379,$A21,_book!$A$2:$A$379,bkc_lob,_book!$B$2:$B$379,bkc_bu)/SUMIFS(_book!$BB$2:$BB$379,_book!$C$2:$C$379,$A21,_book!$A$2:$A$379,bkc_lob,_book!$B$2:$B$379,bkc_bu))</f>
        <v>3.9512195121951248E-2</v>
      </c>
      <c r="F21" s="78">
        <f>IF(SUMIFS(_book!$BC$2:$BC$379,_book!$C$2:$C$379,$A21,_book!$A$2:$A$379,bkc_lob,_book!$B$2:$B$379,bkc_bu)=0,"—",SUMIFS(_book!$CA$2:$CA$379,_book!$C$2:$C$379,$A21,_book!$A$2:$A$379,bkc_lob,_book!$B$2:$B$379,bkc_bu)/SUMIFS(_book!$BC$2:$BC$379,_book!$C$2:$C$379,$A21,_book!$A$2:$A$379,bkc_lob,_book!$B$2:$B$379,bkc_bu))</f>
        <v>3.9512195121951248E-2</v>
      </c>
      <c r="G21" s="78">
        <f>IF(SUMIFS(_book!$BD$2:$BD$379,_book!$C$2:$C$379,$A21,_book!$A$2:$A$379,bkc_lob,_book!$B$2:$B$379,bkc_bu)=0,"—",SUMIFS(_book!$CB$2:$CB$379,_book!$C$2:$C$379,$A21,_book!$A$2:$A$379,bkc_lob,_book!$B$2:$B$379,bkc_bu)/SUMIFS(_book!$BD$2:$BD$379,_book!$C$2:$C$379,$A21,_book!$A$2:$A$379,bkc_lob,_book!$B$2:$B$379,bkc_bu))</f>
        <v>3.9512195121951248E-2</v>
      </c>
      <c r="H21" s="78">
        <f>IF(SUMIFS(_book!$BE$2:$BE$379,_book!$C$2:$C$379,$A21,_book!$A$2:$A$379,bkc_lob,_book!$B$2:$B$379,bkc_bu)=0,"—",SUMIFS(_book!$CC$2:$CC$379,_book!$C$2:$C$379,$A21,_book!$A$2:$A$379,bkc_lob,_book!$B$2:$B$379,bkc_bu)/SUMIFS(_book!$BE$2:$BE$379,_book!$C$2:$C$379,$A21,_book!$A$2:$A$379,bkc_lob,_book!$B$2:$B$379,bkc_bu))</f>
        <v>3.9512195121951248E-2</v>
      </c>
      <c r="I21" s="78">
        <f>IF(SUMIFS(_book!$BF$2:$BF$379,_book!$C$2:$C$379,$A21,_book!$A$2:$A$379,bkc_lob,_book!$B$2:$B$379,bkc_bu)=0,"—",SUMIFS(_book!$CD$2:$CD$379,_book!$C$2:$C$379,$A21,_book!$A$2:$A$379,bkc_lob,_book!$B$2:$B$379,bkc_bu)/SUMIFS(_book!$BF$2:$BF$379,_book!$C$2:$C$379,$A21,_book!$A$2:$A$379,bkc_lob,_book!$B$2:$B$379,bkc_bu))</f>
        <v>3.5121951219512226E-2</v>
      </c>
      <c r="J21" s="78">
        <f>IF(SUMIFS(_book!$BG$2:$BG$379,_book!$C$2:$C$379,$A21,_book!$A$2:$A$379,bkc_lob,_book!$B$2:$B$379,bkc_bu)=0,"—",SUMIFS(_book!$CE$2:$CE$379,_book!$C$2:$C$379,$A21,_book!$A$2:$A$379,bkc_lob,_book!$B$2:$B$379,bkc_bu)/SUMIFS(_book!$BG$2:$BG$379,_book!$C$2:$C$379,$A21,_book!$A$2:$A$379,bkc_lob,_book!$B$2:$B$379,bkc_bu))</f>
        <v>3.5121951219512226E-2</v>
      </c>
      <c r="K21" s="78">
        <f>IF(SUMIFS(_book!$BH$2:$BH$379,_book!$C$2:$C$379,$A21,_book!$A$2:$A$379,bkc_lob,_book!$B$2:$B$379,bkc_bu)=0,"—",SUMIFS(_book!$CF$2:$CF$379,_book!$C$2:$C$379,$A21,_book!$A$2:$A$379,bkc_lob,_book!$B$2:$B$379,bkc_bu)/SUMIFS(_book!$BH$2:$BH$379,_book!$C$2:$C$379,$A21,_book!$A$2:$A$379,bkc_lob,_book!$B$2:$B$379,bkc_bu))</f>
        <v>3.5121951219512226E-2</v>
      </c>
      <c r="L21" s="78">
        <f>IF(SUMIFS(_book!$BI$2:$BI$379,_book!$C$2:$C$379,$A21,_book!$A$2:$A$379,bkc_lob,_book!$B$2:$B$379,bkc_bu)=0,"—",SUMIFS(_book!$CG$2:$CG$379,_book!$C$2:$C$379,$A21,_book!$A$2:$A$379,bkc_lob,_book!$B$2:$B$379,bkc_bu)/SUMIFS(_book!$BI$2:$BI$379,_book!$C$2:$C$379,$A21,_book!$A$2:$A$379,bkc_lob,_book!$B$2:$B$379,bkc_bu))</f>
        <v>2.3414634146341484E-2</v>
      </c>
      <c r="M21" s="78">
        <f>IF(SUMIFS(_book!$BJ$2:$BJ$379,_book!$C$2:$C$379,$A21,_book!$A$2:$A$379,bkc_lob,_book!$B$2:$B$379,bkc_bu)=0,"—",SUMIFS(_book!$CH$2:$CH$379,_book!$C$2:$C$379,$A21,_book!$A$2:$A$379,bkc_lob,_book!$B$2:$B$379,bkc_bu)/SUMIFS(_book!$BJ$2:$BJ$379,_book!$C$2:$C$379,$A21,_book!$A$2:$A$379,bkc_lob,_book!$B$2:$B$379,bkc_bu))</f>
        <v>2.3414634146341484E-2</v>
      </c>
    </row>
    <row r="22" spans="1:13" x14ac:dyDescent="0.3">
      <c r="A22" s="77" t="s">
        <v>87</v>
      </c>
      <c r="B22" s="78">
        <f>IF(SUMIFS(_book!$AY$2:$AY$379,_book!$C$2:$C$379,$A22,_book!$A$2:$A$379,bkc_lob,_book!$B$2:$B$379,bkc_bu)=0,"—",SUMIFS(_book!$BW$2:$BW$379,_book!$C$2:$C$379,$A22,_book!$A$2:$A$379,bkc_lob,_book!$B$2:$B$379,bkc_bu)/SUMIFS(_book!$AY$2:$AY$379,_book!$C$2:$C$379,$A22,_book!$A$2:$A$379,bkc_lob,_book!$B$2:$B$379,bkc_bu))</f>
        <v>0</v>
      </c>
      <c r="C22" s="78">
        <f>IF(SUMIFS(_book!$AZ$2:$AZ$379,_book!$C$2:$C$379,$A22,_book!$A$2:$A$379,bkc_lob,_book!$B$2:$B$379,bkc_bu)=0,"—",SUMIFS(_book!$BX$2:$BX$379,_book!$C$2:$C$379,$A22,_book!$A$2:$A$379,bkc_lob,_book!$B$2:$B$379,bkc_bu)/SUMIFS(_book!$AZ$2:$AZ$379,_book!$C$2:$C$379,$A22,_book!$A$2:$A$379,bkc_lob,_book!$B$2:$B$379,bkc_bu))</f>
        <v>0</v>
      </c>
      <c r="D22" s="78">
        <f>IF(SUMIFS(_book!$BA$2:$BA$379,_book!$C$2:$C$379,$A22,_book!$A$2:$A$379,bkc_lob,_book!$B$2:$B$379,bkc_bu)=0,"—",SUMIFS(_book!$BY$2:$BY$379,_book!$C$2:$C$379,$A22,_book!$A$2:$A$379,bkc_lob,_book!$B$2:$B$379,bkc_bu)/SUMIFS(_book!$BA$2:$BA$379,_book!$C$2:$C$379,$A22,_book!$A$2:$A$379,bkc_lob,_book!$B$2:$B$379,bkc_bu))</f>
        <v>0</v>
      </c>
      <c r="E22" s="78">
        <f>IF(SUMIFS(_book!$BB$2:$BB$379,_book!$C$2:$C$379,$A22,_book!$A$2:$A$379,bkc_lob,_book!$B$2:$B$379,bkc_bu)=0,"—",SUMIFS(_book!$BZ$2:$BZ$379,_book!$C$2:$C$379,$A22,_book!$A$2:$A$379,bkc_lob,_book!$B$2:$B$379,bkc_bu)/SUMIFS(_book!$BB$2:$BB$379,_book!$C$2:$C$379,$A22,_book!$A$2:$A$379,bkc_lob,_book!$B$2:$B$379,bkc_bu))</f>
        <v>0</v>
      </c>
      <c r="F22" s="78">
        <f>IF(SUMIFS(_book!$BC$2:$BC$379,_book!$C$2:$C$379,$A22,_book!$A$2:$A$379,bkc_lob,_book!$B$2:$B$379,bkc_bu)=0,"—",SUMIFS(_book!$CA$2:$CA$379,_book!$C$2:$C$379,$A22,_book!$A$2:$A$379,bkc_lob,_book!$B$2:$B$379,bkc_bu)/SUMIFS(_book!$BC$2:$BC$379,_book!$C$2:$C$379,$A22,_book!$A$2:$A$379,bkc_lob,_book!$B$2:$B$379,bkc_bu))</f>
        <v>0</v>
      </c>
      <c r="G22" s="78">
        <f>IF(SUMIFS(_book!$BD$2:$BD$379,_book!$C$2:$C$379,$A22,_book!$A$2:$A$379,bkc_lob,_book!$B$2:$B$379,bkc_bu)=0,"—",SUMIFS(_book!$CB$2:$CB$379,_book!$C$2:$C$379,$A22,_book!$A$2:$A$379,bkc_lob,_book!$B$2:$B$379,bkc_bu)/SUMIFS(_book!$BD$2:$BD$379,_book!$C$2:$C$379,$A22,_book!$A$2:$A$379,bkc_lob,_book!$B$2:$B$379,bkc_bu))</f>
        <v>0</v>
      </c>
      <c r="H22" s="78">
        <f>IF(SUMIFS(_book!$BE$2:$BE$379,_book!$C$2:$C$379,$A22,_book!$A$2:$A$379,bkc_lob,_book!$B$2:$B$379,bkc_bu)=0,"—",SUMIFS(_book!$CC$2:$CC$379,_book!$C$2:$C$379,$A22,_book!$A$2:$A$379,bkc_lob,_book!$B$2:$B$379,bkc_bu)/SUMIFS(_book!$BE$2:$BE$379,_book!$C$2:$C$379,$A22,_book!$A$2:$A$379,bkc_lob,_book!$B$2:$B$379,bkc_bu))</f>
        <v>0</v>
      </c>
      <c r="I22" s="78">
        <f>IF(SUMIFS(_book!$BF$2:$BF$379,_book!$C$2:$C$379,$A22,_book!$A$2:$A$379,bkc_lob,_book!$B$2:$B$379,bkc_bu)=0,"—",SUMIFS(_book!$CD$2:$CD$379,_book!$C$2:$C$379,$A22,_book!$A$2:$A$379,bkc_lob,_book!$B$2:$B$379,bkc_bu)/SUMIFS(_book!$BF$2:$BF$379,_book!$C$2:$C$379,$A22,_book!$A$2:$A$379,bkc_lob,_book!$B$2:$B$379,bkc_bu))</f>
        <v>0</v>
      </c>
      <c r="J22" s="78">
        <f>IF(SUMIFS(_book!$BG$2:$BG$379,_book!$C$2:$C$379,$A22,_book!$A$2:$A$379,bkc_lob,_book!$B$2:$B$379,bkc_bu)=0,"—",SUMIFS(_book!$CE$2:$CE$379,_book!$C$2:$C$379,$A22,_book!$A$2:$A$379,bkc_lob,_book!$B$2:$B$379,bkc_bu)/SUMIFS(_book!$BG$2:$BG$379,_book!$C$2:$C$379,$A22,_book!$A$2:$A$379,bkc_lob,_book!$B$2:$B$379,bkc_bu))</f>
        <v>0</v>
      </c>
      <c r="K22" s="78">
        <f>IF(SUMIFS(_book!$BH$2:$BH$379,_book!$C$2:$C$379,$A22,_book!$A$2:$A$379,bkc_lob,_book!$B$2:$B$379,bkc_bu)=0,"—",SUMIFS(_book!$CF$2:$CF$379,_book!$C$2:$C$379,$A22,_book!$A$2:$A$379,bkc_lob,_book!$B$2:$B$379,bkc_bu)/SUMIFS(_book!$BH$2:$BH$379,_book!$C$2:$C$379,$A22,_book!$A$2:$A$379,bkc_lob,_book!$B$2:$B$379,bkc_bu))</f>
        <v>0</v>
      </c>
      <c r="L22" s="78">
        <f>IF(SUMIFS(_book!$BI$2:$BI$379,_book!$C$2:$C$379,$A22,_book!$A$2:$A$379,bkc_lob,_book!$B$2:$B$379,bkc_bu)=0,"—",SUMIFS(_book!$CG$2:$CG$379,_book!$C$2:$C$379,$A22,_book!$A$2:$A$379,bkc_lob,_book!$B$2:$B$379,bkc_bu)/SUMIFS(_book!$BI$2:$BI$379,_book!$C$2:$C$379,$A22,_book!$A$2:$A$379,bkc_lob,_book!$B$2:$B$379,bkc_bu))</f>
        <v>0</v>
      </c>
      <c r="M22" s="78">
        <f>IF(SUMIFS(_book!$BJ$2:$BJ$379,_book!$C$2:$C$379,$A22,_book!$A$2:$A$379,bkc_lob,_book!$B$2:$B$379,bkc_bu)=0,"—",SUMIFS(_book!$CH$2:$CH$379,_book!$C$2:$C$379,$A22,_book!$A$2:$A$379,bkc_lob,_book!$B$2:$B$379,bkc_bu)/SUMIFS(_book!$BJ$2:$BJ$379,_book!$C$2:$C$379,$A22,_book!$A$2:$A$379,bkc_lob,_book!$B$2:$B$379,bkc_bu))</f>
        <v>0</v>
      </c>
    </row>
    <row r="23" spans="1:13" x14ac:dyDescent="0.3">
      <c r="A23" s="77" t="s">
        <v>89</v>
      </c>
      <c r="B23" s="78">
        <f>IF(SUMIFS(_book!$AY$2:$AY$379,_book!$C$2:$C$379,$A23,_book!$A$2:$A$379,bkc_lob,_book!$B$2:$B$379,bkc_bu)=0,"—",SUMIFS(_book!$BW$2:$BW$379,_book!$C$2:$C$379,$A23,_book!$A$2:$A$379,bkc_lob,_book!$B$2:$B$379,bkc_bu)/SUMIFS(_book!$AY$2:$AY$379,_book!$C$2:$C$379,$A23,_book!$A$2:$A$379,bkc_lob,_book!$B$2:$B$379,bkc_bu))</f>
        <v>2.0392156862745116E-2</v>
      </c>
      <c r="C23" s="78">
        <f>IF(SUMIFS(_book!$AZ$2:$AZ$379,_book!$C$2:$C$379,$A23,_book!$A$2:$A$379,bkc_lob,_book!$B$2:$B$379,bkc_bu)=0,"—",SUMIFS(_book!$BX$2:$BX$379,_book!$C$2:$C$379,$A23,_book!$A$2:$A$379,bkc_lob,_book!$B$2:$B$379,bkc_bu)/SUMIFS(_book!$AZ$2:$AZ$379,_book!$C$2:$C$379,$A23,_book!$A$2:$A$379,bkc_lob,_book!$B$2:$B$379,bkc_bu))</f>
        <v>2.0392156862745116E-2</v>
      </c>
      <c r="D23" s="78">
        <f>IF(SUMIFS(_book!$BA$2:$BA$379,_book!$C$2:$C$379,$A23,_book!$A$2:$A$379,bkc_lob,_book!$B$2:$B$379,bkc_bu)=0,"—",SUMIFS(_book!$BY$2:$BY$379,_book!$C$2:$C$379,$A23,_book!$A$2:$A$379,bkc_lob,_book!$B$2:$B$379,bkc_bu)/SUMIFS(_book!$BA$2:$BA$379,_book!$C$2:$C$379,$A23,_book!$A$2:$A$379,bkc_lob,_book!$B$2:$B$379,bkc_bu))</f>
        <v>2.0392156862745116E-2</v>
      </c>
      <c r="E23" s="78">
        <f>IF(SUMIFS(_book!$BB$2:$BB$379,_book!$C$2:$C$379,$A23,_book!$A$2:$A$379,bkc_lob,_book!$B$2:$B$379,bkc_bu)=0,"—",SUMIFS(_book!$BZ$2:$BZ$379,_book!$C$2:$C$379,$A23,_book!$A$2:$A$379,bkc_lob,_book!$B$2:$B$379,bkc_bu)/SUMIFS(_book!$BB$2:$BB$379,_book!$C$2:$C$379,$A23,_book!$A$2:$A$379,bkc_lob,_book!$B$2:$B$379,bkc_bu))</f>
        <v>1.4117647058823542E-2</v>
      </c>
      <c r="F23" s="78">
        <f>IF(SUMIFS(_book!$BC$2:$BC$379,_book!$C$2:$C$379,$A23,_book!$A$2:$A$379,bkc_lob,_book!$B$2:$B$379,bkc_bu)=0,"—",SUMIFS(_book!$CA$2:$CA$379,_book!$C$2:$C$379,$A23,_book!$A$2:$A$379,bkc_lob,_book!$B$2:$B$379,bkc_bu)/SUMIFS(_book!$BC$2:$BC$379,_book!$C$2:$C$379,$A23,_book!$A$2:$A$379,bkc_lob,_book!$B$2:$B$379,bkc_bu))</f>
        <v>1.4117647058823542E-2</v>
      </c>
      <c r="G23" s="78">
        <f>IF(SUMIFS(_book!$BD$2:$BD$379,_book!$C$2:$C$379,$A23,_book!$A$2:$A$379,bkc_lob,_book!$B$2:$B$379,bkc_bu)=0,"—",SUMIFS(_book!$CB$2:$CB$379,_book!$C$2:$C$379,$A23,_book!$A$2:$A$379,bkc_lob,_book!$B$2:$B$379,bkc_bu)/SUMIFS(_book!$BD$2:$BD$379,_book!$C$2:$C$379,$A23,_book!$A$2:$A$379,bkc_lob,_book!$B$2:$B$379,bkc_bu))</f>
        <v>1.4117647058823542E-2</v>
      </c>
      <c r="H23" s="78">
        <f>IF(SUMIFS(_book!$BE$2:$BE$379,_book!$C$2:$C$379,$A23,_book!$A$2:$A$379,bkc_lob,_book!$B$2:$B$379,bkc_bu)=0,"—",SUMIFS(_book!$CC$2:$CC$379,_book!$C$2:$C$379,$A23,_book!$A$2:$A$379,bkc_lob,_book!$B$2:$B$379,bkc_bu)/SUMIFS(_book!$BE$2:$BE$379,_book!$C$2:$C$379,$A23,_book!$A$2:$A$379,bkc_lob,_book!$B$2:$B$379,bkc_bu))</f>
        <v>1.4117647058823542E-2</v>
      </c>
      <c r="I23" s="78">
        <f>IF(SUMIFS(_book!$BF$2:$BF$379,_book!$C$2:$C$379,$A23,_book!$A$2:$A$379,bkc_lob,_book!$B$2:$B$379,bkc_bu)=0,"—",SUMIFS(_book!$CD$2:$CD$379,_book!$C$2:$C$379,$A23,_book!$A$2:$A$379,bkc_lob,_book!$B$2:$B$379,bkc_bu)/SUMIFS(_book!$BF$2:$BF$379,_book!$C$2:$C$379,$A23,_book!$A$2:$A$379,bkc_lob,_book!$B$2:$B$379,bkc_bu))</f>
        <v>2.8800000000000037E-2</v>
      </c>
      <c r="J23" s="78">
        <f>IF(SUMIFS(_book!$BG$2:$BG$379,_book!$C$2:$C$379,$A23,_book!$A$2:$A$379,bkc_lob,_book!$B$2:$B$379,bkc_bu)=0,"—",SUMIFS(_book!$CE$2:$CE$379,_book!$C$2:$C$379,$A23,_book!$A$2:$A$379,bkc_lob,_book!$B$2:$B$379,bkc_bu)/SUMIFS(_book!$BG$2:$BG$379,_book!$C$2:$C$379,$A23,_book!$A$2:$A$379,bkc_lob,_book!$B$2:$B$379,bkc_bu))</f>
        <v>2.8800000000000037E-2</v>
      </c>
      <c r="K23" s="78">
        <f>IF(SUMIFS(_book!$BH$2:$BH$379,_book!$C$2:$C$379,$A23,_book!$A$2:$A$379,bkc_lob,_book!$B$2:$B$379,bkc_bu)=0,"—",SUMIFS(_book!$CF$2:$CF$379,_book!$C$2:$C$379,$A23,_book!$A$2:$A$379,bkc_lob,_book!$B$2:$B$379,bkc_bu)/SUMIFS(_book!$BH$2:$BH$379,_book!$C$2:$C$379,$A23,_book!$A$2:$A$379,bkc_lob,_book!$B$2:$B$379,bkc_bu))</f>
        <v>1.4117647058823542E-2</v>
      </c>
      <c r="L23" s="78">
        <f>IF(SUMIFS(_book!$BI$2:$BI$379,_book!$C$2:$C$379,$A23,_book!$A$2:$A$379,bkc_lob,_book!$B$2:$B$379,bkc_bu)=0,"—",SUMIFS(_book!$CG$2:$CG$379,_book!$C$2:$C$379,$A23,_book!$A$2:$A$379,bkc_lob,_book!$B$2:$B$379,bkc_bu)/SUMIFS(_book!$BI$2:$BI$379,_book!$C$2:$C$379,$A23,_book!$A$2:$A$379,bkc_lob,_book!$B$2:$B$379,bkc_bu))</f>
        <v>1.4117647058823542E-2</v>
      </c>
      <c r="M23" s="78">
        <f>IF(SUMIFS(_book!$BJ$2:$BJ$379,_book!$C$2:$C$379,$A23,_book!$A$2:$A$379,bkc_lob,_book!$B$2:$B$379,bkc_bu)=0,"—",SUMIFS(_book!$CH$2:$CH$379,_book!$C$2:$C$379,$A23,_book!$A$2:$A$379,bkc_lob,_book!$B$2:$B$379,bkc_bu)/SUMIFS(_book!$BJ$2:$BJ$379,_book!$C$2:$C$379,$A23,_book!$A$2:$A$379,bkc_lob,_book!$B$2:$B$379,bkc_bu))</f>
        <v>1.4117647058823542E-2</v>
      </c>
    </row>
    <row r="24" spans="1:13" x14ac:dyDescent="0.3">
      <c r="A24" s="77" t="s">
        <v>91</v>
      </c>
      <c r="B24" s="78">
        <f>IF(SUMIFS(_book!$AY$2:$AY$379,_book!$C$2:$C$379,$A24,_book!$A$2:$A$379,bkc_lob,_book!$B$2:$B$379,bkc_bu)=0,"—",SUMIFS(_book!$BW$2:$BW$379,_book!$C$2:$C$379,$A24,_book!$A$2:$A$379,bkc_lob,_book!$B$2:$B$379,bkc_bu)/SUMIFS(_book!$AY$2:$AY$379,_book!$C$2:$C$379,$A24,_book!$A$2:$A$379,bkc_lob,_book!$B$2:$B$379,bkc_bu))</f>
        <v>4.0512820512820534E-2</v>
      </c>
      <c r="C24" s="78">
        <f>IF(SUMIFS(_book!$AZ$2:$AZ$379,_book!$C$2:$C$379,$A24,_book!$A$2:$A$379,bkc_lob,_book!$B$2:$B$379,bkc_bu)=0,"—",SUMIFS(_book!$BX$2:$BX$379,_book!$C$2:$C$379,$A24,_book!$A$2:$A$379,bkc_lob,_book!$B$2:$B$379,bkc_bu)/SUMIFS(_book!$AZ$2:$AZ$379,_book!$C$2:$C$379,$A24,_book!$A$2:$A$379,bkc_lob,_book!$B$2:$B$379,bkc_bu))</f>
        <v>2.7179487179487202E-2</v>
      </c>
      <c r="D24" s="78">
        <f>IF(SUMIFS(_book!$BA$2:$BA$379,_book!$C$2:$C$379,$A24,_book!$A$2:$A$379,bkc_lob,_book!$B$2:$B$379,bkc_bu)=0,"—",SUMIFS(_book!$BY$2:$BY$379,_book!$C$2:$C$379,$A24,_book!$A$2:$A$379,bkc_lob,_book!$B$2:$B$379,bkc_bu)/SUMIFS(_book!$BA$2:$BA$379,_book!$C$2:$C$379,$A24,_book!$A$2:$A$379,bkc_lob,_book!$B$2:$B$379,bkc_bu))</f>
        <v>2.7179487179487202E-2</v>
      </c>
      <c r="E24" s="78">
        <f>IF(SUMIFS(_book!$BB$2:$BB$379,_book!$C$2:$C$379,$A24,_book!$A$2:$A$379,bkc_lob,_book!$B$2:$B$379,bkc_bu)=0,"—",SUMIFS(_book!$BZ$2:$BZ$379,_book!$C$2:$C$379,$A24,_book!$A$2:$A$379,bkc_lob,_book!$B$2:$B$379,bkc_bu)/SUMIFS(_book!$BB$2:$BB$379,_book!$C$2:$C$379,$A24,_book!$A$2:$A$379,bkc_lob,_book!$B$2:$B$379,bkc_bu))</f>
        <v>2.7179487179487202E-2</v>
      </c>
      <c r="F24" s="78">
        <f>IF(SUMIFS(_book!$BC$2:$BC$379,_book!$C$2:$C$379,$A24,_book!$A$2:$A$379,bkc_lob,_book!$B$2:$B$379,bkc_bu)=0,"—",SUMIFS(_book!$CA$2:$CA$379,_book!$C$2:$C$379,$A24,_book!$A$2:$A$379,bkc_lob,_book!$B$2:$B$379,bkc_bu)/SUMIFS(_book!$BC$2:$BC$379,_book!$C$2:$C$379,$A24,_book!$A$2:$A$379,bkc_lob,_book!$B$2:$B$379,bkc_bu))</f>
        <v>1.7948717948717961E-2</v>
      </c>
      <c r="G24" s="78">
        <f>IF(SUMIFS(_book!$BD$2:$BD$379,_book!$C$2:$C$379,$A24,_book!$A$2:$A$379,bkc_lob,_book!$B$2:$B$379,bkc_bu)=0,"—",SUMIFS(_book!$CB$2:$CB$379,_book!$C$2:$C$379,$A24,_book!$A$2:$A$379,bkc_lob,_book!$B$2:$B$379,bkc_bu)/SUMIFS(_book!$BD$2:$BD$379,_book!$C$2:$C$379,$A24,_book!$A$2:$A$379,bkc_lob,_book!$B$2:$B$379,bkc_bu))</f>
        <v>1.7948717948717961E-2</v>
      </c>
      <c r="H24" s="78">
        <f>IF(SUMIFS(_book!$BE$2:$BE$379,_book!$C$2:$C$379,$A24,_book!$A$2:$A$379,bkc_lob,_book!$B$2:$B$379,bkc_bu)=0,"—",SUMIFS(_book!$CC$2:$CC$379,_book!$C$2:$C$379,$A24,_book!$A$2:$A$379,bkc_lob,_book!$B$2:$B$379,bkc_bu)/SUMIFS(_book!$BE$2:$BE$379,_book!$C$2:$C$379,$A24,_book!$A$2:$A$379,bkc_lob,_book!$B$2:$B$379,bkc_bu))</f>
        <v>1.7948717948717961E-2</v>
      </c>
      <c r="I24" s="78">
        <f>IF(SUMIFS(_book!$BF$2:$BF$379,_book!$C$2:$C$379,$A24,_book!$A$2:$A$379,bkc_lob,_book!$B$2:$B$379,bkc_bu)=0,"—",SUMIFS(_book!$CD$2:$CD$379,_book!$C$2:$C$379,$A24,_book!$A$2:$A$379,bkc_lob,_book!$B$2:$B$379,bkc_bu)/SUMIFS(_book!$BF$2:$BF$379,_book!$C$2:$C$379,$A24,_book!$A$2:$A$379,bkc_lob,_book!$B$2:$B$379,bkc_bu))</f>
        <v>3.1282051282051304E-2</v>
      </c>
      <c r="J24" s="78">
        <f>IF(SUMIFS(_book!$BG$2:$BG$379,_book!$C$2:$C$379,$A24,_book!$A$2:$A$379,bkc_lob,_book!$B$2:$B$379,bkc_bu)=0,"—",SUMIFS(_book!$CE$2:$CE$379,_book!$C$2:$C$379,$A24,_book!$A$2:$A$379,bkc_lob,_book!$B$2:$B$379,bkc_bu)/SUMIFS(_book!$BG$2:$BG$379,_book!$C$2:$C$379,$A24,_book!$A$2:$A$379,bkc_lob,_book!$B$2:$B$379,bkc_bu))</f>
        <v>3.1282051282051304E-2</v>
      </c>
      <c r="K24" s="78">
        <f>IF(SUMIFS(_book!$BH$2:$BH$379,_book!$C$2:$C$379,$A24,_book!$A$2:$A$379,bkc_lob,_book!$B$2:$B$379,bkc_bu)=0,"—",SUMIFS(_book!$CF$2:$CF$379,_book!$C$2:$C$379,$A24,_book!$A$2:$A$379,bkc_lob,_book!$B$2:$B$379,bkc_bu)/SUMIFS(_book!$BH$2:$BH$379,_book!$C$2:$C$379,$A24,_book!$A$2:$A$379,bkc_lob,_book!$B$2:$B$379,bkc_bu))</f>
        <v>3.1282051282051304E-2</v>
      </c>
      <c r="L24" s="78">
        <f>IF(SUMIFS(_book!$BI$2:$BI$379,_book!$C$2:$C$379,$A24,_book!$A$2:$A$379,bkc_lob,_book!$B$2:$B$379,bkc_bu)=0,"—",SUMIFS(_book!$CG$2:$CG$379,_book!$C$2:$C$379,$A24,_book!$A$2:$A$379,bkc_lob,_book!$B$2:$B$379,bkc_bu)/SUMIFS(_book!$BI$2:$BI$379,_book!$C$2:$C$379,$A24,_book!$A$2:$A$379,bkc_lob,_book!$B$2:$B$379,bkc_bu))</f>
        <v>1.3333333333333345E-2</v>
      </c>
      <c r="M24" s="78">
        <f>IF(SUMIFS(_book!$BJ$2:$BJ$379,_book!$C$2:$C$379,$A24,_book!$A$2:$A$379,bkc_lob,_book!$B$2:$B$379,bkc_bu)=0,"—",SUMIFS(_book!$CH$2:$CH$379,_book!$C$2:$C$379,$A24,_book!$A$2:$A$379,bkc_lob,_book!$B$2:$B$379,bkc_bu)/SUMIFS(_book!$BJ$2:$BJ$379,_book!$C$2:$C$379,$A24,_book!$A$2:$A$379,bkc_lob,_book!$B$2:$B$379,bkc_bu))</f>
        <v>1.3333333333333345E-2</v>
      </c>
    </row>
    <row r="25" spans="1:13" x14ac:dyDescent="0.3">
      <c r="A25" s="77" t="s">
        <v>92</v>
      </c>
      <c r="B25" s="78">
        <f>IF(SUMIFS(_book!$AY$2:$AY$379,_book!$C$2:$C$379,$A25,_book!$A$2:$A$379,bkc_lob,_book!$B$2:$B$379,bkc_bu)=0,"—",SUMIFS(_book!$BW$2:$BW$379,_book!$C$2:$C$379,$A25,_book!$A$2:$A$379,bkc_lob,_book!$B$2:$B$379,bkc_bu)/SUMIFS(_book!$AY$2:$AY$379,_book!$C$2:$C$379,$A25,_book!$A$2:$A$379,bkc_lob,_book!$B$2:$B$379,bkc_bu))</f>
        <v>0</v>
      </c>
      <c r="C25" s="78">
        <f>IF(SUMIFS(_book!$AZ$2:$AZ$379,_book!$C$2:$C$379,$A25,_book!$A$2:$A$379,bkc_lob,_book!$B$2:$B$379,bkc_bu)=0,"—",SUMIFS(_book!$BX$2:$BX$379,_book!$C$2:$C$379,$A25,_book!$A$2:$A$379,bkc_lob,_book!$B$2:$B$379,bkc_bu)/SUMIFS(_book!$AZ$2:$AZ$379,_book!$C$2:$C$379,$A25,_book!$A$2:$A$379,bkc_lob,_book!$B$2:$B$379,bkc_bu))</f>
        <v>0</v>
      </c>
      <c r="D25" s="78">
        <f>IF(SUMIFS(_book!$BA$2:$BA$379,_book!$C$2:$C$379,$A25,_book!$A$2:$A$379,bkc_lob,_book!$B$2:$B$379,bkc_bu)=0,"—",SUMIFS(_book!$BY$2:$BY$379,_book!$C$2:$C$379,$A25,_book!$A$2:$A$379,bkc_lob,_book!$B$2:$B$379,bkc_bu)/SUMIFS(_book!$BA$2:$BA$379,_book!$C$2:$C$379,$A25,_book!$A$2:$A$379,bkc_lob,_book!$B$2:$B$379,bkc_bu))</f>
        <v>0</v>
      </c>
      <c r="E25" s="78">
        <f>IF(SUMIFS(_book!$BB$2:$BB$379,_book!$C$2:$C$379,$A25,_book!$A$2:$A$379,bkc_lob,_book!$B$2:$B$379,bkc_bu)=0,"—",SUMIFS(_book!$BZ$2:$BZ$379,_book!$C$2:$C$379,$A25,_book!$A$2:$A$379,bkc_lob,_book!$B$2:$B$379,bkc_bu)/SUMIFS(_book!$BB$2:$BB$379,_book!$C$2:$C$379,$A25,_book!$A$2:$A$379,bkc_lob,_book!$B$2:$B$379,bkc_bu))</f>
        <v>0</v>
      </c>
      <c r="F25" s="78">
        <f>IF(SUMIFS(_book!$BC$2:$BC$379,_book!$C$2:$C$379,$A25,_book!$A$2:$A$379,bkc_lob,_book!$B$2:$B$379,bkc_bu)=0,"—",SUMIFS(_book!$CA$2:$CA$379,_book!$C$2:$C$379,$A25,_book!$A$2:$A$379,bkc_lob,_book!$B$2:$B$379,bkc_bu)/SUMIFS(_book!$BC$2:$BC$379,_book!$C$2:$C$379,$A25,_book!$A$2:$A$379,bkc_lob,_book!$B$2:$B$379,bkc_bu))</f>
        <v>0</v>
      </c>
      <c r="G25" s="78">
        <f>IF(SUMIFS(_book!$BD$2:$BD$379,_book!$C$2:$C$379,$A25,_book!$A$2:$A$379,bkc_lob,_book!$B$2:$B$379,bkc_bu)=0,"—",SUMIFS(_book!$CB$2:$CB$379,_book!$C$2:$C$379,$A25,_book!$A$2:$A$379,bkc_lob,_book!$B$2:$B$379,bkc_bu)/SUMIFS(_book!$BD$2:$BD$379,_book!$C$2:$C$379,$A25,_book!$A$2:$A$379,bkc_lob,_book!$B$2:$B$379,bkc_bu))</f>
        <v>0</v>
      </c>
      <c r="H25" s="78">
        <f>IF(SUMIFS(_book!$BE$2:$BE$379,_book!$C$2:$C$379,$A25,_book!$A$2:$A$379,bkc_lob,_book!$B$2:$B$379,bkc_bu)=0,"—",SUMIFS(_book!$CC$2:$CC$379,_book!$C$2:$C$379,$A25,_book!$A$2:$A$379,bkc_lob,_book!$B$2:$B$379,bkc_bu)/SUMIFS(_book!$BE$2:$BE$379,_book!$C$2:$C$379,$A25,_book!$A$2:$A$379,bkc_lob,_book!$B$2:$B$379,bkc_bu))</f>
        <v>0</v>
      </c>
      <c r="I25" s="78">
        <f>IF(SUMIFS(_book!$BF$2:$BF$379,_book!$C$2:$C$379,$A25,_book!$A$2:$A$379,bkc_lob,_book!$B$2:$B$379,bkc_bu)=0,"—",SUMIFS(_book!$CD$2:$CD$379,_book!$C$2:$C$379,$A25,_book!$A$2:$A$379,bkc_lob,_book!$B$2:$B$379,bkc_bu)/SUMIFS(_book!$BF$2:$BF$379,_book!$C$2:$C$379,$A25,_book!$A$2:$A$379,bkc_lob,_book!$B$2:$B$379,bkc_bu))</f>
        <v>1.185185185185186E-2</v>
      </c>
      <c r="J25" s="78">
        <f>IF(SUMIFS(_book!$BG$2:$BG$379,_book!$C$2:$C$379,$A25,_book!$A$2:$A$379,bkc_lob,_book!$B$2:$B$379,bkc_bu)=0,"—",SUMIFS(_book!$CE$2:$CE$379,_book!$C$2:$C$379,$A25,_book!$A$2:$A$379,bkc_lob,_book!$B$2:$B$379,bkc_bu)/SUMIFS(_book!$BG$2:$BG$379,_book!$C$2:$C$379,$A25,_book!$A$2:$A$379,bkc_lob,_book!$B$2:$B$379,bkc_bu))</f>
        <v>1.185185185185186E-2</v>
      </c>
      <c r="K25" s="78">
        <f>IF(SUMIFS(_book!$BH$2:$BH$379,_book!$C$2:$C$379,$A25,_book!$A$2:$A$379,bkc_lob,_book!$B$2:$B$379,bkc_bu)=0,"—",SUMIFS(_book!$CF$2:$CF$379,_book!$C$2:$C$379,$A25,_book!$A$2:$A$379,bkc_lob,_book!$B$2:$B$379,bkc_bu)/SUMIFS(_book!$BH$2:$BH$379,_book!$C$2:$C$379,$A25,_book!$A$2:$A$379,bkc_lob,_book!$B$2:$B$379,bkc_bu))</f>
        <v>1.185185185185186E-2</v>
      </c>
      <c r="L25" s="78">
        <f>IF(SUMIFS(_book!$BI$2:$BI$379,_book!$C$2:$C$379,$A25,_book!$A$2:$A$379,bkc_lob,_book!$B$2:$B$379,bkc_bu)=0,"—",SUMIFS(_book!$CG$2:$CG$379,_book!$C$2:$C$379,$A25,_book!$A$2:$A$379,bkc_lob,_book!$B$2:$B$379,bkc_bu)/SUMIFS(_book!$BI$2:$BI$379,_book!$C$2:$C$379,$A25,_book!$A$2:$A$379,bkc_lob,_book!$B$2:$B$379,bkc_bu))</f>
        <v>1.185185185185186E-2</v>
      </c>
      <c r="M25" s="78">
        <f>IF(SUMIFS(_book!$BJ$2:$BJ$379,_book!$C$2:$C$379,$A25,_book!$A$2:$A$379,bkc_lob,_book!$B$2:$B$379,bkc_bu)=0,"—",SUMIFS(_book!$CH$2:$CH$379,_book!$C$2:$C$379,$A25,_book!$A$2:$A$379,bkc_lob,_book!$B$2:$B$379,bkc_bu)/SUMIFS(_book!$BJ$2:$BJ$379,_book!$C$2:$C$379,$A25,_book!$A$2:$A$379,bkc_lob,_book!$B$2:$B$379,bkc_bu))</f>
        <v>1.185185185185186E-2</v>
      </c>
    </row>
    <row r="26" spans="1:13" x14ac:dyDescent="0.3">
      <c r="A26" s="77" t="s">
        <v>94</v>
      </c>
      <c r="B26" s="78">
        <f>IF(SUMIFS(_book!$AY$2:$AY$379,_book!$C$2:$C$379,$A26,_book!$A$2:$A$379,bkc_lob,_book!$B$2:$B$379,bkc_bu)=0,"—",SUMIFS(_book!$BW$2:$BW$379,_book!$C$2:$C$379,$A26,_book!$A$2:$A$379,bkc_lob,_book!$B$2:$B$379,bkc_bu)/SUMIFS(_book!$AY$2:$AY$379,_book!$C$2:$C$379,$A26,_book!$A$2:$A$379,bkc_lob,_book!$B$2:$B$379,bkc_bu))</f>
        <v>3.5909090909090939E-2</v>
      </c>
      <c r="C26" s="78">
        <f>IF(SUMIFS(_book!$AZ$2:$AZ$379,_book!$C$2:$C$379,$A26,_book!$A$2:$A$379,bkc_lob,_book!$B$2:$B$379,bkc_bu)=0,"—",SUMIFS(_book!$BX$2:$BX$379,_book!$C$2:$C$379,$A26,_book!$A$2:$A$379,bkc_lob,_book!$B$2:$B$379,bkc_bu)/SUMIFS(_book!$AZ$2:$AZ$379,_book!$C$2:$C$379,$A26,_book!$A$2:$A$379,bkc_lob,_book!$B$2:$B$379,bkc_bu))</f>
        <v>3.5909090909090939E-2</v>
      </c>
      <c r="D26" s="78">
        <f>IF(SUMIFS(_book!$BA$2:$BA$379,_book!$C$2:$C$379,$A26,_book!$A$2:$A$379,bkc_lob,_book!$B$2:$B$379,bkc_bu)=0,"—",SUMIFS(_book!$BY$2:$BY$379,_book!$C$2:$C$379,$A26,_book!$A$2:$A$379,bkc_lob,_book!$B$2:$B$379,bkc_bu)/SUMIFS(_book!$BA$2:$BA$379,_book!$C$2:$C$379,$A26,_book!$A$2:$A$379,bkc_lob,_book!$B$2:$B$379,bkc_bu))</f>
        <v>3.5909090909090939E-2</v>
      </c>
      <c r="E26" s="78">
        <f>IF(SUMIFS(_book!$BB$2:$BB$379,_book!$C$2:$C$379,$A26,_book!$A$2:$A$379,bkc_lob,_book!$B$2:$B$379,bkc_bu)=0,"—",SUMIFS(_book!$BZ$2:$BZ$379,_book!$C$2:$C$379,$A26,_book!$A$2:$A$379,bkc_lob,_book!$B$2:$B$379,bkc_bu)/SUMIFS(_book!$BB$2:$BB$379,_book!$C$2:$C$379,$A26,_book!$A$2:$A$379,bkc_lob,_book!$B$2:$B$379,bkc_bu))</f>
        <v>1.5909090909090921E-2</v>
      </c>
      <c r="F26" s="78">
        <f>IF(SUMIFS(_book!$BC$2:$BC$379,_book!$C$2:$C$379,$A26,_book!$A$2:$A$379,bkc_lob,_book!$B$2:$B$379,bkc_bu)=0,"—",SUMIFS(_book!$CA$2:$CA$379,_book!$C$2:$C$379,$A26,_book!$A$2:$A$379,bkc_lob,_book!$B$2:$B$379,bkc_bu)/SUMIFS(_book!$BC$2:$BC$379,_book!$C$2:$C$379,$A26,_book!$A$2:$A$379,bkc_lob,_book!$B$2:$B$379,bkc_bu))</f>
        <v>1.5909090909090921E-2</v>
      </c>
      <c r="G26" s="78">
        <f>IF(SUMIFS(_book!$BD$2:$BD$379,_book!$C$2:$C$379,$A26,_book!$A$2:$A$379,bkc_lob,_book!$B$2:$B$379,bkc_bu)=0,"—",SUMIFS(_book!$CB$2:$CB$379,_book!$C$2:$C$379,$A26,_book!$A$2:$A$379,bkc_lob,_book!$B$2:$B$379,bkc_bu)/SUMIFS(_book!$BD$2:$BD$379,_book!$C$2:$C$379,$A26,_book!$A$2:$A$379,bkc_lob,_book!$B$2:$B$379,bkc_bu))</f>
        <v>1.5909090909090921E-2</v>
      </c>
      <c r="H26" s="78">
        <f>IF(SUMIFS(_book!$BE$2:$BE$379,_book!$C$2:$C$379,$A26,_book!$A$2:$A$379,bkc_lob,_book!$B$2:$B$379,bkc_bu)=0,"—",SUMIFS(_book!$CC$2:$CC$379,_book!$C$2:$C$379,$A26,_book!$A$2:$A$379,bkc_lob,_book!$B$2:$B$379,bkc_bu)/SUMIFS(_book!$BE$2:$BE$379,_book!$C$2:$C$379,$A26,_book!$A$2:$A$379,bkc_lob,_book!$B$2:$B$379,bkc_bu))</f>
        <v>0</v>
      </c>
      <c r="I26" s="78">
        <f>IF(SUMIFS(_book!$BF$2:$BF$379,_book!$C$2:$C$379,$A26,_book!$A$2:$A$379,bkc_lob,_book!$B$2:$B$379,bkc_bu)=0,"—",SUMIFS(_book!$CD$2:$CD$379,_book!$C$2:$C$379,$A26,_book!$A$2:$A$379,bkc_lob,_book!$B$2:$B$379,bkc_bu)/SUMIFS(_book!$BF$2:$BF$379,_book!$C$2:$C$379,$A26,_book!$A$2:$A$379,bkc_lob,_book!$B$2:$B$379,bkc_bu))</f>
        <v>0</v>
      </c>
      <c r="J26" s="78">
        <f>IF(SUMIFS(_book!$BG$2:$BG$379,_book!$C$2:$C$379,$A26,_book!$A$2:$A$379,bkc_lob,_book!$B$2:$B$379,bkc_bu)=0,"—",SUMIFS(_book!$CE$2:$CE$379,_book!$C$2:$C$379,$A26,_book!$A$2:$A$379,bkc_lob,_book!$B$2:$B$379,bkc_bu)/SUMIFS(_book!$BG$2:$BG$379,_book!$C$2:$C$379,$A26,_book!$A$2:$A$379,bkc_lob,_book!$B$2:$B$379,bkc_bu))</f>
        <v>0</v>
      </c>
      <c r="K26" s="78">
        <f>IF(SUMIFS(_book!$BH$2:$BH$379,_book!$C$2:$C$379,$A26,_book!$A$2:$A$379,bkc_lob,_book!$B$2:$B$379,bkc_bu)=0,"—",SUMIFS(_book!$CF$2:$CF$379,_book!$C$2:$C$379,$A26,_book!$A$2:$A$379,bkc_lob,_book!$B$2:$B$379,bkc_bu)/SUMIFS(_book!$BH$2:$BH$379,_book!$C$2:$C$379,$A26,_book!$A$2:$A$379,bkc_lob,_book!$B$2:$B$379,bkc_bu))</f>
        <v>0</v>
      </c>
      <c r="L26" s="78">
        <f>IF(SUMIFS(_book!$BI$2:$BI$379,_book!$C$2:$C$379,$A26,_book!$A$2:$A$379,bkc_lob,_book!$B$2:$B$379,bkc_bu)=0,"—",SUMIFS(_book!$CG$2:$CG$379,_book!$C$2:$C$379,$A26,_book!$A$2:$A$379,bkc_lob,_book!$B$2:$B$379,bkc_bu)/SUMIFS(_book!$BI$2:$BI$379,_book!$C$2:$C$379,$A26,_book!$A$2:$A$379,bkc_lob,_book!$B$2:$B$379,bkc_bu))</f>
        <v>0</v>
      </c>
      <c r="M26" s="78">
        <f>IF(SUMIFS(_book!$BJ$2:$BJ$379,_book!$C$2:$C$379,$A26,_book!$A$2:$A$379,bkc_lob,_book!$B$2:$B$379,bkc_bu)=0,"—",SUMIFS(_book!$CH$2:$CH$379,_book!$C$2:$C$379,$A26,_book!$A$2:$A$379,bkc_lob,_book!$B$2:$B$379,bkc_bu)/SUMIFS(_book!$BJ$2:$BJ$379,_book!$C$2:$C$379,$A26,_book!$A$2:$A$379,bkc_lob,_book!$B$2:$B$379,bkc_bu))</f>
        <v>0</v>
      </c>
    </row>
    <row r="27" spans="1:13" x14ac:dyDescent="0.3">
      <c r="A27" s="77" t="s">
        <v>95</v>
      </c>
      <c r="B27" s="78">
        <f>IF(SUMIFS(_book!$AY$2:$AY$379,_book!$C$2:$C$379,$A27,_book!$A$2:$A$379,bkc_lob,_book!$B$2:$B$379,bkc_bu)=0,"—",SUMIFS(_book!$BW$2:$BW$379,_book!$C$2:$C$379,$A27,_book!$A$2:$A$379,bkc_lob,_book!$B$2:$B$379,bkc_bu)/SUMIFS(_book!$AY$2:$AY$379,_book!$C$2:$C$379,$A27,_book!$A$2:$A$379,bkc_lob,_book!$B$2:$B$379,bkc_bu))</f>
        <v>3.6111111111111142E-2</v>
      </c>
      <c r="C27" s="78">
        <f>IF(SUMIFS(_book!$AZ$2:$AZ$379,_book!$C$2:$C$379,$A27,_book!$A$2:$A$379,bkc_lob,_book!$B$2:$B$379,bkc_bu)=0,"—",SUMIFS(_book!$BX$2:$BX$379,_book!$C$2:$C$379,$A27,_book!$A$2:$A$379,bkc_lob,_book!$B$2:$B$379,bkc_bu)/SUMIFS(_book!$AZ$2:$AZ$379,_book!$C$2:$C$379,$A27,_book!$A$2:$A$379,bkc_lob,_book!$B$2:$B$379,bkc_bu))</f>
        <v>3.962962962962966E-2</v>
      </c>
      <c r="D27" s="78">
        <f>IF(SUMIFS(_book!$BA$2:$BA$379,_book!$C$2:$C$379,$A27,_book!$A$2:$A$379,bkc_lob,_book!$B$2:$B$379,bkc_bu)=0,"—",SUMIFS(_book!$BY$2:$BY$379,_book!$C$2:$C$379,$A27,_book!$A$2:$A$379,bkc_lob,_book!$B$2:$B$379,bkc_bu)/SUMIFS(_book!$BA$2:$BA$379,_book!$C$2:$C$379,$A27,_book!$A$2:$A$379,bkc_lob,_book!$B$2:$B$379,bkc_bu))</f>
        <v>3.962962962962966E-2</v>
      </c>
      <c r="E27" s="78">
        <f>IF(SUMIFS(_book!$BB$2:$BB$379,_book!$C$2:$C$379,$A27,_book!$A$2:$A$379,bkc_lob,_book!$B$2:$B$379,bkc_bu)=0,"—",SUMIFS(_book!$BZ$2:$BZ$379,_book!$C$2:$C$379,$A27,_book!$A$2:$A$379,bkc_lob,_book!$B$2:$B$379,bkc_bu)/SUMIFS(_book!$BB$2:$BB$379,_book!$C$2:$C$379,$A27,_book!$A$2:$A$379,bkc_lob,_book!$B$2:$B$379,bkc_bu))</f>
        <v>3.962962962962966E-2</v>
      </c>
      <c r="F27" s="78">
        <f>IF(SUMIFS(_book!$BC$2:$BC$379,_book!$C$2:$C$379,$A27,_book!$A$2:$A$379,bkc_lob,_book!$B$2:$B$379,bkc_bu)=0,"—",SUMIFS(_book!$CA$2:$CA$379,_book!$C$2:$C$379,$A27,_book!$A$2:$A$379,bkc_lob,_book!$B$2:$B$379,bkc_bu)/SUMIFS(_book!$BC$2:$BC$379,_book!$C$2:$C$379,$A27,_book!$A$2:$A$379,bkc_lob,_book!$B$2:$B$379,bkc_bu))</f>
        <v>3.2962962962962992E-2</v>
      </c>
      <c r="G27" s="78">
        <f>IF(SUMIFS(_book!$BD$2:$BD$379,_book!$C$2:$C$379,$A27,_book!$A$2:$A$379,bkc_lob,_book!$B$2:$B$379,bkc_bu)=0,"—",SUMIFS(_book!$CB$2:$CB$379,_book!$C$2:$C$379,$A27,_book!$A$2:$A$379,bkc_lob,_book!$B$2:$B$379,bkc_bu)/SUMIFS(_book!$BD$2:$BD$379,_book!$C$2:$C$379,$A27,_book!$A$2:$A$379,bkc_lob,_book!$B$2:$B$379,bkc_bu))</f>
        <v>3.2962962962962992E-2</v>
      </c>
      <c r="H27" s="78">
        <f>IF(SUMIFS(_book!$BE$2:$BE$379,_book!$C$2:$C$379,$A27,_book!$A$2:$A$379,bkc_lob,_book!$B$2:$B$379,bkc_bu)=0,"—",SUMIFS(_book!$CC$2:$CC$379,_book!$C$2:$C$379,$A27,_book!$A$2:$A$379,bkc_lob,_book!$B$2:$B$379,bkc_bu)/SUMIFS(_book!$BE$2:$BE$379,_book!$C$2:$C$379,$A27,_book!$A$2:$A$379,bkc_lob,_book!$B$2:$B$379,bkc_bu))</f>
        <v>3.2962962962962992E-2</v>
      </c>
      <c r="I27" s="78">
        <f>IF(SUMIFS(_book!$BF$2:$BF$379,_book!$C$2:$C$379,$A27,_book!$A$2:$A$379,bkc_lob,_book!$B$2:$B$379,bkc_bu)=0,"—",SUMIFS(_book!$CD$2:$CD$379,_book!$C$2:$C$379,$A27,_book!$A$2:$A$379,bkc_lob,_book!$B$2:$B$379,bkc_bu)/SUMIFS(_book!$BF$2:$BF$379,_book!$C$2:$C$379,$A27,_book!$A$2:$A$379,bkc_lob,_book!$B$2:$B$379,bkc_bu))</f>
        <v>1.4074074074074086E-2</v>
      </c>
      <c r="J27" s="78">
        <f>IF(SUMIFS(_book!$BG$2:$BG$379,_book!$C$2:$C$379,$A27,_book!$A$2:$A$379,bkc_lob,_book!$B$2:$B$379,bkc_bu)=0,"—",SUMIFS(_book!$CE$2:$CE$379,_book!$C$2:$C$379,$A27,_book!$A$2:$A$379,bkc_lob,_book!$B$2:$B$379,bkc_bu)/SUMIFS(_book!$BG$2:$BG$379,_book!$C$2:$C$379,$A27,_book!$A$2:$A$379,bkc_lob,_book!$B$2:$B$379,bkc_bu))</f>
        <v>1.4074074074074086E-2</v>
      </c>
      <c r="K27" s="78">
        <f>IF(SUMIFS(_book!$BH$2:$BH$379,_book!$C$2:$C$379,$A27,_book!$A$2:$A$379,bkc_lob,_book!$B$2:$B$379,bkc_bu)=0,"—",SUMIFS(_book!$CF$2:$CF$379,_book!$C$2:$C$379,$A27,_book!$A$2:$A$379,bkc_lob,_book!$B$2:$B$379,bkc_bu)/SUMIFS(_book!$BH$2:$BH$379,_book!$C$2:$C$379,$A27,_book!$A$2:$A$379,bkc_lob,_book!$B$2:$B$379,bkc_bu))</f>
        <v>1.4074074074074086E-2</v>
      </c>
      <c r="L27" s="78">
        <f>IF(SUMIFS(_book!$BI$2:$BI$379,_book!$C$2:$C$379,$A27,_book!$A$2:$A$379,bkc_lob,_book!$B$2:$B$379,bkc_bu)=0,"—",SUMIFS(_book!$CG$2:$CG$379,_book!$C$2:$C$379,$A27,_book!$A$2:$A$379,bkc_lob,_book!$B$2:$B$379,bkc_bu)/SUMIFS(_book!$BI$2:$BI$379,_book!$C$2:$C$379,$A27,_book!$A$2:$A$379,bkc_lob,_book!$B$2:$B$379,bkc_bu))</f>
        <v>1.4074074074074086E-2</v>
      </c>
      <c r="M27" s="78">
        <f>IF(SUMIFS(_book!$BJ$2:$BJ$379,_book!$C$2:$C$379,$A27,_book!$A$2:$A$379,bkc_lob,_book!$B$2:$B$379,bkc_bu)=0,"—",SUMIFS(_book!$CH$2:$CH$379,_book!$C$2:$C$379,$A27,_book!$A$2:$A$379,bkc_lob,_book!$B$2:$B$379,bkc_bu)/SUMIFS(_book!$BJ$2:$BJ$379,_book!$C$2:$C$379,$A27,_book!$A$2:$A$379,bkc_lob,_book!$B$2:$B$379,bkc_bu))</f>
        <v>1.4074074074074086E-2</v>
      </c>
    </row>
    <row r="28" spans="1:13" x14ac:dyDescent="0.3">
      <c r="A28" s="77" t="s">
        <v>96</v>
      </c>
      <c r="B28" s="78">
        <f>IF(SUMIFS(_book!$AY$2:$AY$379,_book!$C$2:$C$379,$A28,_book!$A$2:$A$379,bkc_lob,_book!$B$2:$B$379,bkc_bu)=0,"—",SUMIFS(_book!$BW$2:$BW$379,_book!$C$2:$C$379,$A28,_book!$A$2:$A$379,bkc_lob,_book!$B$2:$B$379,bkc_bu)/SUMIFS(_book!$AY$2:$AY$379,_book!$C$2:$C$379,$A28,_book!$A$2:$A$379,bkc_lob,_book!$B$2:$B$379,bkc_bu))</f>
        <v>0</v>
      </c>
      <c r="C28" s="78">
        <f>IF(SUMIFS(_book!$AZ$2:$AZ$379,_book!$C$2:$C$379,$A28,_book!$A$2:$A$379,bkc_lob,_book!$B$2:$B$379,bkc_bu)=0,"—",SUMIFS(_book!$BX$2:$BX$379,_book!$C$2:$C$379,$A28,_book!$A$2:$A$379,bkc_lob,_book!$B$2:$B$379,bkc_bu)/SUMIFS(_book!$AZ$2:$AZ$379,_book!$C$2:$C$379,$A28,_book!$A$2:$A$379,bkc_lob,_book!$B$2:$B$379,bkc_bu))</f>
        <v>1.3333333333333343E-2</v>
      </c>
      <c r="D28" s="78">
        <f>IF(SUMIFS(_book!$BA$2:$BA$379,_book!$C$2:$C$379,$A28,_book!$A$2:$A$379,bkc_lob,_book!$B$2:$B$379,bkc_bu)=0,"—",SUMIFS(_book!$BY$2:$BY$379,_book!$C$2:$C$379,$A28,_book!$A$2:$A$379,bkc_lob,_book!$B$2:$B$379,bkc_bu)/SUMIFS(_book!$BA$2:$BA$379,_book!$C$2:$C$379,$A28,_book!$A$2:$A$379,bkc_lob,_book!$B$2:$B$379,bkc_bu))</f>
        <v>1.3333333333333343E-2</v>
      </c>
      <c r="E28" s="78">
        <f>IF(SUMIFS(_book!$BB$2:$BB$379,_book!$C$2:$C$379,$A28,_book!$A$2:$A$379,bkc_lob,_book!$B$2:$B$379,bkc_bu)=0,"—",SUMIFS(_book!$BZ$2:$BZ$379,_book!$C$2:$C$379,$A28,_book!$A$2:$A$379,bkc_lob,_book!$B$2:$B$379,bkc_bu)/SUMIFS(_book!$BB$2:$BB$379,_book!$C$2:$C$379,$A28,_book!$A$2:$A$379,bkc_lob,_book!$B$2:$B$379,bkc_bu))</f>
        <v>1.3333333333333343E-2</v>
      </c>
      <c r="F28" s="78">
        <f>IF(SUMIFS(_book!$BC$2:$BC$379,_book!$C$2:$C$379,$A28,_book!$A$2:$A$379,bkc_lob,_book!$B$2:$B$379,bkc_bu)=0,"—",SUMIFS(_book!$CA$2:$CA$379,_book!$C$2:$C$379,$A28,_book!$A$2:$A$379,bkc_lob,_book!$B$2:$B$379,bkc_bu)/SUMIFS(_book!$BC$2:$BC$379,_book!$C$2:$C$379,$A28,_book!$A$2:$A$379,bkc_lob,_book!$B$2:$B$379,bkc_bu))</f>
        <v>1.3333333333333343E-2</v>
      </c>
      <c r="G28" s="78">
        <f>IF(SUMIFS(_book!$BD$2:$BD$379,_book!$C$2:$C$379,$A28,_book!$A$2:$A$379,bkc_lob,_book!$B$2:$B$379,bkc_bu)=0,"—",SUMIFS(_book!$CB$2:$CB$379,_book!$C$2:$C$379,$A28,_book!$A$2:$A$379,bkc_lob,_book!$B$2:$B$379,bkc_bu)/SUMIFS(_book!$BD$2:$BD$379,_book!$C$2:$C$379,$A28,_book!$A$2:$A$379,bkc_lob,_book!$B$2:$B$379,bkc_bu))</f>
        <v>1.3333333333333343E-2</v>
      </c>
      <c r="H28" s="78">
        <f>IF(SUMIFS(_book!$BE$2:$BE$379,_book!$C$2:$C$379,$A28,_book!$A$2:$A$379,bkc_lob,_book!$B$2:$B$379,bkc_bu)=0,"—",SUMIFS(_book!$CC$2:$CC$379,_book!$C$2:$C$379,$A28,_book!$A$2:$A$379,bkc_lob,_book!$B$2:$B$379,bkc_bu)/SUMIFS(_book!$BE$2:$BE$379,_book!$C$2:$C$379,$A28,_book!$A$2:$A$379,bkc_lob,_book!$B$2:$B$379,bkc_bu))</f>
        <v>1.3333333333333343E-2</v>
      </c>
      <c r="I28" s="78">
        <f>IF(SUMIFS(_book!$BF$2:$BF$379,_book!$C$2:$C$379,$A28,_book!$A$2:$A$379,bkc_lob,_book!$B$2:$B$379,bkc_bu)=0,"—",SUMIFS(_book!$CD$2:$CD$379,_book!$C$2:$C$379,$A28,_book!$A$2:$A$379,bkc_lob,_book!$B$2:$B$379,bkc_bu)/SUMIFS(_book!$BF$2:$BF$379,_book!$C$2:$C$379,$A28,_book!$A$2:$A$379,bkc_lob,_book!$B$2:$B$379,bkc_bu))</f>
        <v>1.3333333333333343E-2</v>
      </c>
      <c r="J28" s="78">
        <f>IF(SUMIFS(_book!$BG$2:$BG$379,_book!$C$2:$C$379,$A28,_book!$A$2:$A$379,bkc_lob,_book!$B$2:$B$379,bkc_bu)=0,"—",SUMIFS(_book!$CE$2:$CE$379,_book!$C$2:$C$379,$A28,_book!$A$2:$A$379,bkc_lob,_book!$B$2:$B$379,bkc_bu)/SUMIFS(_book!$BG$2:$BG$379,_book!$C$2:$C$379,$A28,_book!$A$2:$A$379,bkc_lob,_book!$B$2:$B$379,bkc_bu))</f>
        <v>1.3333333333333343E-2</v>
      </c>
      <c r="K28" s="78">
        <f>IF(SUMIFS(_book!$BH$2:$BH$379,_book!$C$2:$C$379,$A28,_book!$A$2:$A$379,bkc_lob,_book!$B$2:$B$379,bkc_bu)=0,"—",SUMIFS(_book!$CF$2:$CF$379,_book!$C$2:$C$379,$A28,_book!$A$2:$A$379,bkc_lob,_book!$B$2:$B$379,bkc_bu)/SUMIFS(_book!$BH$2:$BH$379,_book!$C$2:$C$379,$A28,_book!$A$2:$A$379,bkc_lob,_book!$B$2:$B$379,bkc_bu))</f>
        <v>1.3333333333333343E-2</v>
      </c>
      <c r="L28" s="78">
        <f>IF(SUMIFS(_book!$BI$2:$BI$379,_book!$C$2:$C$379,$A28,_book!$A$2:$A$379,bkc_lob,_book!$B$2:$B$379,bkc_bu)=0,"—",SUMIFS(_book!$CG$2:$CG$379,_book!$C$2:$C$379,$A28,_book!$A$2:$A$379,bkc_lob,_book!$B$2:$B$379,bkc_bu)/SUMIFS(_book!$BI$2:$BI$379,_book!$C$2:$C$379,$A28,_book!$A$2:$A$379,bkc_lob,_book!$B$2:$B$379,bkc_bu))</f>
        <v>1.3333333333333343E-2</v>
      </c>
      <c r="M28" s="78">
        <f>IF(SUMIFS(_book!$BJ$2:$BJ$379,_book!$C$2:$C$379,$A28,_book!$A$2:$A$379,bkc_lob,_book!$B$2:$B$379,bkc_bu)=0,"—",SUMIFS(_book!$CH$2:$CH$379,_book!$C$2:$C$379,$A28,_book!$A$2:$A$379,bkc_lob,_book!$B$2:$B$379,bkc_bu)/SUMIFS(_book!$BJ$2:$BJ$379,_book!$C$2:$C$379,$A28,_book!$A$2:$A$379,bkc_lob,_book!$B$2:$B$379,bkc_bu))</f>
        <v>1.3333333333333343E-2</v>
      </c>
    </row>
    <row r="29" spans="1:13" x14ac:dyDescent="0.3">
      <c r="A29" s="79" t="str">
        <f>IF(bkf_lob="All","BOOK AVG","LINE AVG")</f>
        <v>BOOK AVG</v>
      </c>
      <c r="B29" s="80">
        <f>IF(SUMIFS(_book!$AY$2:$AY$379,_book!$A$2:$A$379,bkc_lob,_book!$B$2:$B$379,bkc_bu)=0,"—",SUMIFS(_book!$BW$2:$BW$379,_book!$A$2:$A$379,bkc_lob,_book!$B$2:$B$379,bkc_bu)/SUMIFS(_book!$AY$2:$AY$379,_book!$A$2:$A$379,bkc_lob,_book!$B$2:$B$379,bkc_bu))</f>
        <v>2.8537313432835824E-2</v>
      </c>
      <c r="C29" s="80">
        <f>IF(SUMIFS(_book!$AZ$2:$AZ$379,_book!$A$2:$A$379,bkc_lob,_book!$B$2:$B$379,bkc_bu)=0,"—",SUMIFS(_book!$BX$2:$BX$379,_book!$A$2:$A$379,bkc_lob,_book!$B$2:$B$379,bkc_bu)/SUMIFS(_book!$AZ$2:$AZ$379,_book!$A$2:$A$379,bkc_lob,_book!$B$2:$B$379,bkc_bu))</f>
        <v>2.6995820895522396E-2</v>
      </c>
      <c r="D29" s="80">
        <f>IF(SUMIFS(_book!$BA$2:$BA$379,_book!$A$2:$A$379,bkc_lob,_book!$B$2:$B$379,bkc_bu)=0,"—",SUMIFS(_book!$BY$2:$BY$379,_book!$A$2:$A$379,bkc_lob,_book!$B$2:$B$379,bkc_bu)/SUMIFS(_book!$BA$2:$BA$379,_book!$A$2:$A$379,bkc_lob,_book!$B$2:$B$379,bkc_bu))</f>
        <v>2.7717970149253746E-2</v>
      </c>
      <c r="E29" s="80">
        <f>IF(SUMIFS(_book!$BB$2:$BB$379,_book!$A$2:$A$379,bkc_lob,_book!$B$2:$B$379,bkc_bu)=0,"—",SUMIFS(_book!$BZ$2:$BZ$379,_book!$A$2:$A$379,bkc_lob,_book!$B$2:$B$379,bkc_bu)/SUMIFS(_book!$BB$2:$BB$379,_book!$A$2:$A$379,bkc_lob,_book!$B$2:$B$379,bkc_bu))</f>
        <v>2.6629412935323397E-2</v>
      </c>
      <c r="F29" s="80">
        <f>IF(SUMIFS(_book!$BC$2:$BC$379,_book!$A$2:$A$379,bkc_lob,_book!$B$2:$B$379,bkc_bu)=0,"—",SUMIFS(_book!$CA$2:$CA$379,_book!$A$2:$A$379,bkc_lob,_book!$B$2:$B$379,bkc_bu)/SUMIFS(_book!$BC$2:$BC$379,_book!$A$2:$A$379,bkc_lob,_book!$B$2:$B$379,bkc_bu))</f>
        <v>2.4088247793291617E-2</v>
      </c>
      <c r="G29" s="80">
        <f>IF(SUMIFS(_book!$BD$2:$BD$379,_book!$A$2:$A$379,bkc_lob,_book!$B$2:$B$379,bkc_bu)=0,"—",SUMIFS(_book!$CB$2:$CB$379,_book!$A$2:$A$379,bkc_lob,_book!$B$2:$B$379,bkc_bu)/SUMIFS(_book!$BD$2:$BD$379,_book!$A$2:$A$379,bkc_lob,_book!$B$2:$B$379,bkc_bu))</f>
        <v>2.5228417910447776E-2</v>
      </c>
      <c r="H29" s="80">
        <f>IF(SUMIFS(_book!$BE$2:$BE$379,_book!$A$2:$A$379,bkc_lob,_book!$B$2:$B$379,bkc_bu)=0,"—",SUMIFS(_book!$CC$2:$CC$379,_book!$A$2:$A$379,bkc_lob,_book!$B$2:$B$379,bkc_bu)/SUMIFS(_book!$BE$2:$BE$379,_book!$A$2:$A$379,bkc_lob,_book!$B$2:$B$379,bkc_bu))</f>
        <v>2.0199562189054741E-2</v>
      </c>
      <c r="I29" s="80">
        <f>IF(SUMIFS(_book!$BF$2:$BF$379,_book!$A$2:$A$379,bkc_lob,_book!$B$2:$B$379,bkc_bu)=0,"—",SUMIFS(_book!$CD$2:$CD$379,_book!$A$2:$A$379,bkc_lob,_book!$B$2:$B$379,bkc_bu)/SUMIFS(_book!$BF$2:$BF$379,_book!$A$2:$A$379,bkc_lob,_book!$B$2:$B$379,bkc_bu))</f>
        <v>1.8287920398009961E-2</v>
      </c>
      <c r="J29" s="80">
        <f>IF(SUMIFS(_book!$BG$2:$BG$379,_book!$A$2:$A$379,bkc_lob,_book!$B$2:$B$379,bkc_bu)=0,"—",SUMIFS(_book!$CE$2:$CE$379,_book!$A$2:$A$379,bkc_lob,_book!$B$2:$B$379,bkc_bu)/SUMIFS(_book!$BG$2:$BG$379,_book!$A$2:$A$379,bkc_lob,_book!$B$2:$B$379,bkc_bu))</f>
        <v>1.8287920398009961E-2</v>
      </c>
      <c r="K29" s="80">
        <f>IF(SUMIFS(_book!$BH$2:$BH$379,_book!$A$2:$A$379,bkc_lob,_book!$B$2:$B$379,bkc_bu)=0,"—",SUMIFS(_book!$CF$2:$CF$379,_book!$A$2:$A$379,bkc_lob,_book!$B$2:$B$379,bkc_bu)/SUMIFS(_book!$BH$2:$BH$379,_book!$A$2:$A$379,bkc_lob,_book!$B$2:$B$379,bkc_bu))</f>
        <v>1.4539303482587066E-2</v>
      </c>
      <c r="L29" s="80">
        <f>IF(SUMIFS(_book!$BI$2:$BI$379,_book!$A$2:$A$379,bkc_lob,_book!$B$2:$B$379,bkc_bu)=0,"—",SUMIFS(_book!$CG$2:$CG$379,_book!$A$2:$A$379,bkc_lob,_book!$B$2:$B$379,bkc_bu)/SUMIFS(_book!$BI$2:$BI$379,_book!$A$2:$A$379,bkc_lob,_book!$B$2:$B$379,bkc_bu))</f>
        <v>1.2111442786069654E-2</v>
      </c>
      <c r="M29" s="80">
        <f>IF(SUMIFS(_book!$BJ$2:$BJ$379,_book!$A$2:$A$379,bkc_lob,_book!$B$2:$B$379,bkc_bu)=0,"—",SUMIFS(_book!$CH$2:$CH$379,_book!$A$2:$A$379,bkc_lob,_book!$B$2:$B$379,bkc_bu)/SUMIFS(_book!$BJ$2:$BJ$379,_book!$A$2:$A$379,bkc_lob,_book!$B$2:$B$379,bkc_bu))</f>
        <v>1.2111442786069654E-2</v>
      </c>
    </row>
    <row r="32" spans="1:13" ht="15.6" x14ac:dyDescent="0.3">
      <c r="A32" s="3" t="s">
        <v>162</v>
      </c>
    </row>
    <row r="33" spans="1:13" x14ac:dyDescent="0.3">
      <c r="A33" s="9" t="s">
        <v>161</v>
      </c>
    </row>
    <row r="34" spans="1:13" x14ac:dyDescent="0.3">
      <c r="A34" s="75" t="s">
        <v>44</v>
      </c>
      <c r="B34" s="76" t="str">
        <f>TEXT(DATE(2027,1,1),"mmm")&amp;" 2027"</f>
        <v>Jan 2027</v>
      </c>
      <c r="C34" s="76" t="str">
        <f>TEXT(DATE(2027,2,1),"mmm")&amp;" 2027"</f>
        <v>Feb 2027</v>
      </c>
      <c r="D34" s="76" t="str">
        <f>TEXT(DATE(2027,3,1),"mmm")&amp;" 2027"</f>
        <v>Mar 2027</v>
      </c>
      <c r="E34" s="76" t="str">
        <f>TEXT(DATE(2027,4,1),"mmm")&amp;" 2027"</f>
        <v>Apr 2027</v>
      </c>
      <c r="F34" s="76" t="str">
        <f>TEXT(DATE(2027,5,1),"mmm")&amp;" 2027"</f>
        <v>May 2027</v>
      </c>
      <c r="G34" s="76" t="str">
        <f>TEXT(DATE(2027,6,1),"mmm")&amp;" 2027"</f>
        <v>Jun 2027</v>
      </c>
      <c r="H34" s="76" t="str">
        <f>TEXT(DATE(2027,7,1),"mmm")&amp;" 2027"</f>
        <v>Jul 2027</v>
      </c>
      <c r="I34" s="76" t="str">
        <f>TEXT(DATE(2027,8,1),"mmm")&amp;" 2027"</f>
        <v>Aug 2027</v>
      </c>
      <c r="J34" s="76" t="str">
        <f>TEXT(DATE(2027,9,1),"mmm")&amp;" 2027"</f>
        <v>Sep 2027</v>
      </c>
      <c r="K34" s="76" t="str">
        <f>TEXT(DATE(2027,10,1),"mmm")&amp;" 2027"</f>
        <v>Oct 2027</v>
      </c>
      <c r="L34" s="76" t="str">
        <f>TEXT(DATE(2027,11,1),"mmm")&amp;" 2027"</f>
        <v>Nov 2027</v>
      </c>
      <c r="M34" s="76" t="str">
        <f>TEXT(DATE(2027,12,1),"mmm")&amp;" 2027"</f>
        <v>Dec 2027</v>
      </c>
    </row>
    <row r="35" spans="1:13" x14ac:dyDescent="0.3">
      <c r="A35" s="77" t="s">
        <v>43</v>
      </c>
      <c r="B35" s="78">
        <f>IF(SUMIFS(_book!$CI$2:$CI$379,_book!$C$2:$C$379,$A35,_book!$A$2:$A$379,bkc_lob,_book!$B$2:$B$379,bkc_bu)=0,"—",SUMIFS(_book!$CU$2:$CU$379,_book!$C$2:$C$379,$A35,_book!$A$2:$A$379,bkc_lob,_book!$B$2:$B$379,bkc_bu)/SUMIFS(_book!$CI$2:$CI$379,_book!$C$2:$C$379,$A35,_book!$A$2:$A$379,bkc_lob,_book!$B$2:$B$379,bkc_bu))</f>
        <v>2.3146980661309345E-3</v>
      </c>
      <c r="C35" s="78">
        <f>IF(SUMIFS(_book!$CJ$2:$CJ$379,_book!$C$2:$C$379,$A35,_book!$A$2:$A$379,bkc_lob,_book!$B$2:$B$379,bkc_bu)=0,"—",SUMIFS(_book!$CV$2:$CV$379,_book!$C$2:$C$379,$A35,_book!$A$2:$A$379,bkc_lob,_book!$B$2:$B$379,bkc_bu)/SUMIFS(_book!$CJ$2:$CJ$379,_book!$C$2:$C$379,$A35,_book!$A$2:$A$379,bkc_lob,_book!$B$2:$B$379,bkc_bu))</f>
        <v>2.2910979660660763E-3</v>
      </c>
      <c r="D35" s="78">
        <f>IF(SUMIFS(_book!$CK$2:$CK$379,_book!$C$2:$C$379,$A35,_book!$A$2:$A$379,bkc_lob,_book!$B$2:$B$379,bkc_bu)=0,"—",SUMIFS(_book!$CW$2:$CW$379,_book!$C$2:$C$379,$A35,_book!$A$2:$A$379,bkc_lob,_book!$B$2:$B$379,bkc_bu)/SUMIFS(_book!$CK$2:$CK$379,_book!$C$2:$C$379,$A35,_book!$A$2:$A$379,bkc_lob,_book!$B$2:$B$379,bkc_bu))</f>
        <v>2.2675800179556842E-3</v>
      </c>
      <c r="E35" s="78">
        <f>IF(SUMIFS(_book!$CL$2:$CL$379,_book!$C$2:$C$379,$A35,_book!$A$2:$A$379,bkc_lob,_book!$B$2:$B$379,bkc_bu)=0,"—",SUMIFS(_book!$CX$2:$CX$379,_book!$C$2:$C$379,$A35,_book!$A$2:$A$379,bkc_lob,_book!$B$2:$B$379,bkc_bu)/SUMIFS(_book!$CL$2:$CL$379,_book!$C$2:$C$379,$A35,_book!$A$2:$A$379,bkc_lob,_book!$B$2:$B$379,bkc_bu))</f>
        <v>2.2433505717109193E-3</v>
      </c>
      <c r="F35" s="78">
        <f>IF(SUMIFS(_book!$CM$2:$CM$379,_book!$C$2:$C$379,$A35,_book!$A$2:$A$379,bkc_lob,_book!$B$2:$B$379,bkc_bu)=0,"—",SUMIFS(_book!$CY$2:$CY$379,_book!$C$2:$C$379,$A35,_book!$A$2:$A$379,bkc_lob,_book!$B$2:$B$379,bkc_bu)/SUMIFS(_book!$CM$2:$CM$379,_book!$C$2:$C$379,$A35,_book!$A$2:$A$379,bkc_lob,_book!$B$2:$B$379,bkc_bu))</f>
        <v>2.219207606344979E-3</v>
      </c>
      <c r="G35" s="78">
        <f>IF(SUMIFS(_book!$CN$2:$CN$379,_book!$C$2:$C$379,$A35,_book!$A$2:$A$379,bkc_lob,_book!$B$2:$B$379,bkc_bu)=0,"—",SUMIFS(_book!$CZ$2:$CZ$379,_book!$C$2:$C$379,$A35,_book!$A$2:$A$379,bkc_lob,_book!$B$2:$B$379,bkc_bu)/SUMIFS(_book!$CN$2:$CN$379,_book!$C$2:$C$379,$A35,_book!$A$2:$A$379,bkc_lob,_book!$B$2:$B$379,bkc_bu))</f>
        <v>2.1951504523480955E-3</v>
      </c>
      <c r="H35" s="78">
        <f>IF(SUMIFS(_book!$CO$2:$CO$379,_book!$C$2:$C$379,$A35,_book!$A$2:$A$379,bkc_lob,_book!$B$2:$B$379,bkc_bu)=0,"—",SUMIFS(_book!$DA$2:$DA$379,_book!$C$2:$C$379,$A35,_book!$A$2:$A$379,bkc_lob,_book!$B$2:$B$379,bkc_bu)/SUMIFS(_book!$CO$2:$CO$379,_book!$C$2:$C$379,$A35,_book!$A$2:$A$379,bkc_lob,_book!$B$2:$B$379,bkc_bu))</f>
        <v>2.1711784463036461E-3</v>
      </c>
      <c r="I35" s="78">
        <f>IF(SUMIFS(_book!$CP$2:$CP$379,_book!$C$2:$C$379,$A35,_book!$A$2:$A$379,bkc_lob,_book!$B$2:$B$379,bkc_bu)=0,"—",SUMIFS(_book!$DB$2:$DB$379,_book!$C$2:$C$379,$A35,_book!$A$2:$A$379,bkc_lob,_book!$B$2:$B$379,bkc_bu)/SUMIFS(_book!$CP$2:$CP$379,_book!$C$2:$C$379,$A35,_book!$A$2:$A$379,bkc_lob,_book!$B$2:$B$379,bkc_bu))</f>
        <v>2.1469000324446344E-3</v>
      </c>
      <c r="J35" s="78">
        <f>IF(SUMIFS(_book!$CQ$2:$CQ$379,_book!$C$2:$C$379,$A35,_book!$A$2:$A$379,bkc_lob,_book!$B$2:$B$379,bkc_bu)=0,"—",SUMIFS(_book!$DC$2:$DC$379,_book!$C$2:$C$379,$A35,_book!$A$2:$A$379,bkc_lob,_book!$B$2:$B$379,bkc_bu)/SUMIFS(_book!$CQ$2:$CQ$379,_book!$C$2:$C$379,$A35,_book!$A$2:$A$379,bkc_lob,_book!$B$2:$B$379,bkc_bu))</f>
        <v>2.1230977250874896E-3</v>
      </c>
      <c r="K35" s="78">
        <f>IF(SUMIFS(_book!$CR$2:$CR$379,_book!$C$2:$C$379,$A35,_book!$A$2:$A$379,bkc_lob,_book!$B$2:$B$379,bkc_bu)=0,"—",SUMIFS(_book!$DD$2:$DD$379,_book!$C$2:$C$379,$A35,_book!$A$2:$A$379,bkc_lob,_book!$B$2:$B$379,bkc_bu)/SUMIFS(_book!$CR$2:$CR$379,_book!$C$2:$C$379,$A35,_book!$A$2:$A$379,bkc_lob,_book!$B$2:$B$379,bkc_bu))</f>
        <v>2.0993786007443417E-3</v>
      </c>
      <c r="L35" s="78">
        <f>IF(SUMIFS(_book!$CS$2:$CS$379,_book!$C$2:$C$379,$A35,_book!$A$2:$A$379,bkc_lob,_book!$B$2:$B$379,bkc_bu)=0,"—",SUMIFS(_book!$DE$2:$DE$379,_book!$C$2:$C$379,$A35,_book!$A$2:$A$379,bkc_lob,_book!$B$2:$B$379,bkc_bu)/SUMIFS(_book!$CS$2:$CS$379,_book!$C$2:$C$379,$A35,_book!$A$2:$A$379,bkc_lob,_book!$B$2:$B$379,bkc_bu))</f>
        <v>2.0757420197581359E-3</v>
      </c>
      <c r="M35" s="78">
        <f>IF(SUMIFS(_book!$CT$2:$CT$379,_book!$C$2:$C$379,$A35,_book!$A$2:$A$379,bkc_lob,_book!$B$2:$B$379,bkc_bu)=0,"—",SUMIFS(_book!$DF$2:$DF$379,_book!$C$2:$C$379,$A35,_book!$A$2:$A$379,bkc_lob,_book!$B$2:$B$379,bkc_bu)/SUMIFS(_book!$CT$2:$CT$379,_book!$C$2:$C$379,$A35,_book!$A$2:$A$379,bkc_lob,_book!$B$2:$B$379,bkc_bu))</f>
        <v>2.0521873482135695E-3</v>
      </c>
    </row>
    <row r="36" spans="1:13" x14ac:dyDescent="0.3">
      <c r="A36" s="77" t="s">
        <v>46</v>
      </c>
      <c r="B36" s="78">
        <f>IF(SUMIFS(_book!$CI$2:$CI$379,_book!$C$2:$C$379,$A36,_book!$A$2:$A$379,bkc_lob,_book!$B$2:$B$379,bkc_bu)=0,"—",SUMIFS(_book!$CU$2:$CU$379,_book!$C$2:$C$379,$A36,_book!$A$2:$A$379,bkc_lob,_book!$B$2:$B$379,bkc_bu)/SUMIFS(_book!$CI$2:$CI$379,_book!$C$2:$C$379,$A36,_book!$A$2:$A$379,bkc_lob,_book!$B$2:$B$379,bkc_bu))</f>
        <v>4.3788312959229178E-3</v>
      </c>
      <c r="C36" s="78">
        <f>IF(SUMIFS(_book!$CJ$2:$CJ$379,_book!$C$2:$C$379,$A36,_book!$A$2:$A$379,bkc_lob,_book!$B$2:$B$379,bkc_bu)=0,"—",SUMIFS(_book!$CV$2:$CV$379,_book!$C$2:$C$379,$A36,_book!$A$2:$A$379,bkc_lob,_book!$B$2:$B$379,bkc_bu)/SUMIFS(_book!$CJ$2:$CJ$379,_book!$C$2:$C$379,$A36,_book!$A$2:$A$379,bkc_lob,_book!$B$2:$B$379,bkc_bu))</f>
        <v>4.3772756865396011E-3</v>
      </c>
      <c r="D36" s="78">
        <f>IF(SUMIFS(_book!$CK$2:$CK$379,_book!$C$2:$C$379,$A36,_book!$A$2:$A$379,bkc_lob,_book!$B$2:$B$379,bkc_bu)=0,"—",SUMIFS(_book!$CW$2:$CW$379,_book!$C$2:$C$379,$A36,_book!$A$2:$A$379,bkc_lob,_book!$B$2:$B$379,bkc_bu)/SUMIFS(_book!$CK$2:$CK$379,_book!$C$2:$C$379,$A36,_book!$A$2:$A$379,bkc_lob,_book!$B$2:$B$379,bkc_bu))</f>
        <v>4.3757211866541834E-3</v>
      </c>
      <c r="E36" s="78">
        <f>IF(SUMIFS(_book!$CL$2:$CL$379,_book!$C$2:$C$379,$A36,_book!$A$2:$A$379,bkc_lob,_book!$B$2:$B$379,bkc_bu)=0,"—",SUMIFS(_book!$CX$2:$CX$379,_book!$C$2:$C$379,$A36,_book!$A$2:$A$379,bkc_lob,_book!$B$2:$B$379,bkc_bu)/SUMIFS(_book!$CL$2:$CL$379,_book!$C$2:$C$379,$A36,_book!$A$2:$A$379,bkc_lob,_book!$B$2:$B$379,bkc_bu))</f>
        <v>4.3741151571409388E-3</v>
      </c>
      <c r="F36" s="78">
        <f>IF(SUMIFS(_book!$CM$2:$CM$379,_book!$C$2:$C$379,$A36,_book!$A$2:$A$379,bkc_lob,_book!$B$2:$B$379,bkc_bu)=0,"—",SUMIFS(_book!$CY$2:$CY$379,_book!$C$2:$C$379,$A36,_book!$A$2:$A$379,bkc_lob,_book!$B$2:$B$379,bkc_bu)/SUMIFS(_book!$CM$2:$CM$379,_book!$C$2:$C$379,$A36,_book!$A$2:$A$379,bkc_lob,_book!$B$2:$B$379,bkc_bu))</f>
        <v>4.3725103110321996E-3</v>
      </c>
      <c r="G36" s="78">
        <f>IF(SUMIFS(_book!$CN$2:$CN$379,_book!$C$2:$C$379,$A36,_book!$A$2:$A$379,bkc_lob,_book!$B$2:$B$379,bkc_bu)=0,"—",SUMIFS(_book!$CZ$2:$CZ$379,_book!$C$2:$C$379,$A36,_book!$A$2:$A$379,bkc_lob,_book!$B$2:$B$379,bkc_bu)/SUMIFS(_book!$CN$2:$CN$379,_book!$C$2:$C$379,$A36,_book!$A$2:$A$379,bkc_lob,_book!$B$2:$B$379,bkc_bu))</f>
        <v>4.370906647015017E-3</v>
      </c>
      <c r="H36" s="78">
        <f>IF(SUMIFS(_book!$CO$2:$CO$379,_book!$C$2:$C$379,$A36,_book!$A$2:$A$379,bkc_lob,_book!$B$2:$B$379,bkc_bu)=0,"—",SUMIFS(_book!$DA$2:$DA$379,_book!$C$2:$C$379,$A36,_book!$A$2:$A$379,bkc_lob,_book!$B$2:$B$379,bkc_bu)/SUMIFS(_book!$CO$2:$CO$379,_book!$C$2:$C$379,$A36,_book!$A$2:$A$379,bkc_lob,_book!$B$2:$B$379,bkc_bu))</f>
        <v>4.369304163778483E-3</v>
      </c>
      <c r="I36" s="78">
        <f>IF(SUMIFS(_book!$CP$2:$CP$379,_book!$C$2:$C$379,$A36,_book!$A$2:$A$379,bkc_lob,_book!$B$2:$B$379,bkc_bu)=0,"—",SUMIFS(_book!$DB$2:$DB$379,_book!$C$2:$C$379,$A36,_book!$A$2:$A$379,bkc_lob,_book!$B$2:$B$379,bkc_bu)/SUMIFS(_book!$CP$2:$CP$379,_book!$C$2:$C$379,$A36,_book!$A$2:$A$379,bkc_lob,_book!$B$2:$B$379,bkc_bu))</f>
        <v>4.3676766189510718E-3</v>
      </c>
      <c r="J36" s="78">
        <f>IF(SUMIFS(_book!$CQ$2:$CQ$379,_book!$C$2:$C$379,$A36,_book!$A$2:$A$379,bkc_lob,_book!$B$2:$B$379,bkc_bu)=0,"—",SUMIFS(_book!$DC$2:$DC$379,_book!$C$2:$C$379,$A36,_book!$A$2:$A$379,bkc_lob,_book!$B$2:$B$379,bkc_bu)/SUMIFS(_book!$CQ$2:$CQ$379,_book!$C$2:$C$379,$A36,_book!$A$2:$A$379,bkc_lob,_book!$B$2:$B$379,bkc_bu))</f>
        <v>4.3660765126539696E-3</v>
      </c>
      <c r="K36" s="78">
        <f>IF(SUMIFS(_book!$CR$2:$CR$379,_book!$C$2:$C$379,$A36,_book!$A$2:$A$379,bkc_lob,_book!$B$2:$B$379,bkc_bu)=0,"—",SUMIFS(_book!$DD$2:$DD$379,_book!$C$2:$C$379,$A36,_book!$A$2:$A$379,bkc_lob,_book!$B$2:$B$379,bkc_bu)/SUMIFS(_book!$CR$2:$CR$379,_book!$C$2:$C$379,$A36,_book!$A$2:$A$379,bkc_lob,_book!$B$2:$B$379,bkc_bu))</f>
        <v>4.3644775831946977E-3</v>
      </c>
      <c r="L36" s="78">
        <f>IF(SUMIFS(_book!$CS$2:$CS$379,_book!$C$2:$C$379,$A36,_book!$A$2:$A$379,bkc_lob,_book!$B$2:$B$379,bkc_bu)=0,"—",SUMIFS(_book!$DE$2:$DE$379,_book!$C$2:$C$379,$A36,_book!$A$2:$A$379,bkc_lob,_book!$B$2:$B$379,bkc_bu)/SUMIFS(_book!$CS$2:$CS$379,_book!$C$2:$C$379,$A36,_book!$A$2:$A$379,bkc_lob,_book!$B$2:$B$379,bkc_bu))</f>
        <v>4.3628798292701968E-3</v>
      </c>
      <c r="M36" s="78">
        <f>IF(SUMIFS(_book!$CT$2:$CT$379,_book!$C$2:$C$379,$A36,_book!$A$2:$A$379,bkc_lob,_book!$B$2:$B$379,bkc_bu)=0,"—",SUMIFS(_book!$DF$2:$DF$379,_book!$C$2:$C$379,$A36,_book!$A$2:$A$379,bkc_lob,_book!$B$2:$B$379,bkc_bu)/SUMIFS(_book!$CT$2:$CT$379,_book!$C$2:$C$379,$A36,_book!$A$2:$A$379,bkc_lob,_book!$B$2:$B$379,bkc_bu))</f>
        <v>4.361283249579362E-3</v>
      </c>
    </row>
    <row r="37" spans="1:13" x14ac:dyDescent="0.3">
      <c r="A37" s="77" t="s">
        <v>48</v>
      </c>
      <c r="B37" s="78">
        <f>IF(SUMIFS(_book!$CI$2:$CI$379,_book!$C$2:$C$379,$A37,_book!$A$2:$A$379,bkc_lob,_book!$B$2:$B$379,bkc_bu)=0,"—",SUMIFS(_book!$CU$2:$CU$379,_book!$C$2:$C$379,$A37,_book!$A$2:$A$379,bkc_lob,_book!$B$2:$B$379,bkc_bu)/SUMIFS(_book!$CI$2:$CI$379,_book!$C$2:$C$379,$A37,_book!$A$2:$A$379,bkc_lob,_book!$B$2:$B$379,bkc_bu))</f>
        <v>2.6067560851120185E-2</v>
      </c>
      <c r="C37" s="78">
        <f>IF(SUMIFS(_book!$CJ$2:$CJ$379,_book!$C$2:$C$379,$A37,_book!$A$2:$A$379,bkc_lob,_book!$B$2:$B$379,bkc_bu)=0,"—",SUMIFS(_book!$CV$2:$CV$379,_book!$C$2:$C$379,$A37,_book!$A$2:$A$379,bkc_lob,_book!$B$2:$B$379,bkc_bu)/SUMIFS(_book!$CJ$2:$CJ$379,_book!$C$2:$C$379,$A37,_book!$A$2:$A$379,bkc_lob,_book!$B$2:$B$379,bkc_bu))</f>
        <v>2.4797946038366235E-2</v>
      </c>
      <c r="D37" s="78">
        <f>IF(SUMIFS(_book!$CK$2:$CK$379,_book!$C$2:$C$379,$A37,_book!$A$2:$A$379,bkc_lob,_book!$B$2:$B$379,bkc_bu)=0,"—",SUMIFS(_book!$CW$2:$CW$379,_book!$C$2:$C$379,$A37,_book!$A$2:$A$379,bkc_lob,_book!$B$2:$B$379,bkc_bu)/SUMIFS(_book!$CK$2:$CK$379,_book!$C$2:$C$379,$A37,_book!$A$2:$A$379,bkc_lob,_book!$B$2:$B$379,bkc_bu))</f>
        <v>3.0439773681006616E-2</v>
      </c>
      <c r="E37" s="78">
        <f>IF(SUMIFS(_book!$CL$2:$CL$379,_book!$C$2:$C$379,$A37,_book!$A$2:$A$379,bkc_lob,_book!$B$2:$B$379,bkc_bu)=0,"—",SUMIFS(_book!$CX$2:$CX$379,_book!$C$2:$C$379,$A37,_book!$A$2:$A$379,bkc_lob,_book!$B$2:$B$379,bkc_bu)/SUMIFS(_book!$CL$2:$CL$379,_book!$C$2:$C$379,$A37,_book!$A$2:$A$379,bkc_lob,_book!$B$2:$B$379,bkc_bu))</f>
        <v>2.9120431680008326E-2</v>
      </c>
      <c r="F37" s="78">
        <f>IF(SUMIFS(_book!$CM$2:$CM$379,_book!$C$2:$C$379,$A37,_book!$A$2:$A$379,bkc_lob,_book!$B$2:$B$379,bkc_bu)=0,"—",SUMIFS(_book!$CY$2:$CY$379,_book!$C$2:$C$379,$A37,_book!$A$2:$A$379,bkc_lob,_book!$B$2:$B$379,bkc_bu)/SUMIFS(_book!$CM$2:$CM$379,_book!$C$2:$C$379,$A37,_book!$A$2:$A$379,bkc_lob,_book!$B$2:$B$379,bkc_bu))</f>
        <v>2.7810777802268153E-2</v>
      </c>
      <c r="G37" s="78">
        <f>IF(SUMIFS(_book!$CN$2:$CN$379,_book!$C$2:$C$379,$A37,_book!$A$2:$A$379,bkc_lob,_book!$B$2:$B$379,bkc_bu)=0,"—",SUMIFS(_book!$CZ$2:$CZ$379,_book!$C$2:$C$379,$A37,_book!$A$2:$A$379,bkc_lob,_book!$B$2:$B$379,bkc_bu)/SUMIFS(_book!$CN$2:$CN$379,_book!$C$2:$C$379,$A37,_book!$A$2:$A$379,bkc_lob,_book!$B$2:$B$379,bkc_bu))</f>
        <v>2.6510704769226567E-2</v>
      </c>
      <c r="H37" s="78">
        <f>IF(SUMIFS(_book!$CO$2:$CO$379,_book!$C$2:$C$379,$A37,_book!$A$2:$A$379,bkc_lob,_book!$B$2:$B$379,bkc_bu)=0,"—",SUMIFS(_book!$DA$2:$DA$379,_book!$C$2:$C$379,$A37,_book!$A$2:$A$379,bkc_lob,_book!$B$2:$B$379,bkc_bu)/SUMIFS(_book!$CO$2:$CO$379,_book!$C$2:$C$379,$A37,_book!$A$2:$A$379,bkc_lob,_book!$B$2:$B$379,bkc_bu))</f>
        <v>2.5220106890023811E-2</v>
      </c>
      <c r="I37" s="78">
        <f>IF(SUMIFS(_book!$CP$2:$CP$379,_book!$C$2:$C$379,$A37,_book!$A$2:$A$379,bkc_lob,_book!$B$2:$B$379,bkc_bu)=0,"—",SUMIFS(_book!$DB$2:$DB$379,_book!$C$2:$C$379,$A37,_book!$A$2:$A$379,bkc_lob,_book!$B$2:$B$379,bkc_bu)/SUMIFS(_book!$CP$2:$CP$379,_book!$C$2:$C$379,$A37,_book!$A$2:$A$379,bkc_lob,_book!$B$2:$B$379,bkc_bu))</f>
        <v>2.3917953807350394E-2</v>
      </c>
      <c r="J37" s="78">
        <f>IF(SUMIFS(_book!$CQ$2:$CQ$379,_book!$C$2:$C$379,$A37,_book!$A$2:$A$379,bkc_lob,_book!$B$2:$B$379,bkc_bu)=0,"—",SUMIFS(_book!$DC$2:$DC$379,_book!$C$2:$C$379,$A37,_book!$A$2:$A$379,bkc_lob,_book!$B$2:$B$379,bkc_bu)/SUMIFS(_book!$CQ$2:$CQ$379,_book!$C$2:$C$379,$A37,_book!$A$2:$A$379,bkc_lob,_book!$B$2:$B$379,bkc_bu))</f>
        <v>2.6261614743781914E-2</v>
      </c>
      <c r="K37" s="78">
        <f>IF(SUMIFS(_book!$CR$2:$CR$379,_book!$C$2:$C$379,$A37,_book!$A$2:$A$379,bkc_lob,_book!$B$2:$B$379,bkc_bu)=0,"—",SUMIFS(_book!$DD$2:$DD$379,_book!$C$2:$C$379,$A37,_book!$A$2:$A$379,bkc_lob,_book!$B$2:$B$379,bkc_bu)/SUMIFS(_book!$CR$2:$CR$379,_book!$C$2:$C$379,$A37,_book!$A$2:$A$379,bkc_lob,_book!$B$2:$B$379,bkc_bu))</f>
        <v>2.4985894410007044E-2</v>
      </c>
      <c r="L37" s="78">
        <f>IF(SUMIFS(_book!$CS$2:$CS$379,_book!$C$2:$C$379,$A37,_book!$A$2:$A$379,bkc_lob,_book!$B$2:$B$379,bkc_bu)=0,"—",SUMIFS(_book!$DE$2:$DE$379,_book!$C$2:$C$379,$A37,_book!$A$2:$A$379,bkc_lob,_book!$B$2:$B$379,bkc_bu)/SUMIFS(_book!$CS$2:$CS$379,_book!$C$2:$C$379,$A37,_book!$A$2:$A$379,bkc_lob,_book!$B$2:$B$379,bkc_bu))</f>
        <v>2.3719334812052441E-2</v>
      </c>
      <c r="M37" s="78">
        <f>IF(SUMIFS(_book!$CT$2:$CT$379,_book!$C$2:$C$379,$A37,_book!$A$2:$A$379,bkc_lob,_book!$B$2:$B$379,bkc_bu)=0,"—",SUMIFS(_book!$DF$2:$DF$379,_book!$C$2:$C$379,$A37,_book!$A$2:$A$379,bkc_lob,_book!$B$2:$B$379,bkc_bu)/SUMIFS(_book!$CT$2:$CT$379,_book!$C$2:$C$379,$A37,_book!$A$2:$A$379,bkc_lob,_book!$B$2:$B$379,bkc_bu))</f>
        <v>2.2461836764458287E-2</v>
      </c>
    </row>
    <row r="38" spans="1:13" x14ac:dyDescent="0.3">
      <c r="A38" s="77" t="s">
        <v>50</v>
      </c>
      <c r="B38" s="78">
        <f>IF(SUMIFS(_book!$CI$2:$CI$379,_book!$C$2:$C$379,$A38,_book!$A$2:$A$379,bkc_lob,_book!$B$2:$B$379,bkc_bu)=0,"—",SUMIFS(_book!$CU$2:$CU$379,_book!$C$2:$C$379,$A38,_book!$A$2:$A$379,bkc_lob,_book!$B$2:$B$379,bkc_bu)/SUMIFS(_book!$CI$2:$CI$379,_book!$C$2:$C$379,$A38,_book!$A$2:$A$379,bkc_lob,_book!$B$2:$B$379,bkc_bu))</f>
        <v>0</v>
      </c>
      <c r="C38" s="78">
        <f>IF(SUMIFS(_book!$CJ$2:$CJ$379,_book!$C$2:$C$379,$A38,_book!$A$2:$A$379,bkc_lob,_book!$B$2:$B$379,bkc_bu)=0,"—",SUMIFS(_book!$CV$2:$CV$379,_book!$C$2:$C$379,$A38,_book!$A$2:$A$379,bkc_lob,_book!$B$2:$B$379,bkc_bu)/SUMIFS(_book!$CJ$2:$CJ$379,_book!$C$2:$C$379,$A38,_book!$A$2:$A$379,bkc_lob,_book!$B$2:$B$379,bkc_bu))</f>
        <v>0</v>
      </c>
      <c r="D38" s="78">
        <f>IF(SUMIFS(_book!$CK$2:$CK$379,_book!$C$2:$C$379,$A38,_book!$A$2:$A$379,bkc_lob,_book!$B$2:$B$379,bkc_bu)=0,"—",SUMIFS(_book!$CW$2:$CW$379,_book!$C$2:$C$379,$A38,_book!$A$2:$A$379,bkc_lob,_book!$B$2:$B$379,bkc_bu)/SUMIFS(_book!$CK$2:$CK$379,_book!$C$2:$C$379,$A38,_book!$A$2:$A$379,bkc_lob,_book!$B$2:$B$379,bkc_bu))</f>
        <v>0</v>
      </c>
      <c r="E38" s="78">
        <f>IF(SUMIFS(_book!$CL$2:$CL$379,_book!$C$2:$C$379,$A38,_book!$A$2:$A$379,bkc_lob,_book!$B$2:$B$379,bkc_bu)=0,"—",SUMIFS(_book!$CX$2:$CX$379,_book!$C$2:$C$379,$A38,_book!$A$2:$A$379,bkc_lob,_book!$B$2:$B$379,bkc_bu)/SUMIFS(_book!$CL$2:$CL$379,_book!$C$2:$C$379,$A38,_book!$A$2:$A$379,bkc_lob,_book!$B$2:$B$379,bkc_bu))</f>
        <v>0</v>
      </c>
      <c r="F38" s="78">
        <f>IF(SUMIFS(_book!$CM$2:$CM$379,_book!$C$2:$C$379,$A38,_book!$A$2:$A$379,bkc_lob,_book!$B$2:$B$379,bkc_bu)=0,"—",SUMIFS(_book!$CY$2:$CY$379,_book!$C$2:$C$379,$A38,_book!$A$2:$A$379,bkc_lob,_book!$B$2:$B$379,bkc_bu)/SUMIFS(_book!$CM$2:$CM$379,_book!$C$2:$C$379,$A38,_book!$A$2:$A$379,bkc_lob,_book!$B$2:$B$379,bkc_bu))</f>
        <v>0</v>
      </c>
      <c r="G38" s="78">
        <f>IF(SUMIFS(_book!$CN$2:$CN$379,_book!$C$2:$C$379,$A38,_book!$A$2:$A$379,bkc_lob,_book!$B$2:$B$379,bkc_bu)=0,"—",SUMIFS(_book!$CZ$2:$CZ$379,_book!$C$2:$C$379,$A38,_book!$A$2:$A$379,bkc_lob,_book!$B$2:$B$379,bkc_bu)/SUMIFS(_book!$CN$2:$CN$379,_book!$C$2:$C$379,$A38,_book!$A$2:$A$379,bkc_lob,_book!$B$2:$B$379,bkc_bu))</f>
        <v>0</v>
      </c>
      <c r="H38" s="78">
        <f>IF(SUMIFS(_book!$CO$2:$CO$379,_book!$C$2:$C$379,$A38,_book!$A$2:$A$379,bkc_lob,_book!$B$2:$B$379,bkc_bu)=0,"—",SUMIFS(_book!$DA$2:$DA$379,_book!$C$2:$C$379,$A38,_book!$A$2:$A$379,bkc_lob,_book!$B$2:$B$379,bkc_bu)/SUMIFS(_book!$CO$2:$CO$379,_book!$C$2:$C$379,$A38,_book!$A$2:$A$379,bkc_lob,_book!$B$2:$B$379,bkc_bu))</f>
        <v>0</v>
      </c>
      <c r="I38" s="78">
        <f>IF(SUMIFS(_book!$CP$2:$CP$379,_book!$C$2:$C$379,$A38,_book!$A$2:$A$379,bkc_lob,_book!$B$2:$B$379,bkc_bu)=0,"—",SUMIFS(_book!$DB$2:$DB$379,_book!$C$2:$C$379,$A38,_book!$A$2:$A$379,bkc_lob,_book!$B$2:$B$379,bkc_bu)/SUMIFS(_book!$CP$2:$CP$379,_book!$C$2:$C$379,$A38,_book!$A$2:$A$379,bkc_lob,_book!$B$2:$B$379,bkc_bu))</f>
        <v>0</v>
      </c>
      <c r="J38" s="78">
        <f>IF(SUMIFS(_book!$CQ$2:$CQ$379,_book!$C$2:$C$379,$A38,_book!$A$2:$A$379,bkc_lob,_book!$B$2:$B$379,bkc_bu)=0,"—",SUMIFS(_book!$DC$2:$DC$379,_book!$C$2:$C$379,$A38,_book!$A$2:$A$379,bkc_lob,_book!$B$2:$B$379,bkc_bu)/SUMIFS(_book!$CQ$2:$CQ$379,_book!$C$2:$C$379,$A38,_book!$A$2:$A$379,bkc_lob,_book!$B$2:$B$379,bkc_bu))</f>
        <v>0</v>
      </c>
      <c r="K38" s="78">
        <f>IF(SUMIFS(_book!$CR$2:$CR$379,_book!$C$2:$C$379,$A38,_book!$A$2:$A$379,bkc_lob,_book!$B$2:$B$379,bkc_bu)=0,"—",SUMIFS(_book!$DD$2:$DD$379,_book!$C$2:$C$379,$A38,_book!$A$2:$A$379,bkc_lob,_book!$B$2:$B$379,bkc_bu)/SUMIFS(_book!$CR$2:$CR$379,_book!$C$2:$C$379,$A38,_book!$A$2:$A$379,bkc_lob,_book!$B$2:$B$379,bkc_bu))</f>
        <v>0</v>
      </c>
      <c r="L38" s="78">
        <f>IF(SUMIFS(_book!$CS$2:$CS$379,_book!$C$2:$C$379,$A38,_book!$A$2:$A$379,bkc_lob,_book!$B$2:$B$379,bkc_bu)=0,"—",SUMIFS(_book!$DE$2:$DE$379,_book!$C$2:$C$379,$A38,_book!$A$2:$A$379,bkc_lob,_book!$B$2:$B$379,bkc_bu)/SUMIFS(_book!$CS$2:$CS$379,_book!$C$2:$C$379,$A38,_book!$A$2:$A$379,bkc_lob,_book!$B$2:$B$379,bkc_bu))</f>
        <v>0</v>
      </c>
      <c r="M38" s="78">
        <f>IF(SUMIFS(_book!$CT$2:$CT$379,_book!$C$2:$C$379,$A38,_book!$A$2:$A$379,bkc_lob,_book!$B$2:$B$379,bkc_bu)=0,"—",SUMIFS(_book!$DF$2:$DF$379,_book!$C$2:$C$379,$A38,_book!$A$2:$A$379,bkc_lob,_book!$B$2:$B$379,bkc_bu)/SUMIFS(_book!$CT$2:$CT$379,_book!$C$2:$C$379,$A38,_book!$A$2:$A$379,bkc_lob,_book!$B$2:$B$379,bkc_bu))</f>
        <v>0</v>
      </c>
    </row>
    <row r="39" spans="1:13" x14ac:dyDescent="0.3">
      <c r="A39" s="77" t="s">
        <v>57</v>
      </c>
      <c r="B39" s="78">
        <f>IF(SUMIFS(_book!$CI$2:$CI$379,_book!$C$2:$C$379,$A39,_book!$A$2:$A$379,bkc_lob,_book!$B$2:$B$379,bkc_bu)=0,"—",SUMIFS(_book!$CU$2:$CU$379,_book!$C$2:$C$379,$A39,_book!$A$2:$A$379,bkc_lob,_book!$B$2:$B$379,bkc_bu)/SUMIFS(_book!$CI$2:$CI$379,_book!$C$2:$C$379,$A39,_book!$A$2:$A$379,bkc_lob,_book!$B$2:$B$379,bkc_bu))</f>
        <v>1.3218505660439018E-2</v>
      </c>
      <c r="C39" s="78">
        <f>IF(SUMIFS(_book!$CJ$2:$CJ$379,_book!$C$2:$C$379,$A39,_book!$A$2:$A$379,bkc_lob,_book!$B$2:$B$379,bkc_bu)=0,"—",SUMIFS(_book!$CV$2:$CV$379,_book!$C$2:$C$379,$A39,_book!$A$2:$A$379,bkc_lob,_book!$B$2:$B$379,bkc_bu)/SUMIFS(_book!$CJ$2:$CJ$379,_book!$C$2:$C$379,$A39,_book!$A$2:$A$379,bkc_lob,_book!$B$2:$B$379,bkc_bu))</f>
        <v>1.3204339280806223E-2</v>
      </c>
      <c r="D39" s="78">
        <f>IF(SUMIFS(_book!$CK$2:$CK$379,_book!$C$2:$C$379,$A39,_book!$A$2:$A$379,bkc_lob,_book!$B$2:$B$379,bkc_bu)=0,"—",SUMIFS(_book!$CW$2:$CW$379,_book!$C$2:$C$379,$A39,_book!$A$2:$A$379,bkc_lob,_book!$B$2:$B$379,bkc_bu)/SUMIFS(_book!$CK$2:$CK$379,_book!$C$2:$C$379,$A39,_book!$A$2:$A$379,bkc_lob,_book!$B$2:$B$379,bkc_bu))</f>
        <v>1.3190203360859278E-2</v>
      </c>
      <c r="E39" s="78">
        <f>IF(SUMIFS(_book!$CL$2:$CL$379,_book!$C$2:$C$379,$A39,_book!$A$2:$A$379,bkc_lob,_book!$B$2:$B$379,bkc_bu)=0,"—",SUMIFS(_book!$CX$2:$CX$379,_book!$C$2:$C$379,$A39,_book!$A$2:$A$379,bkc_lob,_book!$B$2:$B$379,bkc_bu)/SUMIFS(_book!$CL$2:$CL$379,_book!$C$2:$C$379,$A39,_book!$A$2:$A$379,bkc_lob,_book!$B$2:$B$379,bkc_bu))</f>
        <v>1.3175620178392241E-2</v>
      </c>
      <c r="F39" s="78">
        <f>IF(SUMIFS(_book!$CM$2:$CM$379,_book!$C$2:$C$379,$A39,_book!$A$2:$A$379,bkc_lob,_book!$B$2:$B$379,bkc_bu)=0,"—",SUMIFS(_book!$CY$2:$CY$379,_book!$C$2:$C$379,$A39,_book!$A$2:$A$379,bkc_lob,_book!$B$2:$B$379,bkc_bu)/SUMIFS(_book!$CM$2:$CM$379,_book!$C$2:$C$379,$A39,_book!$A$2:$A$379,bkc_lob,_book!$B$2:$B$379,bkc_bu))</f>
        <v>1.3161069341912029E-2</v>
      </c>
      <c r="G39" s="78">
        <f>IF(SUMIFS(_book!$CN$2:$CN$379,_book!$C$2:$C$379,$A39,_book!$A$2:$A$379,bkc_lob,_book!$B$2:$B$379,bkc_bu)=0,"—",SUMIFS(_book!$CZ$2:$CZ$379,_book!$C$2:$C$379,$A39,_book!$A$2:$A$379,bkc_lob,_book!$B$2:$B$379,bkc_bu)/SUMIFS(_book!$CN$2:$CN$379,_book!$C$2:$C$379,$A39,_book!$A$2:$A$379,bkc_lob,_book!$B$2:$B$379,bkc_bu))</f>
        <v>1.3146550743473958E-2</v>
      </c>
      <c r="H39" s="78">
        <f>IF(SUMIFS(_book!$CO$2:$CO$379,_book!$C$2:$C$379,$A39,_book!$A$2:$A$379,bkc_lob,_book!$B$2:$B$379,bkc_bu)=0,"—",SUMIFS(_book!$DA$2:$DA$379,_book!$C$2:$C$379,$A39,_book!$A$2:$A$379,bkc_lob,_book!$B$2:$B$379,bkc_bu)/SUMIFS(_book!$CO$2:$CO$379,_book!$C$2:$C$379,$A39,_book!$A$2:$A$379,bkc_lob,_book!$B$2:$B$379,bkc_bu))</f>
        <v>1.3132064275615411E-2</v>
      </c>
      <c r="I39" s="78">
        <f>IF(SUMIFS(_book!$CP$2:$CP$379,_book!$C$2:$C$379,$A39,_book!$A$2:$A$379,bkc_lob,_book!$B$2:$B$379,bkc_bu)=0,"—",SUMIFS(_book!$DB$2:$DB$379,_book!$C$2:$C$379,$A39,_book!$A$2:$A$379,bkc_lob,_book!$B$2:$B$379,bkc_bu)/SUMIFS(_book!$CP$2:$CP$379,_book!$C$2:$C$379,$A39,_book!$A$2:$A$379,bkc_lob,_book!$B$2:$B$379,bkc_bu))</f>
        <v>1.3117373139444333E-2</v>
      </c>
      <c r="J39" s="78">
        <f>IF(SUMIFS(_book!$CQ$2:$CQ$379,_book!$C$2:$C$379,$A39,_book!$A$2:$A$379,bkc_lob,_book!$B$2:$B$379,bkc_bu)=0,"—",SUMIFS(_book!$DC$2:$DC$379,_book!$C$2:$C$379,$A39,_book!$A$2:$A$379,bkc_lob,_book!$B$2:$B$379,bkc_bu)/SUMIFS(_book!$CQ$2:$CQ$379,_book!$C$2:$C$379,$A39,_book!$A$2:$A$379,bkc_lob,_book!$B$2:$B$379,bkc_bu))</f>
        <v>1.3102951134615824E-2</v>
      </c>
      <c r="K39" s="78">
        <f>IF(SUMIFS(_book!$CR$2:$CR$379,_book!$C$2:$C$379,$A39,_book!$A$2:$A$379,bkc_lob,_book!$B$2:$B$379,bkc_bu)=0,"—",SUMIFS(_book!$DD$2:$DD$379,_book!$C$2:$C$379,$A39,_book!$A$2:$A$379,bkc_lob,_book!$B$2:$B$379,bkc_bu)/SUMIFS(_book!$CR$2:$CR$379,_book!$C$2:$C$379,$A39,_book!$A$2:$A$379,bkc_lob,_book!$B$2:$B$379,bkc_bu))</f>
        <v>1.3088560939107494E-2</v>
      </c>
      <c r="L39" s="78">
        <f>IF(SUMIFS(_book!$CS$2:$CS$379,_book!$C$2:$C$379,$A39,_book!$A$2:$A$379,bkc_lob,_book!$B$2:$B$379,bkc_bu)=0,"—",SUMIFS(_book!$DE$2:$DE$379,_book!$C$2:$C$379,$A39,_book!$A$2:$A$379,bkc_lob,_book!$B$2:$B$379,bkc_bu)/SUMIFS(_book!$CS$2:$CS$379,_book!$C$2:$C$379,$A39,_book!$A$2:$A$379,bkc_lob,_book!$B$2:$B$379,bkc_bu))</f>
        <v>1.307420244736433E-2</v>
      </c>
      <c r="M39" s="78">
        <f>IF(SUMIFS(_book!$CT$2:$CT$379,_book!$C$2:$C$379,$A39,_book!$A$2:$A$379,bkc_lob,_book!$B$2:$B$379,bkc_bu)=0,"—",SUMIFS(_book!$DF$2:$DF$379,_book!$C$2:$C$379,$A39,_book!$A$2:$A$379,bkc_lob,_book!$B$2:$B$379,bkc_bu)/SUMIFS(_book!$CT$2:$CT$379,_book!$C$2:$C$379,$A39,_book!$A$2:$A$379,bkc_lob,_book!$B$2:$B$379,bkc_bu))</f>
        <v>1.3059875554300058E-2</v>
      </c>
    </row>
    <row r="40" spans="1:13" x14ac:dyDescent="0.3">
      <c r="A40" s="77" t="s">
        <v>58</v>
      </c>
      <c r="B40" s="78">
        <f>IF(SUMIFS(_book!$CI$2:$CI$379,_book!$C$2:$C$379,$A40,_book!$A$2:$A$379,bkc_lob,_book!$B$2:$B$379,bkc_bu)=0,"—",SUMIFS(_book!$CU$2:$CU$379,_book!$C$2:$C$379,$A40,_book!$A$2:$A$379,bkc_lob,_book!$B$2:$B$379,bkc_bu)/SUMIFS(_book!$CI$2:$CI$379,_book!$C$2:$C$379,$A40,_book!$A$2:$A$379,bkc_lob,_book!$B$2:$B$379,bkc_bu))</f>
        <v>-8.9941770395987966E-4</v>
      </c>
      <c r="C40" s="78">
        <f>IF(SUMIFS(_book!$CJ$2:$CJ$379,_book!$C$2:$C$379,$A40,_book!$A$2:$A$379,bkc_lob,_book!$B$2:$B$379,bkc_bu)=0,"—",SUMIFS(_book!$CV$2:$CV$379,_book!$C$2:$C$379,$A40,_book!$A$2:$A$379,bkc_lob,_book!$B$2:$B$379,bkc_bu)/SUMIFS(_book!$CJ$2:$CJ$379,_book!$C$2:$C$379,$A40,_book!$A$2:$A$379,bkc_lob,_book!$B$2:$B$379,bkc_bu))</f>
        <v>-1.2992100796986111E-3</v>
      </c>
      <c r="D40" s="78">
        <f>IF(SUMIFS(_book!$CK$2:$CK$379,_book!$C$2:$C$379,$A40,_book!$A$2:$A$379,bkc_lob,_book!$B$2:$B$379,bkc_bu)=0,"—",SUMIFS(_book!$CW$2:$CW$379,_book!$C$2:$C$379,$A40,_book!$A$2:$A$379,bkc_lob,_book!$B$2:$B$379,bkc_bu)/SUMIFS(_book!$CK$2:$CK$379,_book!$C$2:$C$379,$A40,_book!$A$2:$A$379,bkc_lob,_book!$B$2:$B$379,bkc_bu))</f>
        <v>-1.6982914089131978E-3</v>
      </c>
      <c r="E40" s="78">
        <f>IF(SUMIFS(_book!$CL$2:$CL$379,_book!$C$2:$C$379,$A40,_book!$A$2:$A$379,bkc_lob,_book!$B$2:$B$379,bkc_bu)=0,"—",SUMIFS(_book!$CX$2:$CX$379,_book!$C$2:$C$379,$A40,_book!$A$2:$A$379,bkc_lob,_book!$B$2:$B$379,bkc_bu)/SUMIFS(_book!$CL$2:$CL$379,_book!$C$2:$C$379,$A40,_book!$A$2:$A$379,bkc_lob,_book!$B$2:$B$379,bkc_bu))</f>
        <v>-2.1101553428301565E-3</v>
      </c>
      <c r="F40" s="78">
        <f>IF(SUMIFS(_book!$CM$2:$CM$379,_book!$C$2:$C$379,$A40,_book!$A$2:$A$379,bkc_lob,_book!$B$2:$B$379,bkc_bu)=0,"—",SUMIFS(_book!$CY$2:$CY$379,_book!$C$2:$C$379,$A40,_book!$A$2:$A$379,bkc_lob,_book!$B$2:$B$379,bkc_bu)/SUMIFS(_book!$CM$2:$CM$379,_book!$C$2:$C$379,$A40,_book!$A$2:$A$379,bkc_lob,_book!$B$2:$B$379,bkc_bu))</f>
        <v>-2.5212633579142969E-3</v>
      </c>
      <c r="G40" s="78">
        <f>IF(SUMIFS(_book!$CN$2:$CN$379,_book!$C$2:$C$379,$A40,_book!$A$2:$A$379,bkc_lob,_book!$B$2:$B$379,bkc_bu)=0,"—",SUMIFS(_book!$CZ$2:$CZ$379,_book!$C$2:$C$379,$A40,_book!$A$2:$A$379,bkc_lob,_book!$B$2:$B$379,bkc_bu)/SUMIFS(_book!$CN$2:$CN$379,_book!$C$2:$C$379,$A40,_book!$A$2:$A$379,bkc_lob,_book!$B$2:$B$379,bkc_bu))</f>
        <v>-2.9316175528184907E-3</v>
      </c>
      <c r="H40" s="78">
        <f>IF(SUMIFS(_book!$CO$2:$CO$379,_book!$C$2:$C$379,$A40,_book!$A$2:$A$379,bkc_lob,_book!$B$2:$B$379,bkc_bu)=0,"—",SUMIFS(_book!$DA$2:$DA$379,_book!$C$2:$C$379,$A40,_book!$A$2:$A$379,bkc_lob,_book!$B$2:$B$379,bkc_bu)/SUMIFS(_book!$CO$2:$CO$379,_book!$C$2:$C$379,$A40,_book!$A$2:$A$379,bkc_lob,_book!$B$2:$B$379,bkc_bu))</f>
        <v>-3.3412200184182086E-3</v>
      </c>
      <c r="I40" s="78">
        <f>IF(SUMIFS(_book!$CP$2:$CP$379,_book!$C$2:$C$379,$A40,_book!$A$2:$A$379,bkc_lob,_book!$B$2:$B$379,bkc_bu)=0,"—",SUMIFS(_book!$DB$2:$DB$379,_book!$C$2:$C$379,$A40,_book!$A$2:$A$379,bkc_lob,_book!$B$2:$B$379,bkc_bu)/SUMIFS(_book!$CP$2:$CP$379,_book!$C$2:$C$379,$A40,_book!$A$2:$A$379,bkc_lob,_book!$B$2:$B$379,bkc_bu))</f>
        <v>-3.7567691093433912E-3</v>
      </c>
      <c r="J40" s="78">
        <f>IF(SUMIFS(_book!$CQ$2:$CQ$379,_book!$C$2:$C$379,$A40,_book!$A$2:$A$379,bkc_lob,_book!$B$2:$B$379,bkc_bu)=0,"—",SUMIFS(_book!$DC$2:$DC$379,_book!$C$2:$C$379,$A40,_book!$A$2:$A$379,bkc_lob,_book!$B$2:$B$379,bkc_bu)/SUMIFS(_book!$CQ$2:$CQ$379,_book!$C$2:$C$379,$A40,_book!$A$2:$A$379,bkc_lob,_book!$B$2:$B$379,bkc_bu))</f>
        <v>-4.1648621200199914E-3</v>
      </c>
      <c r="K40" s="78">
        <f>IF(SUMIFS(_book!$CR$2:$CR$379,_book!$C$2:$C$379,$A40,_book!$A$2:$A$379,bkc_lob,_book!$B$2:$B$379,bkc_bu)=0,"—",SUMIFS(_book!$DD$2:$DD$379,_book!$C$2:$C$379,$A40,_book!$A$2:$A$379,bkc_lob,_book!$B$2:$B$379,bkc_bu)/SUMIFS(_book!$CR$2:$CR$379,_book!$C$2:$C$379,$A40,_book!$A$2:$A$379,bkc_lob,_book!$B$2:$B$379,bkc_bu))</f>
        <v>-4.3661027344129898E-3</v>
      </c>
      <c r="L40" s="78">
        <f>IF(SUMIFS(_book!$CS$2:$CS$379,_book!$C$2:$C$379,$A40,_book!$A$2:$A$379,bkc_lob,_book!$B$2:$B$379,bkc_bu)=0,"—",SUMIFS(_book!$DE$2:$DE$379,_book!$C$2:$C$379,$A40,_book!$A$2:$A$379,bkc_lob,_book!$B$2:$B$379,bkc_bu)/SUMIFS(_book!$CS$2:$CS$379,_book!$C$2:$C$379,$A40,_book!$A$2:$A$379,bkc_lob,_book!$B$2:$B$379,bkc_bu))</f>
        <v>-4.3677028600134626E-3</v>
      </c>
      <c r="M40" s="78">
        <f>IF(SUMIFS(_book!$CT$2:$CT$379,_book!$C$2:$C$379,$A40,_book!$A$2:$A$379,bkc_lob,_book!$B$2:$B$379,bkc_bu)=0,"—",SUMIFS(_book!$DF$2:$DF$379,_book!$C$2:$C$379,$A40,_book!$A$2:$A$379,bkc_lob,_book!$B$2:$B$379,bkc_bu)/SUMIFS(_book!$CT$2:$CT$379,_book!$C$2:$C$379,$A40,_book!$A$2:$A$379,bkc_lob,_book!$B$2:$B$379,bkc_bu))</f>
        <v>-4.369304163778418E-3</v>
      </c>
    </row>
    <row r="41" spans="1:13" x14ac:dyDescent="0.3">
      <c r="A41" s="77" t="s">
        <v>65</v>
      </c>
      <c r="B41" s="78">
        <f>IF(SUMIFS(_book!$CI$2:$CI$379,_book!$C$2:$C$379,$A41,_book!$A$2:$A$379,bkc_lob,_book!$B$2:$B$379,bkc_bu)=0,"—",SUMIFS(_book!$CU$2:$CU$379,_book!$C$2:$C$379,$A41,_book!$A$2:$A$379,bkc_lob,_book!$B$2:$B$379,bkc_bu)/SUMIFS(_book!$CI$2:$CI$379,_book!$C$2:$C$379,$A41,_book!$A$2:$A$379,bkc_lob,_book!$B$2:$B$379,bkc_bu))</f>
        <v>1.3101511939163825E-2</v>
      </c>
      <c r="C41" s="78">
        <f>IF(SUMIFS(_book!$CJ$2:$CJ$379,_book!$C$2:$C$379,$A41,_book!$A$2:$A$379,bkc_lob,_book!$B$2:$B$379,bkc_bu)=0,"—",SUMIFS(_book!$CV$2:$CV$379,_book!$C$2:$C$379,$A41,_book!$A$2:$A$379,bkc_lob,_book!$B$2:$B$379,bkc_bu)/SUMIFS(_book!$CJ$2:$CJ$379,_book!$C$2:$C$379,$A41,_book!$A$2:$A$379,bkc_lob,_book!$B$2:$B$379,bkc_bu))</f>
        <v>1.2460837004451081E-2</v>
      </c>
      <c r="D41" s="78">
        <f>IF(SUMIFS(_book!$CK$2:$CK$379,_book!$C$2:$C$379,$A41,_book!$A$2:$A$379,bkc_lob,_book!$B$2:$B$379,bkc_bu)=0,"—",SUMIFS(_book!$CW$2:$CW$379,_book!$C$2:$C$379,$A41,_book!$A$2:$A$379,bkc_lob,_book!$B$2:$B$379,bkc_bu)/SUMIFS(_book!$CK$2:$CK$379,_book!$C$2:$C$379,$A41,_book!$A$2:$A$379,bkc_lob,_book!$B$2:$B$379,bkc_bu))</f>
        <v>1.1822435827088454E-2</v>
      </c>
      <c r="E41" s="78">
        <f>IF(SUMIFS(_book!$CL$2:$CL$379,_book!$C$2:$C$379,$A41,_book!$A$2:$A$379,bkc_lob,_book!$B$2:$B$379,bkc_bu)=0,"—",SUMIFS(_book!$CX$2:$CX$379,_book!$C$2:$C$379,$A41,_book!$A$2:$A$379,bkc_lob,_book!$B$2:$B$379,bkc_bu)/SUMIFS(_book!$CL$2:$CL$379,_book!$C$2:$C$379,$A41,_book!$A$2:$A$379,bkc_lob,_book!$B$2:$B$379,bkc_bu))</f>
        <v>1.4965857386499805E-2</v>
      </c>
      <c r="F41" s="78">
        <f>IF(SUMIFS(_book!$CM$2:$CM$379,_book!$C$2:$C$379,$A41,_book!$A$2:$A$379,bkc_lob,_book!$B$2:$B$379,bkc_bu)=0,"—",SUMIFS(_book!$CY$2:$CY$379,_book!$C$2:$C$379,$A41,_book!$A$2:$A$379,bkc_lob,_book!$B$2:$B$379,bkc_bu)/SUMIFS(_book!$CM$2:$CM$379,_book!$C$2:$C$379,$A41,_book!$A$2:$A$379,bkc_lob,_book!$B$2:$B$379,bkc_bu))</f>
        <v>1.7623525861579541E-2</v>
      </c>
      <c r="G41" s="78">
        <f>IF(SUMIFS(_book!$CN$2:$CN$379,_book!$C$2:$C$379,$A41,_book!$A$2:$A$379,bkc_lob,_book!$B$2:$B$379,bkc_bu)=0,"—",SUMIFS(_book!$CZ$2:$CZ$379,_book!$C$2:$C$379,$A41,_book!$A$2:$A$379,bkc_lob,_book!$B$2:$B$379,bkc_bu)/SUMIFS(_book!$CN$2:$CN$379,_book!$C$2:$C$379,$A41,_book!$A$2:$A$379,bkc_lob,_book!$B$2:$B$379,bkc_bu))</f>
        <v>1.6957682974487569E-2</v>
      </c>
      <c r="H41" s="78">
        <f>IF(SUMIFS(_book!$CO$2:$CO$379,_book!$C$2:$C$379,$A41,_book!$A$2:$A$379,bkc_lob,_book!$B$2:$B$379,bkc_bu)=0,"—",SUMIFS(_book!$DA$2:$DA$379,_book!$C$2:$C$379,$A41,_book!$A$2:$A$379,bkc_lob,_book!$B$2:$B$379,bkc_bu)/SUMIFS(_book!$CO$2:$CO$379,_book!$C$2:$C$379,$A41,_book!$A$2:$A$379,bkc_lob,_book!$B$2:$B$379,bkc_bu))</f>
        <v>1.6294265309141038E-2</v>
      </c>
      <c r="I41" s="78">
        <f>IF(SUMIFS(_book!$CP$2:$CP$379,_book!$C$2:$C$379,$A41,_book!$A$2:$A$379,bkc_lob,_book!$B$2:$B$379,bkc_bu)=0,"—",SUMIFS(_book!$DB$2:$DB$379,_book!$C$2:$C$379,$A41,_book!$A$2:$A$379,bkc_lob,_book!$B$2:$B$379,bkc_bu)/SUMIFS(_book!$CP$2:$CP$379,_book!$C$2:$C$379,$A41,_book!$A$2:$A$379,bkc_lob,_book!$B$2:$B$379,bkc_bu))</f>
        <v>1.5622443414408429E-2</v>
      </c>
      <c r="J41" s="78">
        <f>IF(SUMIFS(_book!$CQ$2:$CQ$379,_book!$C$2:$C$379,$A41,_book!$A$2:$A$379,bkc_lob,_book!$B$2:$B$379,bkc_bu)=0,"—",SUMIFS(_book!$DC$2:$DC$379,_book!$C$2:$C$379,$A41,_book!$A$2:$A$379,bkc_lob,_book!$B$2:$B$379,bkc_bu)/SUMIFS(_book!$CQ$2:$CQ$379,_book!$C$2:$C$379,$A41,_book!$A$2:$A$379,bkc_lob,_book!$B$2:$B$379,bkc_bu))</f>
        <v>1.496387557078855E-2</v>
      </c>
      <c r="K41" s="78">
        <f>IF(SUMIFS(_book!$CR$2:$CR$379,_book!$C$2:$C$379,$A41,_book!$A$2:$A$379,bkc_lob,_book!$B$2:$B$379,bkc_bu)=0,"—",SUMIFS(_book!$DD$2:$DD$379,_book!$C$2:$C$379,$A41,_book!$A$2:$A$379,bkc_lob,_book!$B$2:$B$379,bkc_bu)/SUMIFS(_book!$CR$2:$CR$379,_book!$C$2:$C$379,$A41,_book!$A$2:$A$379,bkc_lob,_book!$B$2:$B$379,bkc_bu))</f>
        <v>1.4307693094101095E-2</v>
      </c>
      <c r="L41" s="78">
        <f>IF(SUMIFS(_book!$CS$2:$CS$379,_book!$C$2:$C$379,$A41,_book!$A$2:$A$379,bkc_lob,_book!$B$2:$B$379,bkc_bu)=0,"—",SUMIFS(_book!$DE$2:$DE$379,_book!$C$2:$C$379,$A41,_book!$A$2:$A$379,bkc_lob,_book!$B$2:$B$379,bkc_bu)/SUMIFS(_book!$CS$2:$CS$379,_book!$C$2:$C$379,$A41,_book!$A$2:$A$379,bkc_lob,_book!$B$2:$B$379,bkc_bu))</f>
        <v>1.3653882965437894E-2</v>
      </c>
      <c r="M41" s="78">
        <f>IF(SUMIFS(_book!$CT$2:$CT$379,_book!$C$2:$C$379,$A41,_book!$A$2:$A$379,bkc_lob,_book!$B$2:$B$379,bkc_bu)=0,"—",SUMIFS(_book!$DF$2:$DF$379,_book!$C$2:$C$379,$A41,_book!$A$2:$A$379,bkc_lob,_book!$B$2:$B$379,bkc_bu)/SUMIFS(_book!$CT$2:$CT$379,_book!$C$2:$C$379,$A41,_book!$A$2:$A$379,bkc_lob,_book!$B$2:$B$379,bkc_bu))</f>
        <v>1.3002432260931914E-2</v>
      </c>
    </row>
    <row r="42" spans="1:13" x14ac:dyDescent="0.3">
      <c r="A42" s="77" t="s">
        <v>66</v>
      </c>
      <c r="B42" s="78">
        <f>IF(SUMIFS(_book!$CI$2:$CI$379,_book!$C$2:$C$379,$A42,_book!$A$2:$A$379,bkc_lob,_book!$B$2:$B$379,bkc_bu)=0,"—",SUMIFS(_book!$CU$2:$CU$379,_book!$C$2:$C$379,$A42,_book!$A$2:$A$379,bkc_lob,_book!$B$2:$B$379,bkc_bu)/SUMIFS(_book!$CI$2:$CI$379,_book!$C$2:$C$379,$A42,_book!$A$2:$A$379,bkc_lob,_book!$B$2:$B$379,bkc_bu))</f>
        <v>-8.6769163248765005E-3</v>
      </c>
      <c r="C42" s="78">
        <f>IF(SUMIFS(_book!$CJ$2:$CJ$379,_book!$C$2:$C$379,$A42,_book!$A$2:$A$379,bkc_lob,_book!$B$2:$B$379,bkc_bu)=0,"—",SUMIFS(_book!$CV$2:$CV$379,_book!$C$2:$C$379,$A42,_book!$A$2:$A$379,bkc_lob,_book!$B$2:$B$379,bkc_bu)/SUMIFS(_book!$CJ$2:$CJ$379,_book!$C$2:$C$379,$A42,_book!$A$2:$A$379,bkc_lob,_book!$B$2:$B$379,bkc_bu))</f>
        <v>-8.6830305831674427E-3</v>
      </c>
      <c r="D42" s="78">
        <f>IF(SUMIFS(_book!$CK$2:$CK$379,_book!$C$2:$C$379,$A42,_book!$A$2:$A$379,bkc_lob,_book!$B$2:$B$379,bkc_bu)=0,"—",SUMIFS(_book!$CW$2:$CW$379,_book!$C$2:$C$379,$A42,_book!$A$2:$A$379,bkc_lob,_book!$B$2:$B$379,bkc_bu)/SUMIFS(_book!$CK$2:$CK$379,_book!$C$2:$C$379,$A42,_book!$A$2:$A$379,bkc_lob,_book!$B$2:$B$379,bkc_bu))</f>
        <v>-8.6891534999153242E-3</v>
      </c>
      <c r="E42" s="78">
        <f>IF(SUMIFS(_book!$CL$2:$CL$379,_book!$C$2:$C$379,$A42,_book!$A$2:$A$379,bkc_lob,_book!$B$2:$B$379,bkc_bu)=0,"—",SUMIFS(_book!$CX$2:$CX$379,_book!$C$2:$C$379,$A42,_book!$A$2:$A$379,bkc_lob,_book!$B$2:$B$379,bkc_bu)/SUMIFS(_book!$CL$2:$CL$379,_book!$C$2:$C$379,$A42,_book!$A$2:$A$379,bkc_lob,_book!$B$2:$B$379,bkc_bu))</f>
        <v>-8.6954930965059529E-3</v>
      </c>
      <c r="F42" s="78">
        <f>IF(SUMIFS(_book!$CM$2:$CM$379,_book!$C$2:$C$379,$A42,_book!$A$2:$A$379,bkc_lob,_book!$B$2:$B$379,bkc_bu)=0,"—",SUMIFS(_book!$CY$2:$CY$379,_book!$C$2:$C$379,$A42,_book!$A$2:$A$379,bkc_lob,_book!$B$2:$B$379,bkc_bu)/SUMIFS(_book!$CM$2:$CM$379,_book!$C$2:$C$379,$A42,_book!$A$2:$A$379,bkc_lob,_book!$B$2:$B$379,bkc_bu))</f>
        <v>-8.7018419887552739E-3</v>
      </c>
      <c r="G42" s="78">
        <f>IF(SUMIFS(_book!$CN$2:$CN$379,_book!$C$2:$C$379,$A42,_book!$A$2:$A$379,bkc_lob,_book!$B$2:$B$379,bkc_bu)=0,"—",SUMIFS(_book!$CZ$2:$CZ$379,_book!$C$2:$C$379,$A42,_book!$A$2:$A$379,bkc_lob,_book!$B$2:$B$379,bkc_bu)/SUMIFS(_book!$CN$2:$CN$379,_book!$C$2:$C$379,$A42,_book!$A$2:$A$379,bkc_lob,_book!$B$2:$B$379,bkc_bu))</f>
        <v>-8.7082001972074441E-3</v>
      </c>
      <c r="H42" s="78">
        <f>IF(SUMIFS(_book!$CO$2:$CO$379,_book!$C$2:$C$379,$A42,_book!$A$2:$A$379,bkc_lob,_book!$B$2:$B$379,bkc_bu)=0,"—",SUMIFS(_book!$DA$2:$DA$379,_book!$C$2:$C$379,$A42,_book!$A$2:$A$379,bkc_lob,_book!$B$2:$B$379,bkc_bu)/SUMIFS(_book!$CO$2:$CO$379,_book!$C$2:$C$379,$A42,_book!$A$2:$A$379,bkc_lob,_book!$B$2:$B$379,bkc_bu))</f>
        <v>-8.7145677424674238E-3</v>
      </c>
      <c r="I42" s="78">
        <f>IF(SUMIFS(_book!$CP$2:$CP$379,_book!$C$2:$C$379,$A42,_book!$A$2:$A$379,bkc_lob,_book!$B$2:$B$379,bkc_bu)=0,"—",SUMIFS(_book!$DB$2:$DB$379,_book!$C$2:$C$379,$A42,_book!$A$2:$A$379,bkc_lob,_book!$B$2:$B$379,bkc_bu)/SUMIFS(_book!$CP$2:$CP$379,_book!$C$2:$C$379,$A42,_book!$A$2:$A$379,bkc_lob,_book!$B$2:$B$379,bkc_bu))</f>
        <v>-8.7210492626645132E-3</v>
      </c>
      <c r="J42" s="78">
        <f>IF(SUMIFS(_book!$CQ$2:$CQ$379,_book!$C$2:$C$379,$A42,_book!$A$2:$A$379,bkc_lob,_book!$B$2:$B$379,bkc_bu)=0,"—",SUMIFS(_book!$DC$2:$DC$379,_book!$C$2:$C$379,$A42,_book!$A$2:$A$379,bkc_lob,_book!$B$2:$B$379,bkc_bu)/SUMIFS(_book!$CQ$2:$CQ$379,_book!$C$2:$C$379,$A42,_book!$A$2:$A$379,bkc_lob,_book!$B$2:$B$379,bkc_bu))</f>
        <v>-8.7274356975135109E-3</v>
      </c>
      <c r="K42" s="78">
        <f>IF(SUMIFS(_book!$CR$2:$CR$379,_book!$C$2:$C$379,$A42,_book!$A$2:$A$379,bkc_lob,_book!$B$2:$B$379,bkc_bu)=0,"—",SUMIFS(_book!$DD$2:$DD$379,_book!$C$2:$C$379,$A42,_book!$A$2:$A$379,bkc_lob,_book!$B$2:$B$379,bkc_bu)/SUMIFS(_book!$CR$2:$CR$379,_book!$C$2:$C$379,$A42,_book!$A$2:$A$379,bkc_lob,_book!$B$2:$B$379,bkc_bu))</f>
        <v>-8.7338315316941532E-3</v>
      </c>
      <c r="L42" s="78">
        <f>IF(SUMIFS(_book!$CS$2:$CS$379,_book!$C$2:$C$379,$A42,_book!$A$2:$A$379,bkc_lob,_book!$B$2:$B$379,bkc_bu)=0,"—",SUMIFS(_book!$DE$2:$DE$379,_book!$C$2:$C$379,$A42,_book!$A$2:$A$379,bkc_lob,_book!$B$2:$B$379,bkc_bu)/SUMIFS(_book!$CS$2:$CS$379,_book!$C$2:$C$379,$A42,_book!$A$2:$A$379,bkc_lob,_book!$B$2:$B$379,bkc_bu))</f>
        <v>-8.7402367860574624E-3</v>
      </c>
      <c r="M42" s="78">
        <f>IF(SUMIFS(_book!$CT$2:$CT$379,_book!$C$2:$C$379,$A42,_book!$A$2:$A$379,bkc_lob,_book!$B$2:$B$379,bkc_bu)=0,"—",SUMIFS(_book!$DF$2:$DF$379,_book!$C$2:$C$379,$A42,_book!$A$2:$A$379,bkc_lob,_book!$B$2:$B$379,bkc_bu)/SUMIFS(_book!$CT$2:$CT$379,_book!$C$2:$C$379,$A42,_book!$A$2:$A$379,bkc_lob,_book!$B$2:$B$379,bkc_bu))</f>
        <v>-8.7466514815175075E-3</v>
      </c>
    </row>
    <row r="43" spans="1:13" x14ac:dyDescent="0.3">
      <c r="A43" s="77" t="s">
        <v>67</v>
      </c>
      <c r="B43" s="78">
        <f>IF(SUMIFS(_book!$CI$2:$CI$379,_book!$C$2:$C$379,$A43,_book!$A$2:$A$379,bkc_lob,_book!$B$2:$B$379,bkc_bu)=0,"—",SUMIFS(_book!$CU$2:$CU$379,_book!$C$2:$C$379,$A43,_book!$A$2:$A$379,bkc_lob,_book!$B$2:$B$379,bkc_bu)/SUMIFS(_book!$CI$2:$CI$379,_book!$C$2:$C$379,$A43,_book!$A$2:$A$379,bkc_lob,_book!$B$2:$B$379,bkc_bu))</f>
        <v>4.3788312959229187E-3</v>
      </c>
      <c r="C43" s="78">
        <f>IF(SUMIFS(_book!$CJ$2:$CJ$379,_book!$C$2:$C$379,$A43,_book!$A$2:$A$379,bkc_lob,_book!$B$2:$B$379,bkc_bu)=0,"—",SUMIFS(_book!$CV$2:$CV$379,_book!$C$2:$C$379,$A43,_book!$A$2:$A$379,bkc_lob,_book!$B$2:$B$379,bkc_bu)/SUMIFS(_book!$CJ$2:$CJ$379,_book!$C$2:$C$379,$A43,_book!$A$2:$A$379,bkc_lob,_book!$B$2:$B$379,bkc_bu))</f>
        <v>4.3772756865396011E-3</v>
      </c>
      <c r="D43" s="78">
        <f>IF(SUMIFS(_book!$CK$2:$CK$379,_book!$C$2:$C$379,$A43,_book!$A$2:$A$379,bkc_lob,_book!$B$2:$B$379,bkc_bu)=0,"—",SUMIFS(_book!$CW$2:$CW$379,_book!$C$2:$C$379,$A43,_book!$A$2:$A$379,bkc_lob,_book!$B$2:$B$379,bkc_bu)/SUMIFS(_book!$CK$2:$CK$379,_book!$C$2:$C$379,$A43,_book!$A$2:$A$379,bkc_lob,_book!$B$2:$B$379,bkc_bu))</f>
        <v>4.3757211866541834E-3</v>
      </c>
      <c r="E43" s="78">
        <f>IF(SUMIFS(_book!$CL$2:$CL$379,_book!$C$2:$C$379,$A43,_book!$A$2:$A$379,bkc_lob,_book!$B$2:$B$379,bkc_bu)=0,"—",SUMIFS(_book!$CX$2:$CX$379,_book!$C$2:$C$379,$A43,_book!$A$2:$A$379,bkc_lob,_book!$B$2:$B$379,bkc_bu)/SUMIFS(_book!$CL$2:$CL$379,_book!$C$2:$C$379,$A43,_book!$A$2:$A$379,bkc_lob,_book!$B$2:$B$379,bkc_bu))</f>
        <v>4.374115157140937E-3</v>
      </c>
      <c r="F43" s="78">
        <f>IF(SUMIFS(_book!$CM$2:$CM$379,_book!$C$2:$C$379,$A43,_book!$A$2:$A$379,bkc_lob,_book!$B$2:$B$379,bkc_bu)=0,"—",SUMIFS(_book!$CY$2:$CY$379,_book!$C$2:$C$379,$A43,_book!$A$2:$A$379,bkc_lob,_book!$B$2:$B$379,bkc_bu)/SUMIFS(_book!$CM$2:$CM$379,_book!$C$2:$C$379,$A43,_book!$A$2:$A$379,bkc_lob,_book!$B$2:$B$379,bkc_bu))</f>
        <v>4.3725103110321996E-3</v>
      </c>
      <c r="G43" s="78">
        <f>IF(SUMIFS(_book!$CN$2:$CN$379,_book!$C$2:$C$379,$A43,_book!$A$2:$A$379,bkc_lob,_book!$B$2:$B$379,bkc_bu)=0,"—",SUMIFS(_book!$CZ$2:$CZ$379,_book!$C$2:$C$379,$A43,_book!$A$2:$A$379,bkc_lob,_book!$B$2:$B$379,bkc_bu)/SUMIFS(_book!$CN$2:$CN$379,_book!$C$2:$C$379,$A43,_book!$A$2:$A$379,bkc_lob,_book!$B$2:$B$379,bkc_bu))</f>
        <v>4.370906647015017E-3</v>
      </c>
      <c r="H43" s="78">
        <f>IF(SUMIFS(_book!$CO$2:$CO$379,_book!$C$2:$C$379,$A43,_book!$A$2:$A$379,bkc_lob,_book!$B$2:$B$379,bkc_bu)=0,"—",SUMIFS(_book!$DA$2:$DA$379,_book!$C$2:$C$379,$A43,_book!$A$2:$A$379,bkc_lob,_book!$B$2:$B$379,bkc_bu)/SUMIFS(_book!$CO$2:$CO$379,_book!$C$2:$C$379,$A43,_book!$A$2:$A$379,bkc_lob,_book!$B$2:$B$379,bkc_bu))</f>
        <v>4.3693041637784839E-3</v>
      </c>
      <c r="I43" s="78">
        <f>IF(SUMIFS(_book!$CP$2:$CP$379,_book!$C$2:$C$379,$A43,_book!$A$2:$A$379,bkc_lob,_book!$B$2:$B$379,bkc_bu)=0,"—",SUMIFS(_book!$DB$2:$DB$379,_book!$C$2:$C$379,$A43,_book!$A$2:$A$379,bkc_lob,_book!$B$2:$B$379,bkc_bu)/SUMIFS(_book!$CP$2:$CP$379,_book!$C$2:$C$379,$A43,_book!$A$2:$A$379,bkc_lob,_book!$B$2:$B$379,bkc_bu))</f>
        <v>4.3676766189510718E-3</v>
      </c>
      <c r="J43" s="78">
        <f>IF(SUMIFS(_book!$CQ$2:$CQ$379,_book!$C$2:$C$379,$A43,_book!$A$2:$A$379,bkc_lob,_book!$B$2:$B$379,bkc_bu)=0,"—",SUMIFS(_book!$DC$2:$DC$379,_book!$C$2:$C$379,$A43,_book!$A$2:$A$379,bkc_lob,_book!$B$2:$B$379,bkc_bu)/SUMIFS(_book!$CQ$2:$CQ$379,_book!$C$2:$C$379,$A43,_book!$A$2:$A$379,bkc_lob,_book!$B$2:$B$379,bkc_bu))</f>
        <v>4.3660765126539705E-3</v>
      </c>
      <c r="K43" s="78">
        <f>IF(SUMIFS(_book!$CR$2:$CR$379,_book!$C$2:$C$379,$A43,_book!$A$2:$A$379,bkc_lob,_book!$B$2:$B$379,bkc_bu)=0,"—",SUMIFS(_book!$DD$2:$DD$379,_book!$C$2:$C$379,$A43,_book!$A$2:$A$379,bkc_lob,_book!$B$2:$B$379,bkc_bu)/SUMIFS(_book!$CR$2:$CR$379,_book!$C$2:$C$379,$A43,_book!$A$2:$A$379,bkc_lob,_book!$B$2:$B$379,bkc_bu))</f>
        <v>4.3644775831946985E-3</v>
      </c>
      <c r="L43" s="78">
        <f>IF(SUMIFS(_book!$CS$2:$CS$379,_book!$C$2:$C$379,$A43,_book!$A$2:$A$379,bkc_lob,_book!$B$2:$B$379,bkc_bu)=0,"—",SUMIFS(_book!$DE$2:$DE$379,_book!$C$2:$C$379,$A43,_book!$A$2:$A$379,bkc_lob,_book!$B$2:$B$379,bkc_bu)/SUMIFS(_book!$CS$2:$CS$379,_book!$C$2:$C$379,$A43,_book!$A$2:$A$379,bkc_lob,_book!$B$2:$B$379,bkc_bu))</f>
        <v>4.3628798292701968E-3</v>
      </c>
      <c r="M43" s="78">
        <f>IF(SUMIFS(_book!$CT$2:$CT$379,_book!$C$2:$C$379,$A43,_book!$A$2:$A$379,bkc_lob,_book!$B$2:$B$379,bkc_bu)=0,"—",SUMIFS(_book!$DF$2:$DF$379,_book!$C$2:$C$379,$A43,_book!$A$2:$A$379,bkc_lob,_book!$B$2:$B$379,bkc_bu)/SUMIFS(_book!$CT$2:$CT$379,_book!$C$2:$C$379,$A43,_book!$A$2:$A$379,bkc_lob,_book!$B$2:$B$379,bkc_bu))</f>
        <v>4.361283249579362E-3</v>
      </c>
    </row>
    <row r="44" spans="1:13" x14ac:dyDescent="0.3">
      <c r="A44" s="77" t="s">
        <v>73</v>
      </c>
      <c r="B44" s="78">
        <f>IF(SUMIFS(_book!$CI$2:$CI$379,_book!$C$2:$C$379,$A44,_book!$A$2:$A$379,bkc_lob,_book!$B$2:$B$379,bkc_bu)=0,"—",SUMIFS(_book!$CU$2:$CU$379,_book!$C$2:$C$379,$A44,_book!$A$2:$A$379,bkc_lob,_book!$B$2:$B$379,bkc_bu)/SUMIFS(_book!$CI$2:$CI$379,_book!$C$2:$C$379,$A44,_book!$A$2:$A$379,bkc_lob,_book!$B$2:$B$379,bkc_bu))</f>
        <v>1.7679864521880924E-2</v>
      </c>
      <c r="C44" s="78">
        <f>IF(SUMIFS(_book!$CJ$2:$CJ$379,_book!$C$2:$C$379,$A44,_book!$A$2:$A$379,bkc_lob,_book!$B$2:$B$379,bkc_bu)=0,"—",SUMIFS(_book!$CV$2:$CV$379,_book!$C$2:$C$379,$A44,_book!$A$2:$A$379,bkc_lob,_book!$B$2:$B$379,bkc_bu)/SUMIFS(_book!$CJ$2:$CJ$379,_book!$C$2:$C$379,$A44,_book!$A$2:$A$379,bkc_lob,_book!$B$2:$B$379,bkc_bu))</f>
        <v>1.7654530404108637E-2</v>
      </c>
      <c r="D44" s="78">
        <f>IF(SUMIFS(_book!$CK$2:$CK$379,_book!$C$2:$C$379,$A44,_book!$A$2:$A$379,bkc_lob,_book!$B$2:$B$379,bkc_bu)=0,"—",SUMIFS(_book!$CW$2:$CW$379,_book!$C$2:$C$379,$A44,_book!$A$2:$A$379,bkc_lob,_book!$B$2:$B$379,bkc_bu)/SUMIFS(_book!$CK$2:$CK$379,_book!$C$2:$C$379,$A44,_book!$A$2:$A$379,bkc_lob,_book!$B$2:$B$379,bkc_bu))</f>
        <v>1.7629269093611313E-2</v>
      </c>
      <c r="E44" s="78">
        <f>IF(SUMIFS(_book!$CL$2:$CL$379,_book!$C$2:$C$379,$A44,_book!$A$2:$A$379,bkc_lob,_book!$B$2:$B$379,bkc_bu)=0,"—",SUMIFS(_book!$CX$2:$CX$379,_book!$C$2:$C$379,$A44,_book!$A$2:$A$379,bkc_lob,_book!$B$2:$B$379,bkc_bu)/SUMIFS(_book!$CL$2:$CL$379,_book!$C$2:$C$379,$A44,_book!$A$2:$A$379,bkc_lob,_book!$B$2:$B$379,bkc_bu))</f>
        <v>1.760322768404491E-2</v>
      </c>
      <c r="F44" s="78">
        <f>IF(SUMIFS(_book!$CM$2:$CM$379,_book!$C$2:$C$379,$A44,_book!$A$2:$A$379,bkc_lob,_book!$B$2:$B$379,bkc_bu)=0,"—",SUMIFS(_book!$CY$2:$CY$379,_book!$C$2:$C$379,$A44,_book!$A$2:$A$379,bkc_lob,_book!$B$2:$B$379,bkc_bu)/SUMIFS(_book!$CM$2:$CM$379,_book!$C$2:$C$379,$A44,_book!$A$2:$A$379,bkc_lob,_book!$B$2:$B$379,bkc_bu))</f>
        <v>1.7577263419308594E-2</v>
      </c>
      <c r="G44" s="78">
        <f>IF(SUMIFS(_book!$CN$2:$CN$379,_book!$C$2:$C$379,$A44,_book!$A$2:$A$379,bkc_lob,_book!$B$2:$B$379,bkc_bu)=0,"—",SUMIFS(_book!$CZ$2:$CZ$379,_book!$C$2:$C$379,$A44,_book!$A$2:$A$379,bkc_lob,_book!$B$2:$B$379,bkc_bu)/SUMIFS(_book!$CN$2:$CN$379,_book!$C$2:$C$379,$A44,_book!$A$2:$A$379,bkc_lob,_book!$B$2:$B$379,bkc_bu))</f>
        <v>1.7551375955682427E-2</v>
      </c>
      <c r="H44" s="78">
        <f>IF(SUMIFS(_book!$CO$2:$CO$379,_book!$C$2:$C$379,$A44,_book!$A$2:$A$379,bkc_lob,_book!$B$2:$B$379,bkc_bu)=0,"—",SUMIFS(_book!$DA$2:$DA$379,_book!$C$2:$C$379,$A44,_book!$A$2:$A$379,bkc_lob,_book!$B$2:$B$379,bkc_bu)/SUMIFS(_book!$CO$2:$CO$379,_book!$C$2:$C$379,$A44,_book!$A$2:$A$379,bkc_lob,_book!$B$2:$B$379,bkc_bu))</f>
        <v>1.7525564951493884E-2</v>
      </c>
      <c r="I44" s="78">
        <f>IF(SUMIFS(_book!$CP$2:$CP$379,_book!$C$2:$C$379,$A44,_book!$A$2:$A$379,bkc_lob,_book!$B$2:$B$379,bkc_bu)=0,"—",SUMIFS(_book!$DB$2:$DB$379,_book!$C$2:$C$379,$A44,_book!$A$2:$A$379,bkc_lob,_book!$B$2:$B$379,bkc_bu)/SUMIFS(_book!$CP$2:$CP$379,_book!$C$2:$C$379,$A44,_book!$A$2:$A$379,bkc_lob,_book!$B$2:$B$379,bkc_bu))</f>
        <v>1.7499408816019447E-2</v>
      </c>
      <c r="J44" s="78">
        <f>IF(SUMIFS(_book!$CQ$2:$CQ$379,_book!$C$2:$C$379,$A44,_book!$A$2:$A$379,bkc_lob,_book!$B$2:$B$379,bkc_bu)=0,"—",SUMIFS(_book!$DC$2:$DC$379,_book!$C$2:$C$379,$A44,_book!$A$2:$A$379,bkc_lob,_book!$B$2:$B$379,bkc_bu)/SUMIFS(_book!$CQ$2:$CQ$379,_book!$C$2:$C$379,$A44,_book!$A$2:$A$379,bkc_lob,_book!$B$2:$B$379,bkc_bu))</f>
        <v>1.7473750953330206E-2</v>
      </c>
      <c r="K44" s="78">
        <f>IF(SUMIFS(_book!$CR$2:$CR$379,_book!$C$2:$C$379,$A44,_book!$A$2:$A$379,bkc_lob,_book!$B$2:$B$379,bkc_bu)=0,"—",SUMIFS(_book!$DD$2:$DD$379,_book!$C$2:$C$379,$A44,_book!$A$2:$A$379,bkc_lob,_book!$B$2:$B$379,bkc_bu)/SUMIFS(_book!$CR$2:$CR$379,_book!$C$2:$C$379,$A44,_book!$A$2:$A$379,bkc_lob,_book!$B$2:$B$379,bkc_bu))</f>
        <v>1.7448168531706731E-2</v>
      </c>
      <c r="L44" s="78">
        <f>IF(SUMIFS(_book!$CS$2:$CS$379,_book!$C$2:$C$379,$A44,_book!$A$2:$A$379,bkc_lob,_book!$B$2:$B$379,bkc_bu)=0,"—",SUMIFS(_book!$DE$2:$DE$379,_book!$C$2:$C$379,$A44,_book!$A$2:$A$379,bkc_lob,_book!$B$2:$B$379,bkc_bu)/SUMIFS(_book!$CS$2:$CS$379,_book!$C$2:$C$379,$A44,_book!$A$2:$A$379,bkc_lob,_book!$B$2:$B$379,bkc_bu))</f>
        <v>1.7422661217546837E-2</v>
      </c>
      <c r="M44" s="78">
        <f>IF(SUMIFS(_book!$CT$2:$CT$379,_book!$C$2:$C$379,$A44,_book!$A$2:$A$379,bkc_lob,_book!$B$2:$B$379,bkc_bu)=0,"—",SUMIFS(_book!$DF$2:$DF$379,_book!$C$2:$C$379,$A44,_book!$A$2:$A$379,bkc_lob,_book!$B$2:$B$379,bkc_bu)/SUMIFS(_book!$CT$2:$CT$379,_book!$C$2:$C$379,$A44,_book!$A$2:$A$379,bkc_lob,_book!$B$2:$B$379,bkc_bu))</f>
        <v>1.7397228679219869E-2</v>
      </c>
    </row>
    <row r="45" spans="1:13" x14ac:dyDescent="0.3">
      <c r="A45" s="77" t="s">
        <v>78</v>
      </c>
      <c r="B45" s="78">
        <f>IF(SUMIFS(_book!$CI$2:$CI$379,_book!$C$2:$C$379,$A45,_book!$A$2:$A$379,bkc_lob,_book!$B$2:$B$379,bkc_bu)=0,"—",SUMIFS(_book!$CU$2:$CU$379,_book!$C$2:$C$379,$A45,_book!$A$2:$A$379,bkc_lob,_book!$B$2:$B$379,bkc_bu)/SUMIFS(_book!$CI$2:$CI$379,_book!$C$2:$C$379,$A45,_book!$A$2:$A$379,bkc_lob,_book!$B$2:$B$379,bkc_bu))</f>
        <v>0</v>
      </c>
      <c r="C45" s="78">
        <f>IF(SUMIFS(_book!$CJ$2:$CJ$379,_book!$C$2:$C$379,$A45,_book!$A$2:$A$379,bkc_lob,_book!$B$2:$B$379,bkc_bu)=0,"—",SUMIFS(_book!$CV$2:$CV$379,_book!$C$2:$C$379,$A45,_book!$A$2:$A$379,bkc_lob,_book!$B$2:$B$379,bkc_bu)/SUMIFS(_book!$CJ$2:$CJ$379,_book!$C$2:$C$379,$A45,_book!$A$2:$A$379,bkc_lob,_book!$B$2:$B$379,bkc_bu))</f>
        <v>0</v>
      </c>
      <c r="D45" s="78">
        <f>IF(SUMIFS(_book!$CK$2:$CK$379,_book!$C$2:$C$379,$A45,_book!$A$2:$A$379,bkc_lob,_book!$B$2:$B$379,bkc_bu)=0,"—",SUMIFS(_book!$CW$2:$CW$379,_book!$C$2:$C$379,$A45,_book!$A$2:$A$379,bkc_lob,_book!$B$2:$B$379,bkc_bu)/SUMIFS(_book!$CK$2:$CK$379,_book!$C$2:$C$379,$A45,_book!$A$2:$A$379,bkc_lob,_book!$B$2:$B$379,bkc_bu))</f>
        <v>0</v>
      </c>
      <c r="E45" s="78">
        <f>IF(SUMIFS(_book!$CL$2:$CL$379,_book!$C$2:$C$379,$A45,_book!$A$2:$A$379,bkc_lob,_book!$B$2:$B$379,bkc_bu)=0,"—",SUMIFS(_book!$CX$2:$CX$379,_book!$C$2:$C$379,$A45,_book!$A$2:$A$379,bkc_lob,_book!$B$2:$B$379,bkc_bu)/SUMIFS(_book!$CL$2:$CL$379,_book!$C$2:$C$379,$A45,_book!$A$2:$A$379,bkc_lob,_book!$B$2:$B$379,bkc_bu))</f>
        <v>0</v>
      </c>
      <c r="F45" s="78">
        <f>IF(SUMIFS(_book!$CM$2:$CM$379,_book!$C$2:$C$379,$A45,_book!$A$2:$A$379,bkc_lob,_book!$B$2:$B$379,bkc_bu)=0,"—",SUMIFS(_book!$CY$2:$CY$379,_book!$C$2:$C$379,$A45,_book!$A$2:$A$379,bkc_lob,_book!$B$2:$B$379,bkc_bu)/SUMIFS(_book!$CM$2:$CM$379,_book!$C$2:$C$379,$A45,_book!$A$2:$A$379,bkc_lob,_book!$B$2:$B$379,bkc_bu))</f>
        <v>0</v>
      </c>
      <c r="G45" s="78">
        <f>IF(SUMIFS(_book!$CN$2:$CN$379,_book!$C$2:$C$379,$A45,_book!$A$2:$A$379,bkc_lob,_book!$B$2:$B$379,bkc_bu)=0,"—",SUMIFS(_book!$CZ$2:$CZ$379,_book!$C$2:$C$379,$A45,_book!$A$2:$A$379,bkc_lob,_book!$B$2:$B$379,bkc_bu)/SUMIFS(_book!$CN$2:$CN$379,_book!$C$2:$C$379,$A45,_book!$A$2:$A$379,bkc_lob,_book!$B$2:$B$379,bkc_bu))</f>
        <v>0</v>
      </c>
      <c r="H45" s="78">
        <f>IF(SUMIFS(_book!$CO$2:$CO$379,_book!$C$2:$C$379,$A45,_book!$A$2:$A$379,bkc_lob,_book!$B$2:$B$379,bkc_bu)=0,"—",SUMIFS(_book!$DA$2:$DA$379,_book!$C$2:$C$379,$A45,_book!$A$2:$A$379,bkc_lob,_book!$B$2:$B$379,bkc_bu)/SUMIFS(_book!$CO$2:$CO$379,_book!$C$2:$C$379,$A45,_book!$A$2:$A$379,bkc_lob,_book!$B$2:$B$379,bkc_bu))</f>
        <v>0</v>
      </c>
      <c r="I45" s="78">
        <f>IF(SUMIFS(_book!$CP$2:$CP$379,_book!$C$2:$C$379,$A45,_book!$A$2:$A$379,bkc_lob,_book!$B$2:$B$379,bkc_bu)=0,"—",SUMIFS(_book!$DB$2:$DB$379,_book!$C$2:$C$379,$A45,_book!$A$2:$A$379,bkc_lob,_book!$B$2:$B$379,bkc_bu)/SUMIFS(_book!$CP$2:$CP$379,_book!$C$2:$C$379,$A45,_book!$A$2:$A$379,bkc_lob,_book!$B$2:$B$379,bkc_bu))</f>
        <v>0</v>
      </c>
      <c r="J45" s="78">
        <f>IF(SUMIFS(_book!$CQ$2:$CQ$379,_book!$C$2:$C$379,$A45,_book!$A$2:$A$379,bkc_lob,_book!$B$2:$B$379,bkc_bu)=0,"—",SUMIFS(_book!$DC$2:$DC$379,_book!$C$2:$C$379,$A45,_book!$A$2:$A$379,bkc_lob,_book!$B$2:$B$379,bkc_bu)/SUMIFS(_book!$CQ$2:$CQ$379,_book!$C$2:$C$379,$A45,_book!$A$2:$A$379,bkc_lob,_book!$B$2:$B$379,bkc_bu))</f>
        <v>0</v>
      </c>
      <c r="K45" s="78">
        <f>IF(SUMIFS(_book!$CR$2:$CR$379,_book!$C$2:$C$379,$A45,_book!$A$2:$A$379,bkc_lob,_book!$B$2:$B$379,bkc_bu)=0,"—",SUMIFS(_book!$DD$2:$DD$379,_book!$C$2:$C$379,$A45,_book!$A$2:$A$379,bkc_lob,_book!$B$2:$B$379,bkc_bu)/SUMIFS(_book!$CR$2:$CR$379,_book!$C$2:$C$379,$A45,_book!$A$2:$A$379,bkc_lob,_book!$B$2:$B$379,bkc_bu))</f>
        <v>0</v>
      </c>
      <c r="L45" s="78">
        <f>IF(SUMIFS(_book!$CS$2:$CS$379,_book!$C$2:$C$379,$A45,_book!$A$2:$A$379,bkc_lob,_book!$B$2:$B$379,bkc_bu)=0,"—",SUMIFS(_book!$DE$2:$DE$379,_book!$C$2:$C$379,$A45,_book!$A$2:$A$379,bkc_lob,_book!$B$2:$B$379,bkc_bu)/SUMIFS(_book!$CS$2:$CS$379,_book!$C$2:$C$379,$A45,_book!$A$2:$A$379,bkc_lob,_book!$B$2:$B$379,bkc_bu))</f>
        <v>0</v>
      </c>
      <c r="M45" s="78">
        <f>IF(SUMIFS(_book!$CT$2:$CT$379,_book!$C$2:$C$379,$A45,_book!$A$2:$A$379,bkc_lob,_book!$B$2:$B$379,bkc_bu)=0,"—",SUMIFS(_book!$DF$2:$DF$379,_book!$C$2:$C$379,$A45,_book!$A$2:$A$379,bkc_lob,_book!$B$2:$B$379,bkc_bu)/SUMIFS(_book!$CT$2:$CT$379,_book!$C$2:$C$379,$A45,_book!$A$2:$A$379,bkc_lob,_book!$B$2:$B$379,bkc_bu))</f>
        <v>0</v>
      </c>
    </row>
    <row r="46" spans="1:13" x14ac:dyDescent="0.3">
      <c r="A46" s="77" t="s">
        <v>80</v>
      </c>
      <c r="B46" s="78">
        <f>IF(SUMIFS(_book!$CI$2:$CI$379,_book!$C$2:$C$379,$A46,_book!$A$2:$A$379,bkc_lob,_book!$B$2:$B$379,bkc_bu)=0,"—",SUMIFS(_book!$CU$2:$CU$379,_book!$C$2:$C$379,$A46,_book!$A$2:$A$379,bkc_lob,_book!$B$2:$B$379,bkc_bu)/SUMIFS(_book!$CI$2:$CI$379,_book!$C$2:$C$379,$A46,_book!$A$2:$A$379,bkc_lob,_book!$B$2:$B$379,bkc_bu))</f>
        <v>1.321850566043902E-2</v>
      </c>
      <c r="C46" s="78">
        <f>IF(SUMIFS(_book!$CJ$2:$CJ$379,_book!$C$2:$C$379,$A46,_book!$A$2:$A$379,bkc_lob,_book!$B$2:$B$379,bkc_bu)=0,"—",SUMIFS(_book!$CV$2:$CV$379,_book!$C$2:$C$379,$A46,_book!$A$2:$A$379,bkc_lob,_book!$B$2:$B$379,bkc_bu)/SUMIFS(_book!$CJ$2:$CJ$379,_book!$C$2:$C$379,$A46,_book!$A$2:$A$379,bkc_lob,_book!$B$2:$B$379,bkc_bu))</f>
        <v>1.3204339280806224E-2</v>
      </c>
      <c r="D46" s="78">
        <f>IF(SUMIFS(_book!$CK$2:$CK$379,_book!$C$2:$C$379,$A46,_book!$A$2:$A$379,bkc_lob,_book!$B$2:$B$379,bkc_bu)=0,"—",SUMIFS(_book!$CW$2:$CW$379,_book!$C$2:$C$379,$A46,_book!$A$2:$A$379,bkc_lob,_book!$B$2:$B$379,bkc_bu)/SUMIFS(_book!$CK$2:$CK$379,_book!$C$2:$C$379,$A46,_book!$A$2:$A$379,bkc_lob,_book!$B$2:$B$379,bkc_bu))</f>
        <v>1.3190203360859278E-2</v>
      </c>
      <c r="E46" s="78">
        <f>IF(SUMIFS(_book!$CL$2:$CL$379,_book!$C$2:$C$379,$A46,_book!$A$2:$A$379,bkc_lob,_book!$B$2:$B$379,bkc_bu)=0,"—",SUMIFS(_book!$CX$2:$CX$379,_book!$C$2:$C$379,$A46,_book!$A$2:$A$379,bkc_lob,_book!$B$2:$B$379,bkc_bu)/SUMIFS(_book!$CL$2:$CL$379,_book!$C$2:$C$379,$A46,_book!$A$2:$A$379,bkc_lob,_book!$B$2:$B$379,bkc_bu))</f>
        <v>1.3175620178392237E-2</v>
      </c>
      <c r="F46" s="78">
        <f>IF(SUMIFS(_book!$CM$2:$CM$379,_book!$C$2:$C$379,$A46,_book!$A$2:$A$379,bkc_lob,_book!$B$2:$B$379,bkc_bu)=0,"—",SUMIFS(_book!$CY$2:$CY$379,_book!$C$2:$C$379,$A46,_book!$A$2:$A$379,bkc_lob,_book!$B$2:$B$379,bkc_bu)/SUMIFS(_book!$CM$2:$CM$379,_book!$C$2:$C$379,$A46,_book!$A$2:$A$379,bkc_lob,_book!$B$2:$B$379,bkc_bu))</f>
        <v>1.3161069341912033E-2</v>
      </c>
      <c r="G46" s="78">
        <f>IF(SUMIFS(_book!$CN$2:$CN$379,_book!$C$2:$C$379,$A46,_book!$A$2:$A$379,bkc_lob,_book!$B$2:$B$379,bkc_bu)=0,"—",SUMIFS(_book!$CZ$2:$CZ$379,_book!$C$2:$C$379,$A46,_book!$A$2:$A$379,bkc_lob,_book!$B$2:$B$379,bkc_bu)/SUMIFS(_book!$CN$2:$CN$379,_book!$C$2:$C$379,$A46,_book!$A$2:$A$379,bkc_lob,_book!$B$2:$B$379,bkc_bu))</f>
        <v>1.3146550743473958E-2</v>
      </c>
      <c r="H46" s="78">
        <f>IF(SUMIFS(_book!$CO$2:$CO$379,_book!$C$2:$C$379,$A46,_book!$A$2:$A$379,bkc_lob,_book!$B$2:$B$379,bkc_bu)=0,"—",SUMIFS(_book!$DA$2:$DA$379,_book!$C$2:$C$379,$A46,_book!$A$2:$A$379,bkc_lob,_book!$B$2:$B$379,bkc_bu)/SUMIFS(_book!$CO$2:$CO$379,_book!$C$2:$C$379,$A46,_book!$A$2:$A$379,bkc_lob,_book!$B$2:$B$379,bkc_bu))</f>
        <v>1.3132064275615408E-2</v>
      </c>
      <c r="I46" s="78">
        <f>IF(SUMIFS(_book!$CP$2:$CP$379,_book!$C$2:$C$379,$A46,_book!$A$2:$A$379,bkc_lob,_book!$B$2:$B$379,bkc_bu)=0,"—",SUMIFS(_book!$DB$2:$DB$379,_book!$C$2:$C$379,$A46,_book!$A$2:$A$379,bkc_lob,_book!$B$2:$B$379,bkc_bu)/SUMIFS(_book!$CP$2:$CP$379,_book!$C$2:$C$379,$A46,_book!$A$2:$A$379,bkc_lob,_book!$B$2:$B$379,bkc_bu))</f>
        <v>1.3117373139444341E-2</v>
      </c>
      <c r="J46" s="78">
        <f>IF(SUMIFS(_book!$CQ$2:$CQ$379,_book!$C$2:$C$379,$A46,_book!$A$2:$A$379,bkc_lob,_book!$B$2:$B$379,bkc_bu)=0,"—",SUMIFS(_book!$DC$2:$DC$379,_book!$C$2:$C$379,$A46,_book!$A$2:$A$379,bkc_lob,_book!$B$2:$B$379,bkc_bu)/SUMIFS(_book!$CQ$2:$CQ$379,_book!$C$2:$C$379,$A46,_book!$A$2:$A$379,bkc_lob,_book!$B$2:$B$379,bkc_bu))</f>
        <v>1.3102951134615822E-2</v>
      </c>
      <c r="K46" s="78">
        <f>IF(SUMIFS(_book!$CR$2:$CR$379,_book!$C$2:$C$379,$A46,_book!$A$2:$A$379,bkc_lob,_book!$B$2:$B$379,bkc_bu)=0,"—",SUMIFS(_book!$DD$2:$DD$379,_book!$C$2:$C$379,$A46,_book!$A$2:$A$379,bkc_lob,_book!$B$2:$B$379,bkc_bu)/SUMIFS(_book!$CR$2:$CR$379,_book!$C$2:$C$379,$A46,_book!$A$2:$A$379,bkc_lob,_book!$B$2:$B$379,bkc_bu))</f>
        <v>1.3088560939107496E-2</v>
      </c>
      <c r="L46" s="78">
        <f>IF(SUMIFS(_book!$CS$2:$CS$379,_book!$C$2:$C$379,$A46,_book!$A$2:$A$379,bkc_lob,_book!$B$2:$B$379,bkc_bu)=0,"—",SUMIFS(_book!$DE$2:$DE$379,_book!$C$2:$C$379,$A46,_book!$A$2:$A$379,bkc_lob,_book!$B$2:$B$379,bkc_bu)/SUMIFS(_book!$CS$2:$CS$379,_book!$C$2:$C$379,$A46,_book!$A$2:$A$379,bkc_lob,_book!$B$2:$B$379,bkc_bu))</f>
        <v>1.307420244736433E-2</v>
      </c>
      <c r="M46" s="78">
        <f>IF(SUMIFS(_book!$CT$2:$CT$379,_book!$C$2:$C$379,$A46,_book!$A$2:$A$379,bkc_lob,_book!$B$2:$B$379,bkc_bu)=0,"—",SUMIFS(_book!$DF$2:$DF$379,_book!$C$2:$C$379,$A46,_book!$A$2:$A$379,bkc_lob,_book!$B$2:$B$379,bkc_bu)/SUMIFS(_book!$CT$2:$CT$379,_book!$C$2:$C$379,$A46,_book!$A$2:$A$379,bkc_lob,_book!$B$2:$B$379,bkc_bu))</f>
        <v>1.3059875554300058E-2</v>
      </c>
    </row>
    <row r="47" spans="1:13" x14ac:dyDescent="0.3">
      <c r="A47" s="77" t="s">
        <v>82</v>
      </c>
      <c r="B47" s="78">
        <f>IF(SUMIFS(_book!$CI$2:$CI$379,_book!$C$2:$C$379,$A47,_book!$A$2:$A$379,bkc_lob,_book!$B$2:$B$379,bkc_bu)=0,"—",SUMIFS(_book!$CU$2:$CU$379,_book!$C$2:$C$379,$A47,_book!$A$2:$A$379,bkc_lob,_book!$B$2:$B$379,bkc_bu)/SUMIFS(_book!$CI$2:$CI$379,_book!$C$2:$C$379,$A47,_book!$A$2:$A$379,bkc_lob,_book!$B$2:$B$379,bkc_bu))</f>
        <v>-4.3518325555416829E-3</v>
      </c>
      <c r="C47" s="78">
        <f>IF(SUMIFS(_book!$CJ$2:$CJ$379,_book!$C$2:$C$379,$A47,_book!$A$2:$A$379,bkc_lob,_book!$B$2:$B$379,bkc_bu)=0,"—",SUMIFS(_book!$CV$2:$CV$379,_book!$C$2:$C$379,$A47,_book!$A$2:$A$379,bkc_lob,_book!$B$2:$B$379,bkc_bu)/SUMIFS(_book!$CJ$2:$CJ$379,_book!$C$2:$C$379,$A47,_book!$A$2:$A$379,bkc_lob,_book!$B$2:$B$379,bkc_bu))</f>
        <v>-4.3533700557327158E-3</v>
      </c>
      <c r="D47" s="78">
        <f>IF(SUMIFS(_book!$CK$2:$CK$379,_book!$C$2:$C$379,$A47,_book!$A$2:$A$379,bkc_lob,_book!$B$2:$B$379,bkc_bu)=0,"—",SUMIFS(_book!$CW$2:$CW$379,_book!$C$2:$C$379,$A47,_book!$A$2:$A$379,bkc_lob,_book!$B$2:$B$379,bkc_bu)/SUMIFS(_book!$CK$2:$CK$379,_book!$C$2:$C$379,$A47,_book!$A$2:$A$379,bkc_lob,_book!$B$2:$B$379,bkc_bu))</f>
        <v>-4.3549086471940347E-3</v>
      </c>
      <c r="E47" s="78">
        <f>IF(SUMIFS(_book!$CL$2:$CL$379,_book!$C$2:$C$379,$A47,_book!$A$2:$A$379,bkc_lob,_book!$B$2:$B$379,bkc_bu)=0,"—",SUMIFS(_book!$CX$2:$CX$379,_book!$C$2:$C$379,$A47,_book!$A$2:$A$379,bkc_lob,_book!$B$2:$B$379,bkc_bu)/SUMIFS(_book!$CL$2:$CL$379,_book!$C$2:$C$379,$A47,_book!$A$2:$A$379,bkc_lob,_book!$B$2:$B$379,bkc_bu))</f>
        <v>-4.356500542924577E-3</v>
      </c>
      <c r="F47" s="78">
        <f>IF(SUMIFS(_book!$CM$2:$CM$379,_book!$C$2:$C$379,$A47,_book!$A$2:$A$379,bkc_lob,_book!$B$2:$B$379,bkc_bu)=0,"—",SUMIFS(_book!$CY$2:$CY$379,_book!$C$2:$C$379,$A47,_book!$A$2:$A$379,bkc_lob,_book!$B$2:$B$379,bkc_bu)/SUMIFS(_book!$CM$2:$CM$379,_book!$C$2:$C$379,$A47,_book!$A$2:$A$379,bkc_lob,_book!$B$2:$B$379,bkc_bu))</f>
        <v>-4.3580936077029751E-3</v>
      </c>
      <c r="G47" s="78">
        <f>IF(SUMIFS(_book!$CN$2:$CN$379,_book!$C$2:$C$379,$A47,_book!$A$2:$A$379,bkc_lob,_book!$B$2:$B$379,bkc_bu)=0,"—",SUMIFS(_book!$CZ$2:$CZ$379,_book!$C$2:$C$379,$A47,_book!$A$2:$A$379,bkc_lob,_book!$B$2:$B$379,bkc_bu)/SUMIFS(_book!$CN$2:$CN$379,_book!$C$2:$C$379,$A47,_book!$A$2:$A$379,bkc_lob,_book!$B$2:$B$379,bkc_bu))</f>
        <v>-4.3596878428227214E-3</v>
      </c>
      <c r="H47" s="78">
        <f>IF(SUMIFS(_book!$CO$2:$CO$379,_book!$C$2:$C$379,$A47,_book!$A$2:$A$379,bkc_lob,_book!$B$2:$B$379,bkc_bu)=0,"—",SUMIFS(_book!$DA$2:$DA$379,_book!$C$2:$C$379,$A47,_book!$A$2:$A$379,bkc_lob,_book!$B$2:$B$379,bkc_bu)/SUMIFS(_book!$CO$2:$CO$379,_book!$C$2:$C$379,$A47,_book!$A$2:$A$379,bkc_lob,_book!$B$2:$B$379,bkc_bu))</f>
        <v>-4.3612832495793811E-3</v>
      </c>
      <c r="I47" s="78">
        <f>IF(SUMIFS(_book!$CP$2:$CP$379,_book!$C$2:$C$379,$A47,_book!$A$2:$A$379,bkc_lob,_book!$B$2:$B$379,bkc_bu)=0,"—",SUMIFS(_book!$DB$2:$DB$379,_book!$C$2:$C$379,$A47,_book!$A$2:$A$379,bkc_lob,_book!$B$2:$B$379,bkc_bu)/SUMIFS(_book!$CP$2:$CP$379,_book!$C$2:$C$379,$A47,_book!$A$2:$A$379,bkc_lob,_book!$B$2:$B$379,bkc_bu))</f>
        <v>-4.3629060124868819E-3</v>
      </c>
      <c r="J47" s="78">
        <f>IF(SUMIFS(_book!$CQ$2:$CQ$379,_book!$C$2:$C$379,$A47,_book!$A$2:$A$379,bkc_lob,_book!$B$2:$B$379,bkc_bu)=0,"—",SUMIFS(_book!$DC$2:$DC$379,_book!$C$2:$C$379,$A47,_book!$A$2:$A$379,bkc_lob,_book!$B$2:$B$379,bkc_bu)/SUMIFS(_book!$CQ$2:$CQ$379,_book!$C$2:$C$379,$A47,_book!$A$2:$A$379,bkc_lob,_book!$B$2:$B$379,bkc_bu))</f>
        <v>-4.3645037856719663E-3</v>
      </c>
      <c r="K47" s="78">
        <f>IF(SUMIFS(_book!$CR$2:$CR$379,_book!$C$2:$C$379,$A47,_book!$A$2:$A$379,bkc_lob,_book!$B$2:$B$379,bkc_bu)=0,"—",SUMIFS(_book!$DD$2:$DD$379,_book!$C$2:$C$379,$A47,_book!$A$2:$A$379,bkc_lob,_book!$B$2:$B$379,bkc_bu)/SUMIFS(_book!$CR$2:$CR$379,_book!$C$2:$C$379,$A47,_book!$A$2:$A$379,bkc_lob,_book!$B$2:$B$379,bkc_bu))</f>
        <v>-4.3661027344129898E-3</v>
      </c>
      <c r="L47" s="78">
        <f>IF(SUMIFS(_book!$CS$2:$CS$379,_book!$C$2:$C$379,$A47,_book!$A$2:$A$379,bkc_lob,_book!$B$2:$B$379,bkc_bu)=0,"—",SUMIFS(_book!$DE$2:$DE$379,_book!$C$2:$C$379,$A47,_book!$A$2:$A$379,bkc_lob,_book!$B$2:$B$379,bkc_bu)/SUMIFS(_book!$CS$2:$CS$379,_book!$C$2:$C$379,$A47,_book!$A$2:$A$379,bkc_lob,_book!$B$2:$B$379,bkc_bu))</f>
        <v>-4.3677028600134626E-3</v>
      </c>
      <c r="M47" s="78">
        <f>IF(SUMIFS(_book!$CT$2:$CT$379,_book!$C$2:$C$379,$A47,_book!$A$2:$A$379,bkc_lob,_book!$B$2:$B$379,bkc_bu)=0,"—",SUMIFS(_book!$DF$2:$DF$379,_book!$C$2:$C$379,$A47,_book!$A$2:$A$379,bkc_lob,_book!$B$2:$B$379,bkc_bu)/SUMIFS(_book!$CT$2:$CT$379,_book!$C$2:$C$379,$A47,_book!$A$2:$A$379,bkc_lob,_book!$B$2:$B$379,bkc_bu))</f>
        <v>-4.369304163778418E-3</v>
      </c>
    </row>
    <row r="48" spans="1:13" x14ac:dyDescent="0.3">
      <c r="A48" s="77" t="s">
        <v>85</v>
      </c>
      <c r="B48" s="78">
        <f>IF(SUMIFS(_book!$CI$2:$CI$379,_book!$C$2:$C$379,$A48,_book!$A$2:$A$379,bkc_lob,_book!$B$2:$B$379,bkc_bu)=0,"—",SUMIFS(_book!$CU$2:$CU$379,_book!$C$2:$C$379,$A48,_book!$A$2:$A$379,bkc_lob,_book!$B$2:$B$379,bkc_bu)/SUMIFS(_book!$CI$2:$CI$379,_book!$C$2:$C$379,$A48,_book!$A$2:$A$379,bkc_lob,_book!$B$2:$B$379,bkc_bu))</f>
        <v>8.7849144234523752E-3</v>
      </c>
      <c r="C48" s="78">
        <f>IF(SUMIFS(_book!$CJ$2:$CJ$379,_book!$C$2:$C$379,$A48,_book!$A$2:$A$379,bkc_lob,_book!$B$2:$B$379,bkc_bu)=0,"—",SUMIFS(_book!$CV$2:$CV$379,_book!$C$2:$C$379,$A48,_book!$A$2:$A$379,bkc_lob,_book!$B$2:$B$379,bkc_bu)/SUMIFS(_book!$CJ$2:$CJ$379,_book!$C$2:$C$379,$A48,_book!$A$2:$A$379,bkc_lob,_book!$B$2:$B$379,bkc_bu))</f>
        <v>8.7786552840536883E-3</v>
      </c>
      <c r="D48" s="78">
        <f>IF(SUMIFS(_book!$CK$2:$CK$379,_book!$C$2:$C$379,$A48,_book!$A$2:$A$379,bkc_lob,_book!$B$2:$B$379,bkc_bu)=0,"—",SUMIFS(_book!$CW$2:$CW$379,_book!$C$2:$C$379,$A48,_book!$A$2:$A$379,bkc_lob,_book!$B$2:$B$379,bkc_bu)/SUMIFS(_book!$CK$2:$CK$379,_book!$C$2:$C$379,$A48,_book!$A$2:$A$379,bkc_lob,_book!$B$2:$B$379,bkc_bu))</f>
        <v>8.7724050947757468E-3</v>
      </c>
      <c r="E48" s="78">
        <f>IF(SUMIFS(_book!$CL$2:$CL$379,_book!$C$2:$C$379,$A48,_book!$A$2:$A$379,bkc_lob,_book!$B$2:$B$379,bkc_bu)=0,"—",SUMIFS(_book!$CX$2:$CX$379,_book!$C$2:$C$379,$A48,_book!$A$2:$A$379,bkc_lob,_book!$B$2:$B$379,bkc_bu)/SUMIFS(_book!$CL$2:$CL$379,_book!$C$2:$C$379,$A48,_book!$A$2:$A$379,bkc_lob,_book!$B$2:$B$379,bkc_bu))</f>
        <v>8.7659524245464644E-3</v>
      </c>
      <c r="F48" s="78">
        <f>IF(SUMIFS(_book!$CM$2:$CM$379,_book!$C$2:$C$379,$A48,_book!$A$2:$A$379,bkc_lob,_book!$B$2:$B$379,bkc_bu)=0,"—",SUMIFS(_book!$CY$2:$CY$379,_book!$C$2:$C$379,$A48,_book!$A$2:$A$379,bkc_lob,_book!$B$2:$B$379,bkc_bu)/SUMIFS(_book!$CM$2:$CM$379,_book!$C$2:$C$379,$A48,_book!$A$2:$A$379,bkc_lob,_book!$B$2:$B$379,bkc_bu))</f>
        <v>8.7595092796923252E-3</v>
      </c>
      <c r="G48" s="78">
        <f>IF(SUMIFS(_book!$CN$2:$CN$379,_book!$C$2:$C$379,$A48,_book!$A$2:$A$379,bkc_lob,_book!$B$2:$B$379,bkc_bu)=0,"—",SUMIFS(_book!$CZ$2:$CZ$379,_book!$C$2:$C$379,$A48,_book!$A$2:$A$379,bkc_lob,_book!$B$2:$B$379,bkc_bu)/SUMIFS(_book!$CN$2:$CN$379,_book!$C$2:$C$379,$A48,_book!$A$2:$A$379,bkc_lob,_book!$B$2:$B$379,bkc_bu))</f>
        <v>8.7530756390496317E-3</v>
      </c>
      <c r="H48" s="78">
        <f>IF(SUMIFS(_book!$CO$2:$CO$379,_book!$C$2:$C$379,$A48,_book!$A$2:$A$379,bkc_lob,_book!$B$2:$B$379,bkc_bu)=0,"—",SUMIFS(_book!$DA$2:$DA$379,_book!$C$2:$C$379,$A48,_book!$A$2:$A$379,bkc_lob,_book!$B$2:$B$379,bkc_bu)/SUMIFS(_book!$CO$2:$CO$379,_book!$C$2:$C$379,$A48,_book!$A$2:$A$379,bkc_lob,_book!$B$2:$B$379,bkc_bu))</f>
        <v>8.7466514815174277E-3</v>
      </c>
      <c r="I48" s="78">
        <f>IF(SUMIFS(_book!$CP$2:$CP$379,_book!$C$2:$C$379,$A48,_book!$A$2:$A$379,bkc_lob,_book!$B$2:$B$379,bkc_bu)=0,"—",SUMIFS(_book!$DB$2:$DB$379,_book!$C$2:$C$379,$A48,_book!$A$2:$A$379,bkc_lob,_book!$B$2:$B$379,bkc_bu)/SUMIFS(_book!$CP$2:$CP$379,_book!$C$2:$C$379,$A48,_book!$A$2:$A$379,bkc_lob,_book!$B$2:$B$379,bkc_bu))</f>
        <v>8.7401317058275162E-3</v>
      </c>
      <c r="J48" s="78">
        <f>IF(SUMIFS(_book!$CQ$2:$CQ$379,_book!$C$2:$C$379,$A48,_book!$A$2:$A$379,bkc_lob,_book!$B$2:$B$379,bkc_bu)=0,"—",SUMIFS(_book!$DC$2:$DC$379,_book!$C$2:$C$379,$A48,_book!$A$2:$A$379,bkc_lob,_book!$B$2:$B$379,bkc_bu)/SUMIFS(_book!$CQ$2:$CQ$379,_book!$C$2:$C$379,$A48,_book!$A$2:$A$379,bkc_lob,_book!$B$2:$B$379,bkc_bu))</f>
        <v>8.7337266060616755E-3</v>
      </c>
      <c r="K48" s="78">
        <f>IF(SUMIFS(_book!$CR$2:$CR$379,_book!$C$2:$C$379,$A48,_book!$A$2:$A$379,bkc_lob,_book!$B$2:$B$379,bkc_bu)=0,"—",SUMIFS(_book!$DD$2:$DD$379,_book!$C$2:$C$379,$A48,_book!$A$2:$A$379,bkc_lob,_book!$B$2:$B$379,bkc_bu)/SUMIFS(_book!$CR$2:$CR$379,_book!$C$2:$C$379,$A48,_book!$A$2:$A$379,bkc_lob,_book!$B$2:$B$379,bkc_bu))</f>
        <v>8.7273309261366016E-3</v>
      </c>
      <c r="L48" s="78">
        <f>IF(SUMIFS(_book!$CS$2:$CS$379,_book!$C$2:$C$379,$A48,_book!$A$2:$A$379,bkc_lob,_book!$B$2:$B$379,bkc_bu)=0,"—",SUMIFS(_book!$DE$2:$DE$379,_book!$C$2:$C$379,$A48,_book!$A$2:$A$379,bkc_lob,_book!$B$2:$B$379,bkc_bu)/SUMIFS(_book!$CS$2:$CS$379,_book!$C$2:$C$379,$A48,_book!$A$2:$A$379,bkc_lob,_book!$B$2:$B$379,bkc_bu))</f>
        <v>8.7209446452013537E-3</v>
      </c>
      <c r="M48" s="78">
        <f>IF(SUMIFS(_book!$CT$2:$CT$379,_book!$C$2:$C$379,$A48,_book!$A$2:$A$379,bkc_lob,_book!$B$2:$B$379,bkc_bu)=0,"—",SUMIFS(_book!$DF$2:$DF$379,_book!$C$2:$C$379,$A48,_book!$A$2:$A$379,bkc_lob,_book!$B$2:$B$379,bkc_bu)/SUMIFS(_book!$CT$2:$CT$379,_book!$C$2:$C$379,$A48,_book!$A$2:$A$379,bkc_lob,_book!$B$2:$B$379,bkc_bu))</f>
        <v>8.7145677424676077E-3</v>
      </c>
    </row>
    <row r="49" spans="1:13" x14ac:dyDescent="0.3">
      <c r="A49" s="77" t="s">
        <v>87</v>
      </c>
      <c r="B49" s="78">
        <f>IF(SUMIFS(_book!$CI$2:$CI$379,_book!$C$2:$C$379,$A49,_book!$A$2:$A$379,bkc_lob,_book!$B$2:$B$379,bkc_bu)=0,"—",SUMIFS(_book!$CU$2:$CU$379,_book!$C$2:$C$379,$A49,_book!$A$2:$A$379,bkc_lob,_book!$B$2:$B$379,bkc_bu)/SUMIFS(_book!$CI$2:$CI$379,_book!$C$2:$C$379,$A49,_book!$A$2:$A$379,bkc_lob,_book!$B$2:$B$379,bkc_bu))</f>
        <v>-8.6769163248764988E-3</v>
      </c>
      <c r="C49" s="78">
        <f>IF(SUMIFS(_book!$CJ$2:$CJ$379,_book!$C$2:$C$379,$A49,_book!$A$2:$A$379,bkc_lob,_book!$B$2:$B$379,bkc_bu)=0,"—",SUMIFS(_book!$CV$2:$CV$379,_book!$C$2:$C$379,$A49,_book!$A$2:$A$379,bkc_lob,_book!$B$2:$B$379,bkc_bu)/SUMIFS(_book!$CJ$2:$CJ$379,_book!$C$2:$C$379,$A49,_book!$A$2:$A$379,bkc_lob,_book!$B$2:$B$379,bkc_bu))</f>
        <v>-8.6830305831674445E-3</v>
      </c>
      <c r="D49" s="78">
        <f>IF(SUMIFS(_book!$CK$2:$CK$379,_book!$C$2:$C$379,$A49,_book!$A$2:$A$379,bkc_lob,_book!$B$2:$B$379,bkc_bu)=0,"—",SUMIFS(_book!$CW$2:$CW$379,_book!$C$2:$C$379,$A49,_book!$A$2:$A$379,bkc_lob,_book!$B$2:$B$379,bkc_bu)/SUMIFS(_book!$CK$2:$CK$379,_book!$C$2:$C$379,$A49,_book!$A$2:$A$379,bkc_lob,_book!$B$2:$B$379,bkc_bu))</f>
        <v>-8.6891534999153225E-3</v>
      </c>
      <c r="E49" s="78">
        <f>IF(SUMIFS(_book!$CL$2:$CL$379,_book!$C$2:$C$379,$A49,_book!$A$2:$A$379,bkc_lob,_book!$B$2:$B$379,bkc_bu)=0,"—",SUMIFS(_book!$CX$2:$CX$379,_book!$C$2:$C$379,$A49,_book!$A$2:$A$379,bkc_lob,_book!$B$2:$B$379,bkc_bu)/SUMIFS(_book!$CL$2:$CL$379,_book!$C$2:$C$379,$A49,_book!$A$2:$A$379,bkc_lob,_book!$B$2:$B$379,bkc_bu))</f>
        <v>-8.6954930965059511E-3</v>
      </c>
      <c r="F49" s="78">
        <f>IF(SUMIFS(_book!$CM$2:$CM$379,_book!$C$2:$C$379,$A49,_book!$A$2:$A$379,bkc_lob,_book!$B$2:$B$379,bkc_bu)=0,"—",SUMIFS(_book!$CY$2:$CY$379,_book!$C$2:$C$379,$A49,_book!$A$2:$A$379,bkc_lob,_book!$B$2:$B$379,bkc_bu)/SUMIFS(_book!$CM$2:$CM$379,_book!$C$2:$C$379,$A49,_book!$A$2:$A$379,bkc_lob,_book!$B$2:$B$379,bkc_bu))</f>
        <v>-8.7018419887552722E-3</v>
      </c>
      <c r="G49" s="78">
        <f>IF(SUMIFS(_book!$CN$2:$CN$379,_book!$C$2:$C$379,$A49,_book!$A$2:$A$379,bkc_lob,_book!$B$2:$B$379,bkc_bu)=0,"—",SUMIFS(_book!$CZ$2:$CZ$379,_book!$C$2:$C$379,$A49,_book!$A$2:$A$379,bkc_lob,_book!$B$2:$B$379,bkc_bu)/SUMIFS(_book!$CN$2:$CN$379,_book!$C$2:$C$379,$A49,_book!$A$2:$A$379,bkc_lob,_book!$B$2:$B$379,bkc_bu))</f>
        <v>-8.7082001972074458E-3</v>
      </c>
      <c r="H49" s="78">
        <f>IF(SUMIFS(_book!$CO$2:$CO$379,_book!$C$2:$C$379,$A49,_book!$A$2:$A$379,bkc_lob,_book!$B$2:$B$379,bkc_bu)=0,"—",SUMIFS(_book!$DA$2:$DA$379,_book!$C$2:$C$379,$A49,_book!$A$2:$A$379,bkc_lob,_book!$B$2:$B$379,bkc_bu)/SUMIFS(_book!$CO$2:$CO$379,_book!$C$2:$C$379,$A49,_book!$A$2:$A$379,bkc_lob,_book!$B$2:$B$379,bkc_bu))</f>
        <v>-8.7145677424674221E-3</v>
      </c>
      <c r="I49" s="78">
        <f>IF(SUMIFS(_book!$CP$2:$CP$379,_book!$C$2:$C$379,$A49,_book!$A$2:$A$379,bkc_lob,_book!$B$2:$B$379,bkc_bu)=0,"—",SUMIFS(_book!$DB$2:$DB$379,_book!$C$2:$C$379,$A49,_book!$A$2:$A$379,bkc_lob,_book!$B$2:$B$379,bkc_bu)/SUMIFS(_book!$CP$2:$CP$379,_book!$C$2:$C$379,$A49,_book!$A$2:$A$379,bkc_lob,_book!$B$2:$B$379,bkc_bu))</f>
        <v>-8.7210492626645132E-3</v>
      </c>
      <c r="J49" s="78">
        <f>IF(SUMIFS(_book!$CQ$2:$CQ$379,_book!$C$2:$C$379,$A49,_book!$A$2:$A$379,bkc_lob,_book!$B$2:$B$379,bkc_bu)=0,"—",SUMIFS(_book!$DC$2:$DC$379,_book!$C$2:$C$379,$A49,_book!$A$2:$A$379,bkc_lob,_book!$B$2:$B$379,bkc_bu)/SUMIFS(_book!$CQ$2:$CQ$379,_book!$C$2:$C$379,$A49,_book!$A$2:$A$379,bkc_lob,_book!$B$2:$B$379,bkc_bu))</f>
        <v>-8.7274356975135092E-3</v>
      </c>
      <c r="K49" s="78">
        <f>IF(SUMIFS(_book!$CR$2:$CR$379,_book!$C$2:$C$379,$A49,_book!$A$2:$A$379,bkc_lob,_book!$B$2:$B$379,bkc_bu)=0,"—",SUMIFS(_book!$DD$2:$DD$379,_book!$C$2:$C$379,$A49,_book!$A$2:$A$379,bkc_lob,_book!$B$2:$B$379,bkc_bu)/SUMIFS(_book!$CR$2:$CR$379,_book!$C$2:$C$379,$A49,_book!$A$2:$A$379,bkc_lob,_book!$B$2:$B$379,bkc_bu))</f>
        <v>-8.7338315316941549E-3</v>
      </c>
      <c r="L49" s="78">
        <f>IF(SUMIFS(_book!$CS$2:$CS$379,_book!$C$2:$C$379,$A49,_book!$A$2:$A$379,bkc_lob,_book!$B$2:$B$379,bkc_bu)=0,"—",SUMIFS(_book!$DE$2:$DE$379,_book!$C$2:$C$379,$A49,_book!$A$2:$A$379,bkc_lob,_book!$B$2:$B$379,bkc_bu)/SUMIFS(_book!$CS$2:$CS$379,_book!$C$2:$C$379,$A49,_book!$A$2:$A$379,bkc_lob,_book!$B$2:$B$379,bkc_bu))</f>
        <v>-8.7402367860574641E-3</v>
      </c>
      <c r="M49" s="78">
        <f>IF(SUMIFS(_book!$CT$2:$CT$379,_book!$C$2:$C$379,$A49,_book!$A$2:$A$379,bkc_lob,_book!$B$2:$B$379,bkc_bu)=0,"—",SUMIFS(_book!$DF$2:$DF$379,_book!$C$2:$C$379,$A49,_book!$A$2:$A$379,bkc_lob,_book!$B$2:$B$379,bkc_bu)/SUMIFS(_book!$CT$2:$CT$379,_book!$C$2:$C$379,$A49,_book!$A$2:$A$379,bkc_lob,_book!$B$2:$B$379,bkc_bu))</f>
        <v>-8.7466514815175075E-3</v>
      </c>
    </row>
    <row r="50" spans="1:13" x14ac:dyDescent="0.3">
      <c r="A50" s="77" t="s">
        <v>89</v>
      </c>
      <c r="B50" s="78">
        <f>IF(SUMIFS(_book!$CI$2:$CI$379,_book!$C$2:$C$379,$A50,_book!$A$2:$A$379,bkc_lob,_book!$B$2:$B$379,bkc_bu)=0,"—",SUMIFS(_book!$CU$2:$CU$379,_book!$C$2:$C$379,$A50,_book!$A$2:$A$379,bkc_lob,_book!$B$2:$B$379,bkc_bu)/SUMIFS(_book!$CI$2:$CI$379,_book!$C$2:$C$379,$A50,_book!$A$2:$A$379,bkc_lob,_book!$B$2:$B$379,bkc_bu))</f>
        <v>4.3788312959229169E-3</v>
      </c>
      <c r="C50" s="78">
        <f>IF(SUMIFS(_book!$CJ$2:$CJ$379,_book!$C$2:$C$379,$A50,_book!$A$2:$A$379,bkc_lob,_book!$B$2:$B$379,bkc_bu)=0,"—",SUMIFS(_book!$CV$2:$CV$379,_book!$C$2:$C$379,$A50,_book!$A$2:$A$379,bkc_lob,_book!$B$2:$B$379,bkc_bu)/SUMIFS(_book!$CJ$2:$CJ$379,_book!$C$2:$C$379,$A50,_book!$A$2:$A$379,bkc_lob,_book!$B$2:$B$379,bkc_bu))</f>
        <v>4.377275686539602E-3</v>
      </c>
      <c r="D50" s="78">
        <f>IF(SUMIFS(_book!$CK$2:$CK$379,_book!$C$2:$C$379,$A50,_book!$A$2:$A$379,bkc_lob,_book!$B$2:$B$379,bkc_bu)=0,"—",SUMIFS(_book!$CW$2:$CW$379,_book!$C$2:$C$379,$A50,_book!$A$2:$A$379,bkc_lob,_book!$B$2:$B$379,bkc_bu)/SUMIFS(_book!$CK$2:$CK$379,_book!$C$2:$C$379,$A50,_book!$A$2:$A$379,bkc_lob,_book!$B$2:$B$379,bkc_bu))</f>
        <v>4.3757211866541842E-3</v>
      </c>
      <c r="E50" s="78">
        <f>IF(SUMIFS(_book!$CL$2:$CL$379,_book!$C$2:$C$379,$A50,_book!$A$2:$A$379,bkc_lob,_book!$B$2:$B$379,bkc_bu)=0,"—",SUMIFS(_book!$CX$2:$CX$379,_book!$C$2:$C$379,$A50,_book!$A$2:$A$379,bkc_lob,_book!$B$2:$B$379,bkc_bu)/SUMIFS(_book!$CL$2:$CL$379,_book!$C$2:$C$379,$A50,_book!$A$2:$A$379,bkc_lob,_book!$B$2:$B$379,bkc_bu))</f>
        <v>4.3741151571409379E-3</v>
      </c>
      <c r="F50" s="78">
        <f>IF(SUMIFS(_book!$CM$2:$CM$379,_book!$C$2:$C$379,$A50,_book!$A$2:$A$379,bkc_lob,_book!$B$2:$B$379,bkc_bu)=0,"—",SUMIFS(_book!$CY$2:$CY$379,_book!$C$2:$C$379,$A50,_book!$A$2:$A$379,bkc_lob,_book!$B$2:$B$379,bkc_bu)/SUMIFS(_book!$CM$2:$CM$379,_book!$C$2:$C$379,$A50,_book!$A$2:$A$379,bkc_lob,_book!$B$2:$B$379,bkc_bu))</f>
        <v>4.3725103110321987E-3</v>
      </c>
      <c r="G50" s="78">
        <f>IF(SUMIFS(_book!$CN$2:$CN$379,_book!$C$2:$C$379,$A50,_book!$A$2:$A$379,bkc_lob,_book!$B$2:$B$379,bkc_bu)=0,"—",SUMIFS(_book!$CZ$2:$CZ$379,_book!$C$2:$C$379,$A50,_book!$A$2:$A$379,bkc_lob,_book!$B$2:$B$379,bkc_bu)/SUMIFS(_book!$CN$2:$CN$379,_book!$C$2:$C$379,$A50,_book!$A$2:$A$379,bkc_lob,_book!$B$2:$B$379,bkc_bu))</f>
        <v>4.370906647015017E-3</v>
      </c>
      <c r="H50" s="78">
        <f>IF(SUMIFS(_book!$CO$2:$CO$379,_book!$C$2:$C$379,$A50,_book!$A$2:$A$379,bkc_lob,_book!$B$2:$B$379,bkc_bu)=0,"—",SUMIFS(_book!$DA$2:$DA$379,_book!$C$2:$C$379,$A50,_book!$A$2:$A$379,bkc_lob,_book!$B$2:$B$379,bkc_bu)/SUMIFS(_book!$CO$2:$CO$379,_book!$C$2:$C$379,$A50,_book!$A$2:$A$379,bkc_lob,_book!$B$2:$B$379,bkc_bu))</f>
        <v>4.3693041637784839E-3</v>
      </c>
      <c r="I50" s="78">
        <f>IF(SUMIFS(_book!$CP$2:$CP$379,_book!$C$2:$C$379,$A50,_book!$A$2:$A$379,bkc_lob,_book!$B$2:$B$379,bkc_bu)=0,"—",SUMIFS(_book!$DB$2:$DB$379,_book!$C$2:$C$379,$A50,_book!$A$2:$A$379,bkc_lob,_book!$B$2:$B$379,bkc_bu)/SUMIFS(_book!$CP$2:$CP$379,_book!$C$2:$C$379,$A50,_book!$A$2:$A$379,bkc_lob,_book!$B$2:$B$379,bkc_bu))</f>
        <v>4.3676766189510727E-3</v>
      </c>
      <c r="J50" s="78">
        <f>IF(SUMIFS(_book!$CQ$2:$CQ$379,_book!$C$2:$C$379,$A50,_book!$A$2:$A$379,bkc_lob,_book!$B$2:$B$379,bkc_bu)=0,"—",SUMIFS(_book!$DC$2:$DC$379,_book!$C$2:$C$379,$A50,_book!$A$2:$A$379,bkc_lob,_book!$B$2:$B$379,bkc_bu)/SUMIFS(_book!$CQ$2:$CQ$379,_book!$C$2:$C$379,$A50,_book!$A$2:$A$379,bkc_lob,_book!$B$2:$B$379,bkc_bu))</f>
        <v>4.3660765126539687E-3</v>
      </c>
      <c r="K50" s="78">
        <f>IF(SUMIFS(_book!$CR$2:$CR$379,_book!$C$2:$C$379,$A50,_book!$A$2:$A$379,bkc_lob,_book!$B$2:$B$379,bkc_bu)=0,"—",SUMIFS(_book!$DD$2:$DD$379,_book!$C$2:$C$379,$A50,_book!$A$2:$A$379,bkc_lob,_book!$B$2:$B$379,bkc_bu)/SUMIFS(_book!$CR$2:$CR$379,_book!$C$2:$C$379,$A50,_book!$A$2:$A$379,bkc_lob,_book!$B$2:$B$379,bkc_bu))</f>
        <v>4.3644775831946985E-3</v>
      </c>
      <c r="L50" s="78">
        <f>IF(SUMIFS(_book!$CS$2:$CS$379,_book!$C$2:$C$379,$A50,_book!$A$2:$A$379,bkc_lob,_book!$B$2:$B$379,bkc_bu)=0,"—",SUMIFS(_book!$DE$2:$DE$379,_book!$C$2:$C$379,$A50,_book!$A$2:$A$379,bkc_lob,_book!$B$2:$B$379,bkc_bu)/SUMIFS(_book!$CS$2:$CS$379,_book!$C$2:$C$379,$A50,_book!$A$2:$A$379,bkc_lob,_book!$B$2:$B$379,bkc_bu))</f>
        <v>4.3628798292701977E-3</v>
      </c>
      <c r="M50" s="78">
        <f>IF(SUMIFS(_book!$CT$2:$CT$379,_book!$C$2:$C$379,$A50,_book!$A$2:$A$379,bkc_lob,_book!$B$2:$B$379,bkc_bu)=0,"—",SUMIFS(_book!$DF$2:$DF$379,_book!$C$2:$C$379,$A50,_book!$A$2:$A$379,bkc_lob,_book!$B$2:$B$379,bkc_bu)/SUMIFS(_book!$CT$2:$CT$379,_book!$C$2:$C$379,$A50,_book!$A$2:$A$379,bkc_lob,_book!$B$2:$B$379,bkc_bu))</f>
        <v>4.3612832495793612E-3</v>
      </c>
    </row>
    <row r="51" spans="1:13" x14ac:dyDescent="0.3">
      <c r="A51" s="77" t="s">
        <v>91</v>
      </c>
      <c r="B51" s="78">
        <f>IF(SUMIFS(_book!$CI$2:$CI$379,_book!$C$2:$C$379,$A51,_book!$A$2:$A$379,bkc_lob,_book!$B$2:$B$379,bkc_bu)=0,"—",SUMIFS(_book!$CU$2:$CU$379,_book!$C$2:$C$379,$A51,_book!$A$2:$A$379,bkc_lob,_book!$B$2:$B$379,bkc_bu)/SUMIFS(_book!$CI$2:$CI$379,_book!$C$2:$C$379,$A51,_book!$A$2:$A$379,bkc_lob,_book!$B$2:$B$379,bkc_bu))</f>
        <v>1.7679864521880924E-2</v>
      </c>
      <c r="C51" s="78">
        <f>IF(SUMIFS(_book!$CJ$2:$CJ$379,_book!$C$2:$C$379,$A51,_book!$A$2:$A$379,bkc_lob,_book!$B$2:$B$379,bkc_bu)=0,"—",SUMIFS(_book!$CV$2:$CV$379,_book!$C$2:$C$379,$A51,_book!$A$2:$A$379,bkc_lob,_book!$B$2:$B$379,bkc_bu)/SUMIFS(_book!$CJ$2:$CJ$379,_book!$C$2:$C$379,$A51,_book!$A$2:$A$379,bkc_lob,_book!$B$2:$B$379,bkc_bu))</f>
        <v>1.7654530404108634E-2</v>
      </c>
      <c r="D51" s="78">
        <f>IF(SUMIFS(_book!$CK$2:$CK$379,_book!$C$2:$C$379,$A51,_book!$A$2:$A$379,bkc_lob,_book!$B$2:$B$379,bkc_bu)=0,"—",SUMIFS(_book!$CW$2:$CW$379,_book!$C$2:$C$379,$A51,_book!$A$2:$A$379,bkc_lob,_book!$B$2:$B$379,bkc_bu)/SUMIFS(_book!$CK$2:$CK$379,_book!$C$2:$C$379,$A51,_book!$A$2:$A$379,bkc_lob,_book!$B$2:$B$379,bkc_bu))</f>
        <v>1.7629269093611309E-2</v>
      </c>
      <c r="E51" s="78">
        <f>IF(SUMIFS(_book!$CL$2:$CL$379,_book!$C$2:$C$379,$A51,_book!$A$2:$A$379,bkc_lob,_book!$B$2:$B$379,bkc_bu)=0,"—",SUMIFS(_book!$CX$2:$CX$379,_book!$C$2:$C$379,$A51,_book!$A$2:$A$379,bkc_lob,_book!$B$2:$B$379,bkc_bu)/SUMIFS(_book!$CL$2:$CL$379,_book!$C$2:$C$379,$A51,_book!$A$2:$A$379,bkc_lob,_book!$B$2:$B$379,bkc_bu))</f>
        <v>1.7603227684044907E-2</v>
      </c>
      <c r="F51" s="78">
        <f>IF(SUMIFS(_book!$CM$2:$CM$379,_book!$C$2:$C$379,$A51,_book!$A$2:$A$379,bkc_lob,_book!$B$2:$B$379,bkc_bu)=0,"—",SUMIFS(_book!$CY$2:$CY$379,_book!$C$2:$C$379,$A51,_book!$A$2:$A$379,bkc_lob,_book!$B$2:$B$379,bkc_bu)/SUMIFS(_book!$CM$2:$CM$379,_book!$C$2:$C$379,$A51,_book!$A$2:$A$379,bkc_lob,_book!$B$2:$B$379,bkc_bu))</f>
        <v>1.7577263419308597E-2</v>
      </c>
      <c r="G51" s="78">
        <f>IF(SUMIFS(_book!$CN$2:$CN$379,_book!$C$2:$C$379,$A51,_book!$A$2:$A$379,bkc_lob,_book!$B$2:$B$379,bkc_bu)=0,"—",SUMIFS(_book!$CZ$2:$CZ$379,_book!$C$2:$C$379,$A51,_book!$A$2:$A$379,bkc_lob,_book!$B$2:$B$379,bkc_bu)/SUMIFS(_book!$CN$2:$CN$379,_book!$C$2:$C$379,$A51,_book!$A$2:$A$379,bkc_lob,_book!$B$2:$B$379,bkc_bu))</f>
        <v>1.755137595568243E-2</v>
      </c>
      <c r="H51" s="78">
        <f>IF(SUMIFS(_book!$CO$2:$CO$379,_book!$C$2:$C$379,$A51,_book!$A$2:$A$379,bkc_lob,_book!$B$2:$B$379,bkc_bu)=0,"—",SUMIFS(_book!$DA$2:$DA$379,_book!$C$2:$C$379,$A51,_book!$A$2:$A$379,bkc_lob,_book!$B$2:$B$379,bkc_bu)/SUMIFS(_book!$CO$2:$CO$379,_book!$C$2:$C$379,$A51,_book!$A$2:$A$379,bkc_lob,_book!$B$2:$B$379,bkc_bu))</f>
        <v>1.7525564951493884E-2</v>
      </c>
      <c r="I51" s="78">
        <f>IF(SUMIFS(_book!$CP$2:$CP$379,_book!$C$2:$C$379,$A51,_book!$A$2:$A$379,bkc_lob,_book!$B$2:$B$379,bkc_bu)=0,"—",SUMIFS(_book!$DB$2:$DB$379,_book!$C$2:$C$379,$A51,_book!$A$2:$A$379,bkc_lob,_book!$B$2:$B$379,bkc_bu)/SUMIFS(_book!$CP$2:$CP$379,_book!$C$2:$C$379,$A51,_book!$A$2:$A$379,bkc_lob,_book!$B$2:$B$379,bkc_bu))</f>
        <v>1.7499408816019441E-2</v>
      </c>
      <c r="J51" s="78">
        <f>IF(SUMIFS(_book!$CQ$2:$CQ$379,_book!$C$2:$C$379,$A51,_book!$A$2:$A$379,bkc_lob,_book!$B$2:$B$379,bkc_bu)=0,"—",SUMIFS(_book!$DC$2:$DC$379,_book!$C$2:$C$379,$A51,_book!$A$2:$A$379,bkc_lob,_book!$B$2:$B$379,bkc_bu)/SUMIFS(_book!$CQ$2:$CQ$379,_book!$C$2:$C$379,$A51,_book!$A$2:$A$379,bkc_lob,_book!$B$2:$B$379,bkc_bu))</f>
        <v>1.7473750953330199E-2</v>
      </c>
      <c r="K51" s="78">
        <f>IF(SUMIFS(_book!$CR$2:$CR$379,_book!$C$2:$C$379,$A51,_book!$A$2:$A$379,bkc_lob,_book!$B$2:$B$379,bkc_bu)=0,"—",SUMIFS(_book!$DD$2:$DD$379,_book!$C$2:$C$379,$A51,_book!$A$2:$A$379,bkc_lob,_book!$B$2:$B$379,bkc_bu)/SUMIFS(_book!$CR$2:$CR$379,_book!$C$2:$C$379,$A51,_book!$A$2:$A$379,bkc_lob,_book!$B$2:$B$379,bkc_bu))</f>
        <v>1.7448168531706724E-2</v>
      </c>
      <c r="L51" s="78">
        <f>IF(SUMIFS(_book!$CS$2:$CS$379,_book!$C$2:$C$379,$A51,_book!$A$2:$A$379,bkc_lob,_book!$B$2:$B$379,bkc_bu)=0,"—",SUMIFS(_book!$DE$2:$DE$379,_book!$C$2:$C$379,$A51,_book!$A$2:$A$379,bkc_lob,_book!$B$2:$B$379,bkc_bu)/SUMIFS(_book!$CS$2:$CS$379,_book!$C$2:$C$379,$A51,_book!$A$2:$A$379,bkc_lob,_book!$B$2:$B$379,bkc_bu))</f>
        <v>1.7422661217546837E-2</v>
      </c>
      <c r="M51" s="78">
        <f>IF(SUMIFS(_book!$CT$2:$CT$379,_book!$C$2:$C$379,$A51,_book!$A$2:$A$379,bkc_lob,_book!$B$2:$B$379,bkc_bu)=0,"—",SUMIFS(_book!$DF$2:$DF$379,_book!$C$2:$C$379,$A51,_book!$A$2:$A$379,bkc_lob,_book!$B$2:$B$379,bkc_bu)/SUMIFS(_book!$CT$2:$CT$379,_book!$C$2:$C$379,$A51,_book!$A$2:$A$379,bkc_lob,_book!$B$2:$B$379,bkc_bu))</f>
        <v>1.7397228679219865E-2</v>
      </c>
    </row>
    <row r="52" spans="1:13" x14ac:dyDescent="0.3">
      <c r="A52" s="77" t="s">
        <v>92</v>
      </c>
      <c r="B52" s="78">
        <f>IF(SUMIFS(_book!$CI$2:$CI$379,_book!$C$2:$C$379,$A52,_book!$A$2:$A$379,bkc_lob,_book!$B$2:$B$379,bkc_bu)=0,"—",SUMIFS(_book!$CU$2:$CU$379,_book!$C$2:$C$379,$A52,_book!$A$2:$A$379,bkc_lob,_book!$B$2:$B$379,bkc_bu)/SUMIFS(_book!$CI$2:$CI$379,_book!$C$2:$C$379,$A52,_book!$A$2:$A$379,bkc_lob,_book!$B$2:$B$379,bkc_bu))</f>
        <v>0</v>
      </c>
      <c r="C52" s="78">
        <f>IF(SUMIFS(_book!$CJ$2:$CJ$379,_book!$C$2:$C$379,$A52,_book!$A$2:$A$379,bkc_lob,_book!$B$2:$B$379,bkc_bu)=0,"—",SUMIFS(_book!$CV$2:$CV$379,_book!$C$2:$C$379,$A52,_book!$A$2:$A$379,bkc_lob,_book!$B$2:$B$379,bkc_bu)/SUMIFS(_book!$CJ$2:$CJ$379,_book!$C$2:$C$379,$A52,_book!$A$2:$A$379,bkc_lob,_book!$B$2:$B$379,bkc_bu))</f>
        <v>0</v>
      </c>
      <c r="D52" s="78">
        <f>IF(SUMIFS(_book!$CK$2:$CK$379,_book!$C$2:$C$379,$A52,_book!$A$2:$A$379,bkc_lob,_book!$B$2:$B$379,bkc_bu)=0,"—",SUMIFS(_book!$CW$2:$CW$379,_book!$C$2:$C$379,$A52,_book!$A$2:$A$379,bkc_lob,_book!$B$2:$B$379,bkc_bu)/SUMIFS(_book!$CK$2:$CK$379,_book!$C$2:$C$379,$A52,_book!$A$2:$A$379,bkc_lob,_book!$B$2:$B$379,bkc_bu))</f>
        <v>0</v>
      </c>
      <c r="E52" s="78">
        <f>IF(SUMIFS(_book!$CL$2:$CL$379,_book!$C$2:$C$379,$A52,_book!$A$2:$A$379,bkc_lob,_book!$B$2:$B$379,bkc_bu)=0,"—",SUMIFS(_book!$CX$2:$CX$379,_book!$C$2:$C$379,$A52,_book!$A$2:$A$379,bkc_lob,_book!$B$2:$B$379,bkc_bu)/SUMIFS(_book!$CL$2:$CL$379,_book!$C$2:$C$379,$A52,_book!$A$2:$A$379,bkc_lob,_book!$B$2:$B$379,bkc_bu))</f>
        <v>0</v>
      </c>
      <c r="F52" s="78">
        <f>IF(SUMIFS(_book!$CM$2:$CM$379,_book!$C$2:$C$379,$A52,_book!$A$2:$A$379,bkc_lob,_book!$B$2:$B$379,bkc_bu)=0,"—",SUMIFS(_book!$CY$2:$CY$379,_book!$C$2:$C$379,$A52,_book!$A$2:$A$379,bkc_lob,_book!$B$2:$B$379,bkc_bu)/SUMIFS(_book!$CM$2:$CM$379,_book!$C$2:$C$379,$A52,_book!$A$2:$A$379,bkc_lob,_book!$B$2:$B$379,bkc_bu))</f>
        <v>0</v>
      </c>
      <c r="G52" s="78">
        <f>IF(SUMIFS(_book!$CN$2:$CN$379,_book!$C$2:$C$379,$A52,_book!$A$2:$A$379,bkc_lob,_book!$B$2:$B$379,bkc_bu)=0,"—",SUMIFS(_book!$CZ$2:$CZ$379,_book!$C$2:$C$379,$A52,_book!$A$2:$A$379,bkc_lob,_book!$B$2:$B$379,bkc_bu)/SUMIFS(_book!$CN$2:$CN$379,_book!$C$2:$C$379,$A52,_book!$A$2:$A$379,bkc_lob,_book!$B$2:$B$379,bkc_bu))</f>
        <v>0</v>
      </c>
      <c r="H52" s="78">
        <f>IF(SUMIFS(_book!$CO$2:$CO$379,_book!$C$2:$C$379,$A52,_book!$A$2:$A$379,bkc_lob,_book!$B$2:$B$379,bkc_bu)=0,"—",SUMIFS(_book!$DA$2:$DA$379,_book!$C$2:$C$379,$A52,_book!$A$2:$A$379,bkc_lob,_book!$B$2:$B$379,bkc_bu)/SUMIFS(_book!$CO$2:$CO$379,_book!$C$2:$C$379,$A52,_book!$A$2:$A$379,bkc_lob,_book!$B$2:$B$379,bkc_bu))</f>
        <v>0</v>
      </c>
      <c r="I52" s="78">
        <f>IF(SUMIFS(_book!$CP$2:$CP$379,_book!$C$2:$C$379,$A52,_book!$A$2:$A$379,bkc_lob,_book!$B$2:$B$379,bkc_bu)=0,"—",SUMIFS(_book!$DB$2:$DB$379,_book!$C$2:$C$379,$A52,_book!$A$2:$A$379,bkc_lob,_book!$B$2:$B$379,bkc_bu)/SUMIFS(_book!$CP$2:$CP$379,_book!$C$2:$C$379,$A52,_book!$A$2:$A$379,bkc_lob,_book!$B$2:$B$379,bkc_bu))</f>
        <v>0</v>
      </c>
      <c r="J52" s="78">
        <f>IF(SUMIFS(_book!$CQ$2:$CQ$379,_book!$C$2:$C$379,$A52,_book!$A$2:$A$379,bkc_lob,_book!$B$2:$B$379,bkc_bu)=0,"—",SUMIFS(_book!$DC$2:$DC$379,_book!$C$2:$C$379,$A52,_book!$A$2:$A$379,bkc_lob,_book!$B$2:$B$379,bkc_bu)/SUMIFS(_book!$CQ$2:$CQ$379,_book!$C$2:$C$379,$A52,_book!$A$2:$A$379,bkc_lob,_book!$B$2:$B$379,bkc_bu))</f>
        <v>0</v>
      </c>
      <c r="K52" s="78">
        <f>IF(SUMIFS(_book!$CR$2:$CR$379,_book!$C$2:$C$379,$A52,_book!$A$2:$A$379,bkc_lob,_book!$B$2:$B$379,bkc_bu)=0,"—",SUMIFS(_book!$DD$2:$DD$379,_book!$C$2:$C$379,$A52,_book!$A$2:$A$379,bkc_lob,_book!$B$2:$B$379,bkc_bu)/SUMIFS(_book!$CR$2:$CR$379,_book!$C$2:$C$379,$A52,_book!$A$2:$A$379,bkc_lob,_book!$B$2:$B$379,bkc_bu))</f>
        <v>0</v>
      </c>
      <c r="L52" s="78">
        <f>IF(SUMIFS(_book!$CS$2:$CS$379,_book!$C$2:$C$379,$A52,_book!$A$2:$A$379,bkc_lob,_book!$B$2:$B$379,bkc_bu)=0,"—",SUMIFS(_book!$DE$2:$DE$379,_book!$C$2:$C$379,$A52,_book!$A$2:$A$379,bkc_lob,_book!$B$2:$B$379,bkc_bu)/SUMIFS(_book!$CS$2:$CS$379,_book!$C$2:$C$379,$A52,_book!$A$2:$A$379,bkc_lob,_book!$B$2:$B$379,bkc_bu))</f>
        <v>0</v>
      </c>
      <c r="M52" s="78">
        <f>IF(SUMIFS(_book!$CT$2:$CT$379,_book!$C$2:$C$379,$A52,_book!$A$2:$A$379,bkc_lob,_book!$B$2:$B$379,bkc_bu)=0,"—",SUMIFS(_book!$DF$2:$DF$379,_book!$C$2:$C$379,$A52,_book!$A$2:$A$379,bkc_lob,_book!$B$2:$B$379,bkc_bu)/SUMIFS(_book!$CT$2:$CT$379,_book!$C$2:$C$379,$A52,_book!$A$2:$A$379,bkc_lob,_book!$B$2:$B$379,bkc_bu))</f>
        <v>0</v>
      </c>
    </row>
    <row r="53" spans="1:13" x14ac:dyDescent="0.3">
      <c r="A53" s="77" t="s">
        <v>94</v>
      </c>
      <c r="B53" s="78">
        <f>IF(SUMIFS(_book!$CI$2:$CI$379,_book!$C$2:$C$379,$A53,_book!$A$2:$A$379,bkc_lob,_book!$B$2:$B$379,bkc_bu)=0,"—",SUMIFS(_book!$CU$2:$CU$379,_book!$C$2:$C$379,$A53,_book!$A$2:$A$379,bkc_lob,_book!$B$2:$B$379,bkc_bu)/SUMIFS(_book!$CI$2:$CI$379,_book!$C$2:$C$379,$A53,_book!$A$2:$A$379,bkc_lob,_book!$B$2:$B$379,bkc_bu))</f>
        <v>1.321850566043902E-2</v>
      </c>
      <c r="C53" s="78">
        <f>IF(SUMIFS(_book!$CJ$2:$CJ$379,_book!$C$2:$C$379,$A53,_book!$A$2:$A$379,bkc_lob,_book!$B$2:$B$379,bkc_bu)=0,"—",SUMIFS(_book!$CV$2:$CV$379,_book!$C$2:$C$379,$A53,_book!$A$2:$A$379,bkc_lob,_book!$B$2:$B$379,bkc_bu)/SUMIFS(_book!$CJ$2:$CJ$379,_book!$C$2:$C$379,$A53,_book!$A$2:$A$379,bkc_lob,_book!$B$2:$B$379,bkc_bu))</f>
        <v>1.3204339280806223E-2</v>
      </c>
      <c r="D53" s="78">
        <f>IF(SUMIFS(_book!$CK$2:$CK$379,_book!$C$2:$C$379,$A53,_book!$A$2:$A$379,bkc_lob,_book!$B$2:$B$379,bkc_bu)=0,"—",SUMIFS(_book!$CW$2:$CW$379,_book!$C$2:$C$379,$A53,_book!$A$2:$A$379,bkc_lob,_book!$B$2:$B$379,bkc_bu)/SUMIFS(_book!$CK$2:$CK$379,_book!$C$2:$C$379,$A53,_book!$A$2:$A$379,bkc_lob,_book!$B$2:$B$379,bkc_bu))</f>
        <v>1.3190203360859278E-2</v>
      </c>
      <c r="E53" s="78">
        <f>IF(SUMIFS(_book!$CL$2:$CL$379,_book!$C$2:$C$379,$A53,_book!$A$2:$A$379,bkc_lob,_book!$B$2:$B$379,bkc_bu)=0,"—",SUMIFS(_book!$CX$2:$CX$379,_book!$C$2:$C$379,$A53,_book!$A$2:$A$379,bkc_lob,_book!$B$2:$B$379,bkc_bu)/SUMIFS(_book!$CL$2:$CL$379,_book!$C$2:$C$379,$A53,_book!$A$2:$A$379,bkc_lob,_book!$B$2:$B$379,bkc_bu))</f>
        <v>1.3175620178392241E-2</v>
      </c>
      <c r="F53" s="78">
        <f>IF(SUMIFS(_book!$CM$2:$CM$379,_book!$C$2:$C$379,$A53,_book!$A$2:$A$379,bkc_lob,_book!$B$2:$B$379,bkc_bu)=0,"—",SUMIFS(_book!$CY$2:$CY$379,_book!$C$2:$C$379,$A53,_book!$A$2:$A$379,bkc_lob,_book!$B$2:$B$379,bkc_bu)/SUMIFS(_book!$CM$2:$CM$379,_book!$C$2:$C$379,$A53,_book!$A$2:$A$379,bkc_lob,_book!$B$2:$B$379,bkc_bu))</f>
        <v>1.3161069341912027E-2</v>
      </c>
      <c r="G53" s="78">
        <f>IF(SUMIFS(_book!$CN$2:$CN$379,_book!$C$2:$C$379,$A53,_book!$A$2:$A$379,bkc_lob,_book!$B$2:$B$379,bkc_bu)=0,"—",SUMIFS(_book!$CZ$2:$CZ$379,_book!$C$2:$C$379,$A53,_book!$A$2:$A$379,bkc_lob,_book!$B$2:$B$379,bkc_bu)/SUMIFS(_book!$CN$2:$CN$379,_book!$C$2:$C$379,$A53,_book!$A$2:$A$379,bkc_lob,_book!$B$2:$B$379,bkc_bu))</f>
        <v>1.3146550743473956E-2</v>
      </c>
      <c r="H53" s="78">
        <f>IF(SUMIFS(_book!$CO$2:$CO$379,_book!$C$2:$C$379,$A53,_book!$A$2:$A$379,bkc_lob,_book!$B$2:$B$379,bkc_bu)=0,"—",SUMIFS(_book!$DA$2:$DA$379,_book!$C$2:$C$379,$A53,_book!$A$2:$A$379,bkc_lob,_book!$B$2:$B$379,bkc_bu)/SUMIFS(_book!$CO$2:$CO$379,_book!$C$2:$C$379,$A53,_book!$A$2:$A$379,bkc_lob,_book!$B$2:$B$379,bkc_bu))</f>
        <v>1.3132064275615411E-2</v>
      </c>
      <c r="I53" s="78">
        <f>IF(SUMIFS(_book!$CP$2:$CP$379,_book!$C$2:$C$379,$A53,_book!$A$2:$A$379,bkc_lob,_book!$B$2:$B$379,bkc_bu)=0,"—",SUMIFS(_book!$DB$2:$DB$379,_book!$C$2:$C$379,$A53,_book!$A$2:$A$379,bkc_lob,_book!$B$2:$B$379,bkc_bu)/SUMIFS(_book!$CP$2:$CP$379,_book!$C$2:$C$379,$A53,_book!$A$2:$A$379,bkc_lob,_book!$B$2:$B$379,bkc_bu))</f>
        <v>1.3117373139444334E-2</v>
      </c>
      <c r="J53" s="78">
        <f>IF(SUMIFS(_book!$CQ$2:$CQ$379,_book!$C$2:$C$379,$A53,_book!$A$2:$A$379,bkc_lob,_book!$B$2:$B$379,bkc_bu)=0,"—",SUMIFS(_book!$DC$2:$DC$379,_book!$C$2:$C$379,$A53,_book!$A$2:$A$379,bkc_lob,_book!$B$2:$B$379,bkc_bu)/SUMIFS(_book!$CQ$2:$CQ$379,_book!$C$2:$C$379,$A53,_book!$A$2:$A$379,bkc_lob,_book!$B$2:$B$379,bkc_bu))</f>
        <v>1.310295113461582E-2</v>
      </c>
      <c r="K53" s="78">
        <f>IF(SUMIFS(_book!$CR$2:$CR$379,_book!$C$2:$C$379,$A53,_book!$A$2:$A$379,bkc_lob,_book!$B$2:$B$379,bkc_bu)=0,"—",SUMIFS(_book!$DD$2:$DD$379,_book!$C$2:$C$379,$A53,_book!$A$2:$A$379,bkc_lob,_book!$B$2:$B$379,bkc_bu)/SUMIFS(_book!$CR$2:$CR$379,_book!$C$2:$C$379,$A53,_book!$A$2:$A$379,bkc_lob,_book!$B$2:$B$379,bkc_bu))</f>
        <v>1.3088560939107494E-2</v>
      </c>
      <c r="L53" s="78">
        <f>IF(SUMIFS(_book!$CS$2:$CS$379,_book!$C$2:$C$379,$A53,_book!$A$2:$A$379,bkc_lob,_book!$B$2:$B$379,bkc_bu)=0,"—",SUMIFS(_book!$DE$2:$DE$379,_book!$C$2:$C$379,$A53,_book!$A$2:$A$379,bkc_lob,_book!$B$2:$B$379,bkc_bu)/SUMIFS(_book!$CS$2:$CS$379,_book!$C$2:$C$379,$A53,_book!$A$2:$A$379,bkc_lob,_book!$B$2:$B$379,bkc_bu))</f>
        <v>1.3074202447364328E-2</v>
      </c>
      <c r="M53" s="78">
        <f>IF(SUMIFS(_book!$CT$2:$CT$379,_book!$C$2:$C$379,$A53,_book!$A$2:$A$379,bkc_lob,_book!$B$2:$B$379,bkc_bu)=0,"—",SUMIFS(_book!$DF$2:$DF$379,_book!$C$2:$C$379,$A53,_book!$A$2:$A$379,bkc_lob,_book!$B$2:$B$379,bkc_bu)/SUMIFS(_book!$CT$2:$CT$379,_book!$C$2:$C$379,$A53,_book!$A$2:$A$379,bkc_lob,_book!$B$2:$B$379,bkc_bu))</f>
        <v>1.3059875554300061E-2</v>
      </c>
    </row>
    <row r="54" spans="1:13" x14ac:dyDescent="0.3">
      <c r="A54" s="77" t="s">
        <v>95</v>
      </c>
      <c r="B54" s="78">
        <f>IF(SUMIFS(_book!$CI$2:$CI$379,_book!$C$2:$C$379,$A54,_book!$A$2:$A$379,bkc_lob,_book!$B$2:$B$379,bkc_bu)=0,"—",SUMIFS(_book!$CU$2:$CU$379,_book!$C$2:$C$379,$A54,_book!$A$2:$A$379,bkc_lob,_book!$B$2:$B$379,bkc_bu)/SUMIFS(_book!$CI$2:$CI$379,_book!$C$2:$C$379,$A54,_book!$A$2:$A$379,bkc_lob,_book!$B$2:$B$379,bkc_bu))</f>
        <v>-4.3518325555416846E-3</v>
      </c>
      <c r="C54" s="78">
        <f>IF(SUMIFS(_book!$CJ$2:$CJ$379,_book!$C$2:$C$379,$A54,_book!$A$2:$A$379,bkc_lob,_book!$B$2:$B$379,bkc_bu)=0,"—",SUMIFS(_book!$CV$2:$CV$379,_book!$C$2:$C$379,$A54,_book!$A$2:$A$379,bkc_lob,_book!$B$2:$B$379,bkc_bu)/SUMIFS(_book!$CJ$2:$CJ$379,_book!$C$2:$C$379,$A54,_book!$A$2:$A$379,bkc_lob,_book!$B$2:$B$379,bkc_bu))</f>
        <v>-4.3533700557327167E-3</v>
      </c>
      <c r="D54" s="78">
        <f>IF(SUMIFS(_book!$CK$2:$CK$379,_book!$C$2:$C$379,$A54,_book!$A$2:$A$379,bkc_lob,_book!$B$2:$B$379,bkc_bu)=0,"—",SUMIFS(_book!$CW$2:$CW$379,_book!$C$2:$C$379,$A54,_book!$A$2:$A$379,bkc_lob,_book!$B$2:$B$379,bkc_bu)/SUMIFS(_book!$CK$2:$CK$379,_book!$C$2:$C$379,$A54,_book!$A$2:$A$379,bkc_lob,_book!$B$2:$B$379,bkc_bu))</f>
        <v>-4.3549086471940347E-3</v>
      </c>
      <c r="E54" s="78">
        <f>IF(SUMIFS(_book!$CL$2:$CL$379,_book!$C$2:$C$379,$A54,_book!$A$2:$A$379,bkc_lob,_book!$B$2:$B$379,bkc_bu)=0,"—",SUMIFS(_book!$CX$2:$CX$379,_book!$C$2:$C$379,$A54,_book!$A$2:$A$379,bkc_lob,_book!$B$2:$B$379,bkc_bu)/SUMIFS(_book!$CL$2:$CL$379,_book!$C$2:$C$379,$A54,_book!$A$2:$A$379,bkc_lob,_book!$B$2:$B$379,bkc_bu))</f>
        <v>-4.3565005429245761E-3</v>
      </c>
      <c r="F54" s="78">
        <f>IF(SUMIFS(_book!$CM$2:$CM$379,_book!$C$2:$C$379,$A54,_book!$A$2:$A$379,bkc_lob,_book!$B$2:$B$379,bkc_bu)=0,"—",SUMIFS(_book!$CY$2:$CY$379,_book!$C$2:$C$379,$A54,_book!$A$2:$A$379,bkc_lob,_book!$B$2:$B$379,bkc_bu)/SUMIFS(_book!$CM$2:$CM$379,_book!$C$2:$C$379,$A54,_book!$A$2:$A$379,bkc_lob,_book!$B$2:$B$379,bkc_bu))</f>
        <v>-4.3580936077029751E-3</v>
      </c>
      <c r="G54" s="78">
        <f>IF(SUMIFS(_book!$CN$2:$CN$379,_book!$C$2:$C$379,$A54,_book!$A$2:$A$379,bkc_lob,_book!$B$2:$B$379,bkc_bu)=0,"—",SUMIFS(_book!$CZ$2:$CZ$379,_book!$C$2:$C$379,$A54,_book!$A$2:$A$379,bkc_lob,_book!$B$2:$B$379,bkc_bu)/SUMIFS(_book!$CN$2:$CN$379,_book!$C$2:$C$379,$A54,_book!$A$2:$A$379,bkc_lob,_book!$B$2:$B$379,bkc_bu))</f>
        <v>-4.3596878428227232E-3</v>
      </c>
      <c r="H54" s="78">
        <f>IF(SUMIFS(_book!$CO$2:$CO$379,_book!$C$2:$C$379,$A54,_book!$A$2:$A$379,bkc_lob,_book!$B$2:$B$379,bkc_bu)=0,"—",SUMIFS(_book!$DA$2:$DA$379,_book!$C$2:$C$379,$A54,_book!$A$2:$A$379,bkc_lob,_book!$B$2:$B$379,bkc_bu)/SUMIFS(_book!$CO$2:$CO$379,_book!$C$2:$C$379,$A54,_book!$A$2:$A$379,bkc_lob,_book!$B$2:$B$379,bkc_bu))</f>
        <v>-4.361283249579382E-3</v>
      </c>
      <c r="I54" s="78">
        <f>IF(SUMIFS(_book!$CP$2:$CP$379,_book!$C$2:$C$379,$A54,_book!$A$2:$A$379,bkc_lob,_book!$B$2:$B$379,bkc_bu)=0,"—",SUMIFS(_book!$DB$2:$DB$379,_book!$C$2:$C$379,$A54,_book!$A$2:$A$379,bkc_lob,_book!$B$2:$B$379,bkc_bu)/SUMIFS(_book!$CP$2:$CP$379,_book!$C$2:$C$379,$A54,_book!$A$2:$A$379,bkc_lob,_book!$B$2:$B$379,bkc_bu))</f>
        <v>-4.3629060124868819E-3</v>
      </c>
      <c r="J54" s="78">
        <f>IF(SUMIFS(_book!$CQ$2:$CQ$379,_book!$C$2:$C$379,$A54,_book!$A$2:$A$379,bkc_lob,_book!$B$2:$B$379,bkc_bu)=0,"—",SUMIFS(_book!$DC$2:$DC$379,_book!$C$2:$C$379,$A54,_book!$A$2:$A$379,bkc_lob,_book!$B$2:$B$379,bkc_bu)/SUMIFS(_book!$CQ$2:$CQ$379,_book!$C$2:$C$379,$A54,_book!$A$2:$A$379,bkc_lob,_book!$B$2:$B$379,bkc_bu))</f>
        <v>-4.3645037856719663E-3</v>
      </c>
      <c r="K54" s="78">
        <f>IF(SUMIFS(_book!$CR$2:$CR$379,_book!$C$2:$C$379,$A54,_book!$A$2:$A$379,bkc_lob,_book!$B$2:$B$379,bkc_bu)=0,"—",SUMIFS(_book!$DD$2:$DD$379,_book!$C$2:$C$379,$A54,_book!$A$2:$A$379,bkc_lob,_book!$B$2:$B$379,bkc_bu)/SUMIFS(_book!$CR$2:$CR$379,_book!$C$2:$C$379,$A54,_book!$A$2:$A$379,bkc_lob,_book!$B$2:$B$379,bkc_bu))</f>
        <v>-4.3661027344129907E-3</v>
      </c>
      <c r="L54" s="78">
        <f>IF(SUMIFS(_book!$CS$2:$CS$379,_book!$C$2:$C$379,$A54,_book!$A$2:$A$379,bkc_lob,_book!$B$2:$B$379,bkc_bu)=0,"—",SUMIFS(_book!$DE$2:$DE$379,_book!$C$2:$C$379,$A54,_book!$A$2:$A$379,bkc_lob,_book!$B$2:$B$379,bkc_bu)/SUMIFS(_book!$CS$2:$CS$379,_book!$C$2:$C$379,$A54,_book!$A$2:$A$379,bkc_lob,_book!$B$2:$B$379,bkc_bu))</f>
        <v>-4.3677028600134643E-3</v>
      </c>
      <c r="M54" s="78">
        <f>IF(SUMIFS(_book!$CT$2:$CT$379,_book!$C$2:$C$379,$A54,_book!$A$2:$A$379,bkc_lob,_book!$B$2:$B$379,bkc_bu)=0,"—",SUMIFS(_book!$DF$2:$DF$379,_book!$C$2:$C$379,$A54,_book!$A$2:$A$379,bkc_lob,_book!$B$2:$B$379,bkc_bu)/SUMIFS(_book!$CT$2:$CT$379,_book!$C$2:$C$379,$A54,_book!$A$2:$A$379,bkc_lob,_book!$B$2:$B$379,bkc_bu))</f>
        <v>-4.3693041637784188E-3</v>
      </c>
    </row>
    <row r="55" spans="1:13" x14ac:dyDescent="0.3">
      <c r="A55" s="77" t="s">
        <v>96</v>
      </c>
      <c r="B55" s="78">
        <f>IF(SUMIFS(_book!$CI$2:$CI$379,_book!$C$2:$C$379,$A55,_book!$A$2:$A$379,bkc_lob,_book!$B$2:$B$379,bkc_bu)=0,"—",SUMIFS(_book!$CU$2:$CU$379,_book!$C$2:$C$379,$A55,_book!$A$2:$A$379,bkc_lob,_book!$B$2:$B$379,bkc_bu)/SUMIFS(_book!$CI$2:$CI$379,_book!$C$2:$C$379,$A55,_book!$A$2:$A$379,bkc_lob,_book!$B$2:$B$379,bkc_bu))</f>
        <v>8.7849144234523752E-3</v>
      </c>
      <c r="C55" s="78">
        <f>IF(SUMIFS(_book!$CJ$2:$CJ$379,_book!$C$2:$C$379,$A55,_book!$A$2:$A$379,bkc_lob,_book!$B$2:$B$379,bkc_bu)=0,"—",SUMIFS(_book!$CV$2:$CV$379,_book!$C$2:$C$379,$A55,_book!$A$2:$A$379,bkc_lob,_book!$B$2:$B$379,bkc_bu)/SUMIFS(_book!$CJ$2:$CJ$379,_book!$C$2:$C$379,$A55,_book!$A$2:$A$379,bkc_lob,_book!$B$2:$B$379,bkc_bu))</f>
        <v>8.7786552840536866E-3</v>
      </c>
      <c r="D55" s="78">
        <f>IF(SUMIFS(_book!$CK$2:$CK$379,_book!$C$2:$C$379,$A55,_book!$A$2:$A$379,bkc_lob,_book!$B$2:$B$379,bkc_bu)=0,"—",SUMIFS(_book!$CW$2:$CW$379,_book!$C$2:$C$379,$A55,_book!$A$2:$A$379,bkc_lob,_book!$B$2:$B$379,bkc_bu)/SUMIFS(_book!$CK$2:$CK$379,_book!$C$2:$C$379,$A55,_book!$A$2:$A$379,bkc_lob,_book!$B$2:$B$379,bkc_bu))</f>
        <v>8.7724050947757485E-3</v>
      </c>
      <c r="E55" s="78">
        <f>IF(SUMIFS(_book!$CL$2:$CL$379,_book!$C$2:$C$379,$A55,_book!$A$2:$A$379,bkc_lob,_book!$B$2:$B$379,bkc_bu)=0,"—",SUMIFS(_book!$CX$2:$CX$379,_book!$C$2:$C$379,$A55,_book!$A$2:$A$379,bkc_lob,_book!$B$2:$B$379,bkc_bu)/SUMIFS(_book!$CL$2:$CL$379,_book!$C$2:$C$379,$A55,_book!$A$2:$A$379,bkc_lob,_book!$B$2:$B$379,bkc_bu))</f>
        <v>8.7659524245464662E-3</v>
      </c>
      <c r="F55" s="78">
        <f>IF(SUMIFS(_book!$CM$2:$CM$379,_book!$C$2:$C$379,$A55,_book!$A$2:$A$379,bkc_lob,_book!$B$2:$B$379,bkc_bu)=0,"—",SUMIFS(_book!$CY$2:$CY$379,_book!$C$2:$C$379,$A55,_book!$A$2:$A$379,bkc_lob,_book!$B$2:$B$379,bkc_bu)/SUMIFS(_book!$CM$2:$CM$379,_book!$C$2:$C$379,$A55,_book!$A$2:$A$379,bkc_lob,_book!$B$2:$B$379,bkc_bu))</f>
        <v>8.7595092796923287E-3</v>
      </c>
      <c r="G55" s="78">
        <f>IF(SUMIFS(_book!$CN$2:$CN$379,_book!$C$2:$C$379,$A55,_book!$A$2:$A$379,bkc_lob,_book!$B$2:$B$379,bkc_bu)=0,"—",SUMIFS(_book!$CZ$2:$CZ$379,_book!$C$2:$C$379,$A55,_book!$A$2:$A$379,bkc_lob,_book!$B$2:$B$379,bkc_bu)/SUMIFS(_book!$CN$2:$CN$379,_book!$C$2:$C$379,$A55,_book!$A$2:$A$379,bkc_lob,_book!$B$2:$B$379,bkc_bu))</f>
        <v>8.7530756390496334E-3</v>
      </c>
      <c r="H55" s="78">
        <f>IF(SUMIFS(_book!$CO$2:$CO$379,_book!$C$2:$C$379,$A55,_book!$A$2:$A$379,bkc_lob,_book!$B$2:$B$379,bkc_bu)=0,"—",SUMIFS(_book!$DA$2:$DA$379,_book!$C$2:$C$379,$A55,_book!$A$2:$A$379,bkc_lob,_book!$B$2:$B$379,bkc_bu)/SUMIFS(_book!$CO$2:$CO$379,_book!$C$2:$C$379,$A55,_book!$A$2:$A$379,bkc_lob,_book!$B$2:$B$379,bkc_bu))</f>
        <v>8.7466514815174277E-3</v>
      </c>
      <c r="I55" s="78">
        <f>IF(SUMIFS(_book!$CP$2:$CP$379,_book!$C$2:$C$379,$A55,_book!$A$2:$A$379,bkc_lob,_book!$B$2:$B$379,bkc_bu)=0,"—",SUMIFS(_book!$DB$2:$DB$379,_book!$C$2:$C$379,$A55,_book!$A$2:$A$379,bkc_lob,_book!$B$2:$B$379,bkc_bu)/SUMIFS(_book!$CP$2:$CP$379,_book!$C$2:$C$379,$A55,_book!$A$2:$A$379,bkc_lob,_book!$B$2:$B$379,bkc_bu))</f>
        <v>8.7401317058275179E-3</v>
      </c>
      <c r="J55" s="78">
        <f>IF(SUMIFS(_book!$CQ$2:$CQ$379,_book!$C$2:$C$379,$A55,_book!$A$2:$A$379,bkc_lob,_book!$B$2:$B$379,bkc_bu)=0,"—",SUMIFS(_book!$DC$2:$DC$379,_book!$C$2:$C$379,$A55,_book!$A$2:$A$379,bkc_lob,_book!$B$2:$B$379,bkc_bu)/SUMIFS(_book!$CQ$2:$CQ$379,_book!$C$2:$C$379,$A55,_book!$A$2:$A$379,bkc_lob,_book!$B$2:$B$379,bkc_bu))</f>
        <v>8.7337266060616755E-3</v>
      </c>
      <c r="K55" s="78">
        <f>IF(SUMIFS(_book!$CR$2:$CR$379,_book!$C$2:$C$379,$A55,_book!$A$2:$A$379,bkc_lob,_book!$B$2:$B$379,bkc_bu)=0,"—",SUMIFS(_book!$DD$2:$DD$379,_book!$C$2:$C$379,$A55,_book!$A$2:$A$379,bkc_lob,_book!$B$2:$B$379,bkc_bu)/SUMIFS(_book!$CR$2:$CR$379,_book!$C$2:$C$379,$A55,_book!$A$2:$A$379,bkc_lob,_book!$B$2:$B$379,bkc_bu))</f>
        <v>8.7273309261366033E-3</v>
      </c>
      <c r="L55" s="78">
        <f>IF(SUMIFS(_book!$CS$2:$CS$379,_book!$C$2:$C$379,$A55,_book!$A$2:$A$379,bkc_lob,_book!$B$2:$B$379,bkc_bu)=0,"—",SUMIFS(_book!$DE$2:$DE$379,_book!$C$2:$C$379,$A55,_book!$A$2:$A$379,bkc_lob,_book!$B$2:$B$379,bkc_bu)/SUMIFS(_book!$CS$2:$CS$379,_book!$C$2:$C$379,$A55,_book!$A$2:$A$379,bkc_lob,_book!$B$2:$B$379,bkc_bu))</f>
        <v>8.7209446452013555E-3</v>
      </c>
      <c r="M55" s="78">
        <f>IF(SUMIFS(_book!$CT$2:$CT$379,_book!$C$2:$C$379,$A55,_book!$A$2:$A$379,bkc_lob,_book!$B$2:$B$379,bkc_bu)=0,"—",SUMIFS(_book!$DF$2:$DF$379,_book!$C$2:$C$379,$A55,_book!$A$2:$A$379,bkc_lob,_book!$B$2:$B$379,bkc_bu)/SUMIFS(_book!$CT$2:$CT$379,_book!$C$2:$C$379,$A55,_book!$A$2:$A$379,bkc_lob,_book!$B$2:$B$379,bkc_bu))</f>
        <v>8.7145677424676077E-3</v>
      </c>
    </row>
    <row r="56" spans="1:13" x14ac:dyDescent="0.3">
      <c r="A56" s="79" t="str">
        <f>IF(bkf_lob="All","BOOK AVG","LINE AVG")</f>
        <v>BOOK AVG</v>
      </c>
      <c r="B56" s="80">
        <f>IF(SUMIFS(_book!$CI$2:$CI$379,_book!$A$2:$A$379,bkc_lob,_book!$B$2:$B$379,bkc_bu)=0,"—",SUMIFS(_book!$CU$2:$CU$379,_book!$A$2:$A$379,bkc_lob,_book!$B$2:$B$379,bkc_bu)/SUMIFS(_book!$CI$2:$CI$379,_book!$A$2:$A$379,bkc_lob,_book!$B$2:$B$379,bkc_bu))</f>
        <v>5.8240365638253296E-3</v>
      </c>
      <c r="C56" s="80">
        <f>IF(SUMIFS(_book!$CJ$2:$CJ$379,_book!$A$2:$A$379,bkc_lob,_book!$B$2:$B$379,bkc_bu)=0,"—",SUMIFS(_book!$CV$2:$CV$379,_book!$A$2:$A$379,bkc_lob,_book!$B$2:$B$379,bkc_bu)/SUMIFS(_book!$CJ$2:$CJ$379,_book!$A$2:$A$379,bkc_lob,_book!$B$2:$B$379,bkc_bu))</f>
        <v>5.683639912189258E-3</v>
      </c>
      <c r="D56" s="80">
        <f>IF(SUMIFS(_book!$CK$2:$CK$379,_book!$A$2:$A$379,bkc_lob,_book!$B$2:$B$379,bkc_bu)=0,"—",SUMIFS(_book!$CW$2:$CW$379,_book!$A$2:$A$379,bkc_lob,_book!$B$2:$B$379,bkc_bu)/SUMIFS(_book!$CK$2:$CK$379,_book!$A$2:$A$379,bkc_lob,_book!$B$2:$B$379,bkc_bu))</f>
        <v>5.9196645136870849E-3</v>
      </c>
      <c r="E56" s="80">
        <f>IF(SUMIFS(_book!$CL$2:$CL$379,_book!$A$2:$A$379,bkc_lob,_book!$B$2:$B$379,bkc_bu)=0,"—",SUMIFS(_book!$CX$2:$CX$379,_book!$A$2:$A$379,bkc_lob,_book!$B$2:$B$379,bkc_bu)/SUMIFS(_book!$CL$2:$CL$379,_book!$A$2:$A$379,bkc_lob,_book!$B$2:$B$379,bkc_bu))</f>
        <v>5.9929563085112936E-3</v>
      </c>
      <c r="F56" s="80">
        <f>IF(SUMIFS(_book!$CM$2:$CM$379,_book!$A$2:$A$379,bkc_lob,_book!$B$2:$B$379,bkc_bu)=0,"—",SUMIFS(_book!$CY$2:$CY$379,_book!$A$2:$A$379,bkc_lob,_book!$B$2:$B$379,bkc_bu)/SUMIFS(_book!$CM$2:$CM$379,_book!$A$2:$A$379,bkc_lob,_book!$B$2:$B$379,bkc_bu))</f>
        <v>6.0389310616416666E-3</v>
      </c>
      <c r="G56" s="80">
        <f>IF(SUMIFS(_book!$CN$2:$CN$379,_book!$A$2:$A$379,bkc_lob,_book!$B$2:$B$379,bkc_bu)=0,"—",SUMIFS(_book!$CZ$2:$CZ$379,_book!$A$2:$A$379,bkc_lob,_book!$B$2:$B$379,bkc_bu)/SUMIFS(_book!$CN$2:$CN$379,_book!$A$2:$A$379,bkc_lob,_book!$B$2:$B$379,bkc_bu))</f>
        <v>5.8945260413188214E-3</v>
      </c>
      <c r="H56" s="80">
        <f>IF(SUMIFS(_book!$CO$2:$CO$379,_book!$A$2:$A$379,bkc_lob,_book!$B$2:$B$379,bkc_bu)=0,"—",SUMIFS(_book!$DA$2:$DA$379,_book!$A$2:$A$379,bkc_lob,_book!$B$2:$B$379,bkc_bu)/SUMIFS(_book!$CO$2:$CO$379,_book!$A$2:$A$379,bkc_lob,_book!$B$2:$B$379,bkc_bu))</f>
        <v>5.7508425216479878E-3</v>
      </c>
      <c r="I56" s="80">
        <f>IF(SUMIFS(_book!$CP$2:$CP$379,_book!$A$2:$A$379,bkc_lob,_book!$B$2:$B$379,bkc_bu)=0,"—",SUMIFS(_book!$DB$2:$DB$379,_book!$A$2:$A$379,bkc_lob,_book!$B$2:$B$379,bkc_bu)/SUMIFS(_book!$CP$2:$CP$379,_book!$A$2:$A$379,bkc_lob,_book!$B$2:$B$379,bkc_bu))</f>
        <v>5.6055360244658056E-3</v>
      </c>
      <c r="J56" s="80">
        <f>IF(SUMIFS(_book!$CQ$2:$CQ$379,_book!$A$2:$A$379,bkc_lob,_book!$B$2:$B$379,bkc_bu)=0,"—",SUMIFS(_book!$DC$2:$DC$379,_book!$A$2:$A$379,bkc_lob,_book!$B$2:$B$379,bkc_bu)/SUMIFS(_book!$CQ$2:$CQ$379,_book!$A$2:$A$379,bkc_lob,_book!$B$2:$B$379,bkc_bu))</f>
        <v>5.6600969739436981E-3</v>
      </c>
      <c r="K56" s="80">
        <f>IF(SUMIFS(_book!$CR$2:$CR$379,_book!$A$2:$A$379,bkc_lob,_book!$B$2:$B$379,bkc_bu)=0,"—",SUMIFS(_book!$DD$2:$DD$379,_book!$A$2:$A$379,bkc_lob,_book!$B$2:$B$379,bkc_bu)/SUMIFS(_book!$CR$2:$CR$379,_book!$A$2:$A$379,bkc_lob,_book!$B$2:$B$379,bkc_bu))</f>
        <v>5.5321740000907876E-3</v>
      </c>
      <c r="L56" s="80">
        <f>IF(SUMIFS(_book!$CS$2:$CS$379,_book!$A$2:$A$379,bkc_lob,_book!$B$2:$B$379,bkc_bu)=0,"—",SUMIFS(_book!$DE$2:$DE$379,_book!$A$2:$A$379,bkc_lob,_book!$B$2:$B$379,bkc_bu)/SUMIFS(_book!$CS$2:$CS$379,_book!$A$2:$A$379,bkc_lob,_book!$B$2:$B$379,bkc_bu))</f>
        <v>5.4187860913205901E-3</v>
      </c>
      <c r="M56" s="80">
        <f>IF(SUMIFS(_book!$CT$2:$CT$379,_book!$A$2:$A$379,bkc_lob,_book!$B$2:$B$379,bkc_bu)=0,"—",SUMIFS(_book!$DF$2:$DF$379,_book!$A$2:$A$379,bkc_lob,_book!$B$2:$B$379,bkc_bu)/SUMIFS(_book!$CT$2:$CT$379,_book!$A$2:$A$379,bkc_lob,_book!$B$2:$B$379,bkc_bu))</f>
        <v>5.3060406716114571E-3</v>
      </c>
    </row>
    <row r="59" spans="1:13" ht="15.6" x14ac:dyDescent="0.3">
      <c r="A59" s="3" t="s">
        <v>163</v>
      </c>
    </row>
    <row r="60" spans="1:13" x14ac:dyDescent="0.3">
      <c r="A60" s="9" t="s">
        <v>161</v>
      </c>
    </row>
    <row r="61" spans="1:13" x14ac:dyDescent="0.3">
      <c r="A61" s="75" t="s">
        <v>44</v>
      </c>
      <c r="B61" s="76" t="str">
        <f>TEXT(DATE(2027,1,1),"mmm")&amp;" 2027"</f>
        <v>Jan 2027</v>
      </c>
      <c r="C61" s="76" t="str">
        <f>TEXT(DATE(2027,2,1),"mmm")&amp;" 2027"</f>
        <v>Feb 2027</v>
      </c>
      <c r="D61" s="76" t="str">
        <f>TEXT(DATE(2027,3,1),"mmm")&amp;" 2027"</f>
        <v>Mar 2027</v>
      </c>
      <c r="E61" s="76" t="str">
        <f>TEXT(DATE(2027,4,1),"mmm")&amp;" 2027"</f>
        <v>Apr 2027</v>
      </c>
      <c r="F61" s="76" t="str">
        <f>TEXT(DATE(2027,5,1),"mmm")&amp;" 2027"</f>
        <v>May 2027</v>
      </c>
      <c r="G61" s="76" t="str">
        <f>TEXT(DATE(2027,6,1),"mmm")&amp;" 2027"</f>
        <v>Jun 2027</v>
      </c>
      <c r="H61" s="76" t="str">
        <f>TEXT(DATE(2027,7,1),"mmm")&amp;" 2027"</f>
        <v>Jul 2027</v>
      </c>
      <c r="I61" s="76" t="str">
        <f>TEXT(DATE(2027,8,1),"mmm")&amp;" 2027"</f>
        <v>Aug 2027</v>
      </c>
      <c r="J61" s="76" t="str">
        <f>TEXT(DATE(2027,9,1),"mmm")&amp;" 2027"</f>
        <v>Sep 2027</v>
      </c>
      <c r="K61" s="76" t="str">
        <f>TEXT(DATE(2027,10,1),"mmm")&amp;" 2027"</f>
        <v>Oct 2027</v>
      </c>
      <c r="L61" s="76" t="str">
        <f>TEXT(DATE(2027,11,1),"mmm")&amp;" 2027"</f>
        <v>Nov 2027</v>
      </c>
      <c r="M61" s="76" t="str">
        <f>TEXT(DATE(2027,12,1),"mmm")&amp;" 2027"</f>
        <v>Dec 2027</v>
      </c>
    </row>
    <row r="62" spans="1:13" x14ac:dyDescent="0.3">
      <c r="A62" s="77" t="s">
        <v>43</v>
      </c>
      <c r="B62" s="78">
        <f>IF(SUMIFS(_book!$AY$2:$AY$379,_book!$C$2:$C$379,$A62,_book!$A$2:$A$379,bkc_lob,_book!$B$2:$B$379,bkc_bu)=0,"—",SUMIFS(_book!$BK$2:$BK$379,_book!$C$2:$C$379,$A62,_book!$A$2:$A$379,bkc_lob,_book!$B$2:$B$379,bkc_bu)/SUMIFS(_book!$AY$2:$AY$379,_book!$C$2:$C$379,$A62,_book!$A$2:$A$379,bkc_lob,_book!$B$2:$B$379,bkc_bu))</f>
        <v>4.5197215160198562E-2</v>
      </c>
      <c r="C62" s="78">
        <f>IF(SUMIFS(_book!$AZ$2:$AZ$379,_book!$C$2:$C$379,$A62,_book!$A$2:$A$379,bkc_lob,_book!$B$2:$B$379,bkc_bu)=0,"—",SUMIFS(_book!$BL$2:$BL$379,_book!$C$2:$C$379,$A62,_book!$A$2:$A$379,bkc_lob,_book!$B$2:$B$379,bkc_bu)/SUMIFS(_book!$AZ$2:$AZ$379,_book!$C$2:$C$379,$A62,_book!$A$2:$A$379,bkc_lob,_book!$B$2:$B$379,bkc_bu))</f>
        <v>5.8786391867506033E-2</v>
      </c>
      <c r="D62" s="78">
        <f>IF(SUMIFS(_book!$BA$2:$BA$379,_book!$C$2:$C$379,$A62,_book!$A$2:$A$379,bkc_lob,_book!$B$2:$B$379,bkc_bu)=0,"—",SUMIFS(_book!$BM$2:$BM$379,_book!$C$2:$C$379,$A62,_book!$A$2:$A$379,bkc_lob,_book!$B$2:$B$379,bkc_bu)/SUMIFS(_book!$BA$2:$BA$379,_book!$C$2:$C$379,$A62,_book!$A$2:$A$379,bkc_lob,_book!$B$2:$B$379,bkc_bu))</f>
        <v>5.8761485338558739E-2</v>
      </c>
      <c r="E62" s="78">
        <f>IF(SUMIFS(_book!$BB$2:$BB$379,_book!$C$2:$C$379,$A62,_book!$A$2:$A$379,bkc_lob,_book!$B$2:$B$379,bkc_bu)=0,"—",SUMIFS(_book!$BN$2:$BN$379,_book!$C$2:$C$379,$A62,_book!$A$2:$A$379,bkc_lob,_book!$B$2:$B$379,bkc_bu)/SUMIFS(_book!$BB$2:$BB$379,_book!$C$2:$C$379,$A62,_book!$A$2:$A$379,bkc_lob,_book!$B$2:$B$379,bkc_bu))</f>
        <v>7.4882736388660776E-2</v>
      </c>
      <c r="F62" s="78">
        <f>IF(SUMIFS(_book!$BC$2:$BC$379,_book!$C$2:$C$379,$A62,_book!$A$2:$A$379,bkc_lob,_book!$B$2:$B$379,bkc_bu)=0,"—",SUMIFS(_book!$BO$2:$BO$379,_book!$C$2:$C$379,$A62,_book!$A$2:$A$379,bkc_lob,_book!$B$2:$B$379,bkc_bu)/SUMIFS(_book!$BC$2:$BC$379,_book!$C$2:$C$379,$A62,_book!$A$2:$A$379,bkc_lob,_book!$B$2:$B$379,bkc_bu))</f>
        <v>7.4856125384675426E-2</v>
      </c>
      <c r="G62" s="78">
        <f>IF(SUMIFS(_book!$BD$2:$BD$379,_book!$C$2:$C$379,$A62,_book!$A$2:$A$379,bkc_lob,_book!$B$2:$B$379,bkc_bu)=0,"—",SUMIFS(_book!$BP$2:$BP$379,_book!$C$2:$C$379,$A62,_book!$A$2:$A$379,bkc_lob,_book!$B$2:$B$379,bkc_bu)/SUMIFS(_book!$BD$2:$BD$379,_book!$C$2:$C$379,$A62,_book!$A$2:$A$379,bkc_lob,_book!$B$2:$B$379,bkc_bu))</f>
        <v>7.4829610270432029E-2</v>
      </c>
      <c r="H62" s="78">
        <f>IF(SUMIFS(_book!$BE$2:$BE$379,_book!$C$2:$C$379,$A62,_book!$A$2:$A$379,bkc_lob,_book!$B$2:$B$379,bkc_bu)=0,"—",SUMIFS(_book!$BQ$2:$BQ$379,_book!$C$2:$C$379,$A62,_book!$A$2:$A$379,bkc_lob,_book!$B$2:$B$379,bkc_bu)/SUMIFS(_book!$BE$2:$BE$379,_book!$C$2:$C$379,$A62,_book!$A$2:$A$379,bkc_lob,_book!$B$2:$B$379,bkc_bu))</f>
        <v>4.0927683455506694E-2</v>
      </c>
      <c r="I62" s="78">
        <f>IF(SUMIFS(_book!$BF$2:$BF$379,_book!$C$2:$C$379,$A62,_book!$A$2:$A$379,bkc_lob,_book!$B$2:$B$379,bkc_bu)=0,"—",SUMIFS(_book!$BR$2:$BR$379,_book!$C$2:$C$379,$A62,_book!$A$2:$A$379,bkc_lob,_book!$B$2:$B$379,bkc_bu)/SUMIFS(_book!$BF$2:$BF$379,_book!$C$2:$C$379,$A62,_book!$A$2:$A$379,bkc_lob,_book!$B$2:$B$379,bkc_bu))</f>
        <v>4.0902265346363854E-2</v>
      </c>
      <c r="J62" s="78">
        <f>IF(SUMIFS(_book!$BG$2:$BG$379,_book!$C$2:$C$379,$A62,_book!$A$2:$A$379,bkc_lob,_book!$B$2:$B$379,bkc_bu)=0,"—",SUMIFS(_book!$BS$2:$BS$379,_book!$C$2:$C$379,$A62,_book!$A$2:$A$379,bkc_lob,_book!$B$2:$B$379,bkc_bu)/SUMIFS(_book!$BG$2:$BG$379,_book!$C$2:$C$379,$A62,_book!$A$2:$A$379,bkc_lob,_book!$B$2:$B$379,bkc_bu))</f>
        <v>4.0877346060144572E-2</v>
      </c>
      <c r="K62" s="78">
        <f>IF(SUMIFS(_book!$BH$2:$BH$379,_book!$C$2:$C$379,$A62,_book!$A$2:$A$379,bkc_lob,_book!$B$2:$B$379,bkc_bu)=0,"—",SUMIFS(_book!$BT$2:$BT$379,_book!$C$2:$C$379,$A62,_book!$A$2:$A$379,bkc_lob,_book!$B$2:$B$379,bkc_bu)/SUMIFS(_book!$BH$2:$BH$379,_book!$C$2:$C$379,$A62,_book!$A$2:$A$379,bkc_lob,_book!$B$2:$B$379,bkc_bu))</f>
        <v>3.0543346071659344E-2</v>
      </c>
      <c r="L62" s="78">
        <f>IF(SUMIFS(_book!$BI$2:$BI$379,_book!$C$2:$C$379,$A62,_book!$A$2:$A$379,bkc_lob,_book!$B$2:$B$379,bkc_bu)=0,"—",SUMIFS(_book!$BU$2:$BU$379,_book!$C$2:$C$379,$A62,_book!$A$2:$A$379,bkc_lob,_book!$B$2:$B$379,bkc_bu)/SUMIFS(_book!$BI$2:$BI$379,_book!$C$2:$C$379,$A62,_book!$A$2:$A$379,bkc_lob,_book!$B$2:$B$379,bkc_bu))</f>
        <v>3.0518667628293295E-2</v>
      </c>
      <c r="M62" s="78">
        <f>IF(SUMIFS(_book!$BJ$2:$BJ$379,_book!$C$2:$C$379,$A62,_book!$A$2:$A$379,bkc_lob,_book!$B$2:$B$379,bkc_bu)=0,"—",SUMIFS(_book!$BV$2:$BV$379,_book!$C$2:$C$379,$A62,_book!$A$2:$A$379,bkc_lob,_book!$B$2:$B$379,bkc_bu)/SUMIFS(_book!$BJ$2:$BJ$379,_book!$C$2:$C$379,$A62,_book!$A$2:$A$379,bkc_lob,_book!$B$2:$B$379,bkc_bu))</f>
        <v>3.0494075396146333E-2</v>
      </c>
    </row>
    <row r="63" spans="1:13" x14ac:dyDescent="0.3">
      <c r="A63" s="77" t="s">
        <v>46</v>
      </c>
      <c r="B63" s="78">
        <f>IF(SUMIFS(_book!$AY$2:$AY$379,_book!$C$2:$C$379,$A63,_book!$A$2:$A$379,bkc_lob,_book!$B$2:$B$379,bkc_bu)=0,"—",SUMIFS(_book!$BK$2:$BK$379,_book!$C$2:$C$379,$A63,_book!$A$2:$A$379,bkc_lob,_book!$B$2:$B$379,bkc_bu)/SUMIFS(_book!$AY$2:$AY$379,_book!$C$2:$C$379,$A63,_book!$A$2:$A$379,bkc_lob,_book!$B$2:$B$379,bkc_bu))</f>
        <v>4.4858341769364693E-2</v>
      </c>
      <c r="C63" s="78">
        <f>IF(SUMIFS(_book!$AZ$2:$AZ$379,_book!$C$2:$C$379,$A63,_book!$A$2:$A$379,bkc_lob,_book!$B$2:$B$379,bkc_bu)=0,"—",SUMIFS(_book!$BL$2:$BL$379,_book!$C$2:$C$379,$A63,_book!$A$2:$A$379,bkc_lob,_book!$B$2:$B$379,bkc_bu)/SUMIFS(_book!$AZ$2:$AZ$379,_book!$C$2:$C$379,$A63,_book!$A$2:$A$379,bkc_lob,_book!$B$2:$B$379,bkc_bu))</f>
        <v>4.8052469341393678E-2</v>
      </c>
      <c r="D63" s="78">
        <f>IF(SUMIFS(_book!$BA$2:$BA$379,_book!$C$2:$C$379,$A63,_book!$A$2:$A$379,bkc_lob,_book!$B$2:$B$379,bkc_bu)=0,"—",SUMIFS(_book!$BM$2:$BM$379,_book!$C$2:$C$379,$A63,_book!$A$2:$A$379,bkc_lob,_book!$B$2:$B$379,bkc_bu)/SUMIFS(_book!$BA$2:$BA$379,_book!$C$2:$C$379,$A63,_book!$A$2:$A$379,bkc_lob,_book!$B$2:$B$379,bkc_bu))</f>
        <v>4.8050847244316325E-2</v>
      </c>
      <c r="E63" s="78">
        <f>IF(SUMIFS(_book!$BB$2:$BB$379,_book!$C$2:$C$379,$A63,_book!$A$2:$A$379,bkc_lob,_book!$B$2:$B$379,bkc_bu)=0,"—",SUMIFS(_book!$BN$2:$BN$379,_book!$C$2:$C$379,$A63,_book!$A$2:$A$379,bkc_lob,_book!$B$2:$B$379,bkc_bu)/SUMIFS(_book!$BB$2:$BB$379,_book!$C$2:$C$379,$A63,_book!$A$2:$A$379,bkc_lob,_book!$B$2:$B$379,bkc_bu))</f>
        <v>4.8049171376853023E-2</v>
      </c>
      <c r="F63" s="78">
        <f>IF(SUMIFS(_book!$BC$2:$BC$379,_book!$C$2:$C$379,$A63,_book!$A$2:$A$379,bkc_lob,_book!$B$2:$B$379,bkc_bu)=0,"—",SUMIFS(_book!$BO$2:$BO$379,_book!$C$2:$C$379,$A63,_book!$A$2:$A$379,bkc_lob,_book!$B$2:$B$379,bkc_bu)/SUMIFS(_book!$BC$2:$BC$379,_book!$C$2:$C$379,$A63,_book!$A$2:$A$379,bkc_lob,_book!$B$2:$B$379,bkc_bu))</f>
        <v>4.8047496744254389E-2</v>
      </c>
      <c r="G63" s="78">
        <f>IF(SUMIFS(_book!$BD$2:$BD$379,_book!$C$2:$C$379,$A63,_book!$A$2:$A$379,bkc_lob,_book!$B$2:$B$379,bkc_bu)=0,"—",SUMIFS(_book!$BP$2:$BP$379,_book!$C$2:$C$379,$A63,_book!$A$2:$A$379,bkc_lob,_book!$B$2:$B$379,bkc_bu)/SUMIFS(_book!$BD$2:$BD$379,_book!$C$2:$C$379,$A63,_book!$A$2:$A$379,bkc_lob,_book!$B$2:$B$379,bkc_bu))</f>
        <v>4.8045823345150382E-2</v>
      </c>
      <c r="H63" s="78">
        <f>IF(SUMIFS(_book!$BE$2:$BE$379,_book!$C$2:$C$379,$A63,_book!$A$2:$A$379,bkc_lob,_book!$B$2:$B$379,bkc_bu)=0,"—",SUMIFS(_book!$BQ$2:$BQ$379,_book!$C$2:$C$379,$A63,_book!$A$2:$A$379,bkc_lob,_book!$B$2:$B$379,bkc_bu)/SUMIFS(_book!$BE$2:$BE$379,_book!$C$2:$C$379,$A63,_book!$A$2:$A$379,bkc_lob,_book!$B$2:$B$379,bkc_bu))</f>
        <v>4.8044151178173129E-2</v>
      </c>
      <c r="I63" s="78">
        <f>IF(SUMIFS(_book!$BF$2:$BF$379,_book!$C$2:$C$379,$A63,_book!$A$2:$A$379,bkc_lob,_book!$B$2:$B$379,bkc_bu)=0,"—",SUMIFS(_book!$BR$2:$BR$379,_book!$C$2:$C$379,$A63,_book!$A$2:$A$379,bkc_lob,_book!$B$2:$B$379,bkc_bu)/SUMIFS(_book!$BF$2:$BF$379,_book!$C$2:$C$379,$A63,_book!$A$2:$A$379,bkc_lob,_book!$B$2:$B$379,bkc_bu))</f>
        <v>3.054210697932374E-2</v>
      </c>
      <c r="J63" s="78">
        <f>IF(SUMIFS(_book!$BG$2:$BG$379,_book!$C$2:$C$379,$A63,_book!$A$2:$A$379,bkc_lob,_book!$B$2:$B$379,bkc_bu)=0,"—",SUMIFS(_book!$BS$2:$BS$379,_book!$C$2:$C$379,$A63,_book!$A$2:$A$379,bkc_lob,_book!$B$2:$B$379,bkc_bu)/SUMIFS(_book!$BG$2:$BG$379,_book!$C$2:$C$379,$A63,_book!$A$2:$A$379,bkc_lob,_book!$B$2:$B$379,bkc_bu))</f>
        <v>3.0540465173286787E-2</v>
      </c>
      <c r="K63" s="78">
        <f>IF(SUMIFS(_book!$BH$2:$BH$379,_book!$C$2:$C$379,$A63,_book!$A$2:$A$379,bkc_lob,_book!$B$2:$B$379,bkc_bu)=0,"—",SUMIFS(_book!$BT$2:$BT$379,_book!$C$2:$C$379,$A63,_book!$A$2:$A$379,bkc_lob,_book!$B$2:$B$379,bkc_bu)/SUMIFS(_book!$BH$2:$BH$379,_book!$C$2:$C$379,$A63,_book!$A$2:$A$379,bkc_lob,_book!$B$2:$B$379,bkc_bu))</f>
        <v>3.0538824574756766E-2</v>
      </c>
      <c r="L63" s="78">
        <f>IF(SUMIFS(_book!$BI$2:$BI$379,_book!$C$2:$C$379,$A63,_book!$A$2:$A$379,bkc_lob,_book!$B$2:$B$379,bkc_bu)=0,"—",SUMIFS(_book!$BU$2:$BU$379,_book!$C$2:$C$379,$A63,_book!$A$2:$A$379,bkc_lob,_book!$B$2:$B$379,bkc_bu)/SUMIFS(_book!$BI$2:$BI$379,_book!$C$2:$C$379,$A63,_book!$A$2:$A$379,bkc_lob,_book!$B$2:$B$379,bkc_bu))</f>
        <v>1.7145680118006365E-2</v>
      </c>
      <c r="M63" s="78">
        <f>IF(SUMIFS(_book!$BJ$2:$BJ$379,_book!$C$2:$C$379,$A63,_book!$A$2:$A$379,bkc_lob,_book!$B$2:$B$379,bkc_bu)=0,"—",SUMIFS(_book!$BV$2:$BV$379,_book!$C$2:$C$379,$A63,_book!$A$2:$A$379,bkc_lob,_book!$B$2:$B$379,bkc_bu)/SUMIFS(_book!$BJ$2:$BJ$379,_book!$C$2:$C$379,$A63,_book!$A$2:$A$379,bkc_lob,_book!$B$2:$B$379,bkc_bu))</f>
        <v>1.7144063218210378E-2</v>
      </c>
    </row>
    <row r="64" spans="1:13" x14ac:dyDescent="0.3">
      <c r="A64" s="77" t="s">
        <v>48</v>
      </c>
      <c r="B64" s="78">
        <f>IF(SUMIFS(_book!$AY$2:$AY$379,_book!$C$2:$C$379,$A64,_book!$A$2:$A$379,bkc_lob,_book!$B$2:$B$379,bkc_bu)=0,"—",SUMIFS(_book!$BK$2:$BK$379,_book!$C$2:$C$379,$A64,_book!$A$2:$A$379,bkc_lob,_book!$B$2:$B$379,bkc_bu)/SUMIFS(_book!$AY$2:$AY$379,_book!$C$2:$C$379,$A64,_book!$A$2:$A$379,bkc_lob,_book!$B$2:$B$379,bkc_bu))</f>
        <v>4.3448276742946858E-2</v>
      </c>
      <c r="C64" s="78">
        <f>IF(SUMIFS(_book!$AZ$2:$AZ$379,_book!$C$2:$C$379,$A64,_book!$A$2:$A$379,bkc_lob,_book!$B$2:$B$379,bkc_bu)=0,"—",SUMIFS(_book!$BL$2:$BL$379,_book!$C$2:$C$379,$A64,_book!$A$2:$A$379,bkc_lob,_book!$B$2:$B$379,bkc_bu)/SUMIFS(_book!$AZ$2:$AZ$379,_book!$C$2:$C$379,$A64,_book!$A$2:$A$379,bkc_lob,_book!$B$2:$B$379,bkc_bu))</f>
        <v>4.2116025660147598E-2</v>
      </c>
      <c r="D64" s="78">
        <f>IF(SUMIFS(_book!$BA$2:$BA$379,_book!$C$2:$C$379,$A64,_book!$A$2:$A$379,bkc_lob,_book!$B$2:$B$379,bkc_bu)=0,"—",SUMIFS(_book!$BM$2:$BM$379,_book!$C$2:$C$379,$A64,_book!$A$2:$A$379,bkc_lob,_book!$B$2:$B$379,bkc_bu)/SUMIFS(_book!$BA$2:$BA$379,_book!$C$2:$C$379,$A64,_book!$A$2:$A$379,bkc_lob,_book!$B$2:$B$379,bkc_bu))</f>
        <v>4.8040786728603249E-2</v>
      </c>
      <c r="E64" s="78">
        <f>IF(SUMIFS(_book!$BB$2:$BB$379,_book!$C$2:$C$379,$A64,_book!$A$2:$A$379,bkc_lob,_book!$B$2:$B$379,bkc_bu)=0,"—",SUMIFS(_book!$BN$2:$BN$379,_book!$C$2:$C$379,$A64,_book!$A$2:$A$379,bkc_lob,_book!$B$2:$B$379,bkc_bu)/SUMIFS(_book!$BB$2:$BB$379,_book!$C$2:$C$379,$A64,_book!$A$2:$A$379,bkc_lob,_book!$B$2:$B$379,bkc_bu))</f>
        <v>2.9120431680008326E-2</v>
      </c>
      <c r="F64" s="78">
        <f>IF(SUMIFS(_book!$BC$2:$BC$379,_book!$C$2:$C$379,$A64,_book!$A$2:$A$379,bkc_lob,_book!$B$2:$B$379,bkc_bu)=0,"—",SUMIFS(_book!$BO$2:$BO$379,_book!$C$2:$C$379,$A64,_book!$A$2:$A$379,bkc_lob,_book!$B$2:$B$379,bkc_bu)/SUMIFS(_book!$BC$2:$BC$379,_book!$C$2:$C$379,$A64,_book!$A$2:$A$379,bkc_lob,_book!$B$2:$B$379,bkc_bu))</f>
        <v>3.3559398031835615E-2</v>
      </c>
      <c r="G64" s="78">
        <f>IF(SUMIFS(_book!$BD$2:$BD$379,_book!$C$2:$C$379,$A64,_book!$A$2:$A$379,bkc_lob,_book!$B$2:$B$379,bkc_bu)=0,"—",SUMIFS(_book!$BP$2:$BP$379,_book!$C$2:$C$379,$A64,_book!$A$2:$A$379,bkc_lob,_book!$B$2:$B$379,bkc_bu)/SUMIFS(_book!$BD$2:$BD$379,_book!$C$2:$C$379,$A64,_book!$A$2:$A$379,bkc_lob,_book!$B$2:$B$379,bkc_bu))</f>
        <v>3.695499839318972E-2</v>
      </c>
      <c r="H64" s="78">
        <f>IF(SUMIFS(_book!$BE$2:$BE$379,_book!$C$2:$C$379,$A64,_book!$A$2:$A$379,bkc_lob,_book!$B$2:$B$379,bkc_bu)=0,"—",SUMIFS(_book!$BQ$2:$BQ$379,_book!$C$2:$C$379,$A64,_book!$A$2:$A$379,bkc_lob,_book!$B$2:$B$379,bkc_bu)/SUMIFS(_book!$BE$2:$BE$379,_book!$C$2:$C$379,$A64,_book!$A$2:$A$379,bkc_lob,_book!$B$2:$B$379,bkc_bu))</f>
        <v>3.5626198797694651E-2</v>
      </c>
      <c r="I64" s="78">
        <f>IF(SUMIFS(_book!$BF$2:$BF$379,_book!$C$2:$C$379,$A64,_book!$A$2:$A$379,bkc_lob,_book!$B$2:$B$379,bkc_bu)=0,"—",SUMIFS(_book!$BR$2:$BR$379,_book!$C$2:$C$379,$A64,_book!$A$2:$A$379,bkc_lob,_book!$B$2:$B$379,bkc_bu)/SUMIFS(_book!$BF$2:$BF$379,_book!$C$2:$C$379,$A64,_book!$A$2:$A$379,bkc_lob,_book!$B$2:$B$379,bkc_bu))</f>
        <v>3.4285504245250516E-2</v>
      </c>
      <c r="J64" s="78">
        <f>IF(SUMIFS(_book!$BG$2:$BG$379,_book!$C$2:$C$379,$A64,_book!$A$2:$A$379,bkc_lob,_book!$B$2:$B$379,bkc_bu)=0,"—",SUMIFS(_book!$BS$2:$BS$379,_book!$C$2:$C$379,$A64,_book!$A$2:$A$379,bkc_lob,_book!$B$2:$B$379,bkc_bu)/SUMIFS(_book!$BG$2:$BG$379,_book!$C$2:$C$379,$A64,_book!$A$2:$A$379,bkc_lob,_book!$B$2:$B$379,bkc_bu))</f>
        <v>3.6699988167028755E-2</v>
      </c>
      <c r="K64" s="78">
        <f>IF(SUMIFS(_book!$BH$2:$BH$379,_book!$C$2:$C$379,$A64,_book!$A$2:$A$379,bkc_lob,_book!$B$2:$B$379,bkc_bu)=0,"—",SUMIFS(_book!$BT$2:$BT$379,_book!$C$2:$C$379,$A64,_book!$A$2:$A$379,bkc_lob,_book!$B$2:$B$379,bkc_bu)/SUMIFS(_book!$BH$2:$BH$379,_book!$C$2:$C$379,$A64,_book!$A$2:$A$379,bkc_lob,_book!$B$2:$B$379,bkc_bu))</f>
        <v>3.5386507871673127E-2</v>
      </c>
      <c r="L64" s="78">
        <f>IF(SUMIFS(_book!$BI$2:$BI$379,_book!$C$2:$C$379,$A64,_book!$A$2:$A$379,bkc_lob,_book!$B$2:$B$379,bkc_bu)=0,"—",SUMIFS(_book!$BU$2:$BU$379,_book!$C$2:$C$379,$A64,_book!$A$2:$A$379,bkc_lob,_book!$B$2:$B$379,bkc_bu)/SUMIFS(_book!$BI$2:$BI$379,_book!$C$2:$C$379,$A64,_book!$A$2:$A$379,bkc_lob,_book!$B$2:$B$379,bkc_bu))</f>
        <v>3.4082461632063091E-2</v>
      </c>
      <c r="M64" s="78">
        <f>IF(SUMIFS(_book!$BJ$2:$BJ$379,_book!$C$2:$C$379,$A64,_book!$A$2:$A$379,bkc_lob,_book!$B$2:$B$379,bkc_bu)=0,"—",SUMIFS(_book!$BV$2:$BV$379,_book!$C$2:$C$379,$A64,_book!$A$2:$A$379,bkc_lob,_book!$B$2:$B$379,bkc_bu)/SUMIFS(_book!$BJ$2:$BJ$379,_book!$C$2:$C$379,$A64,_book!$A$2:$A$379,bkc_lob,_book!$B$2:$B$379,bkc_bu))</f>
        <v>3.2787747293807651E-2</v>
      </c>
    </row>
    <row r="65" spans="1:13" x14ac:dyDescent="0.3">
      <c r="A65" s="77" t="s">
        <v>50</v>
      </c>
      <c r="B65" s="78">
        <f>IF(SUMIFS(_book!$AY$2:$AY$379,_book!$C$2:$C$379,$A65,_book!$A$2:$A$379,bkc_lob,_book!$B$2:$B$379,bkc_bu)=0,"—",SUMIFS(_book!$BK$2:$BK$379,_book!$C$2:$C$379,$A65,_book!$A$2:$A$379,bkc_lob,_book!$B$2:$B$379,bkc_bu)/SUMIFS(_book!$AY$2:$AY$379,_book!$C$2:$C$379,$A65,_book!$A$2:$A$379,bkc_lob,_book!$B$2:$B$379,bkc_bu))</f>
        <v>4.9285714285714328E-2</v>
      </c>
      <c r="C65" s="78">
        <f>IF(SUMIFS(_book!$AZ$2:$AZ$379,_book!$C$2:$C$379,$A65,_book!$A$2:$A$379,bkc_lob,_book!$B$2:$B$379,bkc_bu)=0,"—",SUMIFS(_book!$BL$2:$BL$379,_book!$C$2:$C$379,$A65,_book!$A$2:$A$379,bkc_lob,_book!$B$2:$B$379,bkc_bu)/SUMIFS(_book!$AZ$2:$AZ$379,_book!$C$2:$C$379,$A65,_book!$A$2:$A$379,bkc_lob,_book!$B$2:$B$379,bkc_bu))</f>
        <v>4.9285714285714328E-2</v>
      </c>
      <c r="D65" s="78">
        <f>IF(SUMIFS(_book!$BA$2:$BA$379,_book!$C$2:$C$379,$A65,_book!$A$2:$A$379,bkc_lob,_book!$B$2:$B$379,bkc_bu)=0,"—",SUMIFS(_book!$BM$2:$BM$379,_book!$C$2:$C$379,$A65,_book!$A$2:$A$379,bkc_lob,_book!$B$2:$B$379,bkc_bu)/SUMIFS(_book!$BA$2:$BA$379,_book!$C$2:$C$379,$A65,_book!$A$2:$A$379,bkc_lob,_book!$B$2:$B$379,bkc_bu))</f>
        <v>6.6565714285714353E-2</v>
      </c>
      <c r="E65" s="78">
        <f>IF(SUMIFS(_book!$BB$2:$BB$379,_book!$C$2:$C$379,$A65,_book!$A$2:$A$379,bkc_lob,_book!$B$2:$B$379,bkc_bu)=0,"—",SUMIFS(_book!$BN$2:$BN$379,_book!$C$2:$C$379,$A65,_book!$A$2:$A$379,bkc_lob,_book!$B$2:$B$379,bkc_bu)/SUMIFS(_book!$BB$2:$BB$379,_book!$C$2:$C$379,$A65,_book!$A$2:$A$379,bkc_lob,_book!$B$2:$B$379,bkc_bu))</f>
        <v>5.1089523809523869E-2</v>
      </c>
      <c r="F65" s="78">
        <f>IF(SUMIFS(_book!$BC$2:$BC$379,_book!$C$2:$C$379,$A65,_book!$A$2:$A$379,bkc_lob,_book!$B$2:$B$379,bkc_bu)=0,"—",SUMIFS(_book!$BO$2:$BO$379,_book!$C$2:$C$379,$A65,_book!$A$2:$A$379,bkc_lob,_book!$B$2:$B$379,bkc_bu)/SUMIFS(_book!$BC$2:$BC$379,_book!$C$2:$C$379,$A65,_book!$A$2:$A$379,bkc_lob,_book!$B$2:$B$379,bkc_bu))</f>
        <v>5.1089523809523869E-2</v>
      </c>
      <c r="G65" s="78">
        <f>IF(SUMIFS(_book!$BD$2:$BD$379,_book!$C$2:$C$379,$A65,_book!$A$2:$A$379,bkc_lob,_book!$B$2:$B$379,bkc_bu)=0,"—",SUMIFS(_book!$BP$2:$BP$379,_book!$C$2:$C$379,$A65,_book!$A$2:$A$379,bkc_lob,_book!$B$2:$B$379,bkc_bu)/SUMIFS(_book!$BD$2:$BD$379,_book!$C$2:$C$379,$A65,_book!$A$2:$A$379,bkc_lob,_book!$B$2:$B$379,bkc_bu))</f>
        <v>6.5660952380952431E-2</v>
      </c>
      <c r="H65" s="78">
        <f>IF(SUMIFS(_book!$BE$2:$BE$379,_book!$C$2:$C$379,$A65,_book!$A$2:$A$379,bkc_lob,_book!$B$2:$B$379,bkc_bu)=0,"—",SUMIFS(_book!$BQ$2:$BQ$379,_book!$C$2:$C$379,$A65,_book!$A$2:$A$379,bkc_lob,_book!$B$2:$B$379,bkc_bu)/SUMIFS(_book!$BE$2:$BE$379,_book!$C$2:$C$379,$A65,_book!$A$2:$A$379,bkc_lob,_book!$B$2:$B$379,bkc_bu))</f>
        <v>6.5660952380952431E-2</v>
      </c>
      <c r="I65" s="78">
        <f>IF(SUMIFS(_book!$BF$2:$BF$379,_book!$C$2:$C$379,$A65,_book!$A$2:$A$379,bkc_lob,_book!$B$2:$B$379,bkc_bu)=0,"—",SUMIFS(_book!$BR$2:$BR$379,_book!$C$2:$C$379,$A65,_book!$A$2:$A$379,bkc_lob,_book!$B$2:$B$379,bkc_bu)/SUMIFS(_book!$BF$2:$BF$379,_book!$C$2:$C$379,$A65,_book!$A$2:$A$379,bkc_lob,_book!$B$2:$B$379,bkc_bu))</f>
        <v>6.5660952380952431E-2</v>
      </c>
      <c r="J65" s="78">
        <f>IF(SUMIFS(_book!$BG$2:$BG$379,_book!$C$2:$C$379,$A65,_book!$A$2:$A$379,bkc_lob,_book!$B$2:$B$379,bkc_bu)=0,"—",SUMIFS(_book!$BS$2:$BS$379,_book!$C$2:$C$379,$A65,_book!$A$2:$A$379,bkc_lob,_book!$B$2:$B$379,bkc_bu)/SUMIFS(_book!$BG$2:$BG$379,_book!$C$2:$C$379,$A65,_book!$A$2:$A$379,bkc_lob,_book!$B$2:$B$379,bkc_bu))</f>
        <v>6.5660952380952431E-2</v>
      </c>
      <c r="K65" s="78">
        <f>IF(SUMIFS(_book!$BH$2:$BH$379,_book!$C$2:$C$379,$A65,_book!$A$2:$A$379,bkc_lob,_book!$B$2:$B$379,bkc_bu)=0,"—",SUMIFS(_book!$BT$2:$BT$379,_book!$C$2:$C$379,$A65,_book!$A$2:$A$379,bkc_lob,_book!$B$2:$B$379,bkc_bu)/SUMIFS(_book!$BH$2:$BH$379,_book!$C$2:$C$379,$A65,_book!$A$2:$A$379,bkc_lob,_book!$B$2:$B$379,bkc_bu))</f>
        <v>3.0285714285714315E-2</v>
      </c>
      <c r="L65" s="78">
        <f>IF(SUMIFS(_book!$BI$2:$BI$379,_book!$C$2:$C$379,$A65,_book!$A$2:$A$379,bkc_lob,_book!$B$2:$B$379,bkc_bu)=0,"—",SUMIFS(_book!$BU$2:$BU$379,_book!$C$2:$C$379,$A65,_book!$A$2:$A$379,bkc_lob,_book!$B$2:$B$379,bkc_bu)/SUMIFS(_book!$BI$2:$BI$379,_book!$C$2:$C$379,$A65,_book!$A$2:$A$379,bkc_lob,_book!$B$2:$B$379,bkc_bu))</f>
        <v>3.0285714285714315E-2</v>
      </c>
      <c r="M65" s="78">
        <f>IF(SUMIFS(_book!$BJ$2:$BJ$379,_book!$C$2:$C$379,$A65,_book!$A$2:$A$379,bkc_lob,_book!$B$2:$B$379,bkc_bu)=0,"—",SUMIFS(_book!$BV$2:$BV$379,_book!$C$2:$C$379,$A65,_book!$A$2:$A$379,bkc_lob,_book!$B$2:$B$379,bkc_bu)/SUMIFS(_book!$BJ$2:$BJ$379,_book!$C$2:$C$379,$A65,_book!$A$2:$A$379,bkc_lob,_book!$B$2:$B$379,bkc_bu))</f>
        <v>3.0285714285714315E-2</v>
      </c>
    </row>
    <row r="66" spans="1:13" x14ac:dyDescent="0.3">
      <c r="A66" s="77" t="s">
        <v>57</v>
      </c>
      <c r="B66" s="78">
        <f>IF(SUMIFS(_book!$AY$2:$AY$379,_book!$C$2:$C$379,$A66,_book!$A$2:$A$379,bkc_lob,_book!$B$2:$B$379,bkc_bu)=0,"—",SUMIFS(_book!$BK$2:$BK$379,_book!$C$2:$C$379,$A66,_book!$A$2:$A$379,bkc_lob,_book!$B$2:$B$379,bkc_bu)/SUMIFS(_book!$AY$2:$AY$379,_book!$C$2:$C$379,$A66,_book!$A$2:$A$379,bkc_lob,_book!$B$2:$B$379,bkc_bu))</f>
        <v>3.821122880006321E-2</v>
      </c>
      <c r="C66" s="78">
        <f>IF(SUMIFS(_book!$AZ$2:$AZ$379,_book!$C$2:$C$379,$A66,_book!$A$2:$A$379,bkc_lob,_book!$B$2:$B$379,bkc_bu)=0,"—",SUMIFS(_book!$BL$2:$BL$379,_book!$C$2:$C$379,$A66,_book!$A$2:$A$379,bkc_lob,_book!$B$2:$B$379,bkc_bu)/SUMIFS(_book!$AZ$2:$AZ$379,_book!$C$2:$C$379,$A66,_book!$A$2:$A$379,bkc_lob,_book!$B$2:$B$379,bkc_bu))</f>
        <v>3.1442017387860739E-2</v>
      </c>
      <c r="D66" s="78">
        <f>IF(SUMIFS(_book!$BA$2:$BA$379,_book!$C$2:$C$379,$A66,_book!$A$2:$A$379,bkc_lob,_book!$B$2:$B$379,bkc_bu)=0,"—",SUMIFS(_book!$BM$2:$BM$379,_book!$C$2:$C$379,$A66,_book!$A$2:$A$379,bkc_lob,_book!$B$2:$B$379,bkc_bu)/SUMIFS(_book!$BA$2:$BA$379,_book!$C$2:$C$379,$A66,_book!$A$2:$A$379,bkc_lob,_book!$B$2:$B$379,bkc_bu))</f>
        <v>3.1427627021354765E-2</v>
      </c>
      <c r="E66" s="78">
        <f>IF(SUMIFS(_book!$BB$2:$BB$379,_book!$C$2:$C$379,$A66,_book!$A$2:$A$379,bkc_lob,_book!$B$2:$B$379,bkc_bu)=0,"—",SUMIFS(_book!$BN$2:$BN$379,_book!$C$2:$C$379,$A66,_book!$A$2:$A$379,bkc_lob,_book!$B$2:$B$379,bkc_bu)/SUMIFS(_book!$BB$2:$BB$379,_book!$C$2:$C$379,$A66,_book!$A$2:$A$379,bkc_lob,_book!$B$2:$B$379,bkc_bu))</f>
        <v>3.1412781341603316E-2</v>
      </c>
      <c r="F66" s="78">
        <f>IF(SUMIFS(_book!$BC$2:$BC$379,_book!$C$2:$C$379,$A66,_book!$A$2:$A$379,bkc_lob,_book!$B$2:$B$379,bkc_bu)=0,"—",SUMIFS(_book!$BO$2:$BO$379,_book!$C$2:$C$379,$A66,_book!$A$2:$A$379,bkc_lob,_book!$B$2:$B$379,bkc_bu)/SUMIFS(_book!$BC$2:$BC$379,_book!$C$2:$C$379,$A66,_book!$A$2:$A$379,bkc_lob,_book!$B$2:$B$379,bkc_bu))</f>
        <v>1.3161069341912029E-2</v>
      </c>
      <c r="G66" s="78">
        <f>IF(SUMIFS(_book!$BD$2:$BD$379,_book!$C$2:$C$379,$A66,_book!$A$2:$A$379,bkc_lob,_book!$B$2:$B$379,bkc_bu)=0,"—",SUMIFS(_book!$BP$2:$BP$379,_book!$C$2:$C$379,$A66,_book!$A$2:$A$379,bkc_lob,_book!$B$2:$B$379,bkc_bu)/SUMIFS(_book!$BD$2:$BD$379,_book!$C$2:$C$379,$A66,_book!$A$2:$A$379,bkc_lob,_book!$B$2:$B$379,bkc_bu))</f>
        <v>2.6655171420053622E-2</v>
      </c>
      <c r="H66" s="78">
        <f>IF(SUMIFS(_book!$BE$2:$BE$379,_book!$C$2:$C$379,$A66,_book!$A$2:$A$379,bkc_lob,_book!$B$2:$B$379,bkc_bu)=0,"—",SUMIFS(_book!$BQ$2:$BQ$379,_book!$C$2:$C$379,$A66,_book!$A$2:$A$379,bkc_lob,_book!$B$2:$B$379,bkc_bu)/SUMIFS(_book!$BE$2:$BE$379,_book!$C$2:$C$379,$A66,_book!$A$2:$A$379,bkc_lob,_book!$B$2:$B$379,bkc_bu))</f>
        <v>2.6640491799290303E-2</v>
      </c>
      <c r="I66" s="78">
        <f>IF(SUMIFS(_book!$BF$2:$BF$379,_book!$C$2:$C$379,$A66,_book!$A$2:$A$379,bkc_lob,_book!$B$2:$B$379,bkc_bu)=0,"—",SUMIFS(_book!$BR$2:$BR$379,_book!$C$2:$C$379,$A66,_book!$A$2:$A$379,bkc_lob,_book!$B$2:$B$379,bkc_bu)/SUMIFS(_book!$BF$2:$BF$379,_book!$C$2:$C$379,$A66,_book!$A$2:$A$379,bkc_lob,_book!$B$2:$B$379,bkc_bu))</f>
        <v>2.662560478130362E-2</v>
      </c>
      <c r="J66" s="78">
        <f>IF(SUMIFS(_book!$BG$2:$BG$379,_book!$C$2:$C$379,$A66,_book!$A$2:$A$379,bkc_lob,_book!$B$2:$B$379,bkc_bu)=0,"—",SUMIFS(_book!$BS$2:$BS$379,_book!$C$2:$C$379,$A66,_book!$A$2:$A$379,bkc_lob,_book!$B$2:$B$379,bkc_bu)/SUMIFS(_book!$BG$2:$BG$379,_book!$C$2:$C$379,$A66,_book!$A$2:$A$379,bkc_lob,_book!$B$2:$B$379,bkc_bu))</f>
        <v>2.6610990483077367E-2</v>
      </c>
      <c r="K66" s="78">
        <f>IF(SUMIFS(_book!$BH$2:$BH$379,_book!$C$2:$C$379,$A66,_book!$A$2:$A$379,bkc_lob,_book!$B$2:$B$379,bkc_bu)=0,"—",SUMIFS(_book!$BT$2:$BT$379,_book!$C$2:$C$379,$A66,_book!$A$2:$A$379,bkc_lob,_book!$B$2:$B$379,bkc_bu)/SUMIFS(_book!$BH$2:$BH$379,_book!$C$2:$C$379,$A66,_book!$A$2:$A$379,bkc_lob,_book!$B$2:$B$379,bkc_bu))</f>
        <v>2.6596408418295626E-2</v>
      </c>
      <c r="L66" s="78">
        <f>IF(SUMIFS(_book!$BI$2:$BI$379,_book!$C$2:$C$379,$A66,_book!$A$2:$A$379,bkc_lob,_book!$B$2:$B$379,bkc_bu)=0,"—",SUMIFS(_book!$BU$2:$BU$379,_book!$C$2:$C$379,$A66,_book!$A$2:$A$379,bkc_lob,_book!$B$2:$B$379,bkc_bu)/SUMIFS(_book!$BI$2:$BI$379,_book!$C$2:$C$379,$A66,_book!$A$2:$A$379,bkc_lob,_book!$B$2:$B$379,bkc_bu))</f>
        <v>2.6581858479995842E-2</v>
      </c>
      <c r="M66" s="78">
        <f>IF(SUMIFS(_book!$BJ$2:$BJ$379,_book!$C$2:$C$379,$A66,_book!$A$2:$A$379,bkc_lob,_book!$B$2:$B$379,bkc_bu)=0,"—",SUMIFS(_book!$BV$2:$BV$379,_book!$C$2:$C$379,$A66,_book!$A$2:$A$379,bkc_lob,_book!$B$2:$B$379,bkc_bu)/SUMIFS(_book!$BJ$2:$BJ$379,_book!$C$2:$C$379,$A66,_book!$A$2:$A$379,bkc_lob,_book!$B$2:$B$379,bkc_bu))</f>
        <v>2.6567340561690723E-2</v>
      </c>
    </row>
    <row r="67" spans="1:13" x14ac:dyDescent="0.3">
      <c r="A67" s="77" t="s">
        <v>58</v>
      </c>
      <c r="B67" s="78">
        <f>IF(SUMIFS(_book!$AY$2:$AY$379,_book!$C$2:$C$379,$A67,_book!$A$2:$A$379,bkc_lob,_book!$B$2:$B$379,bkc_bu)=0,"—",SUMIFS(_book!$BK$2:$BK$379,_book!$C$2:$C$379,$A67,_book!$A$2:$A$379,bkc_lob,_book!$B$2:$B$379,bkc_bu)/SUMIFS(_book!$AY$2:$AY$379,_book!$C$2:$C$379,$A67,_book!$A$2:$A$379,bkc_lob,_book!$B$2:$B$379,bkc_bu))</f>
        <v>1.354132771465132E-2</v>
      </c>
      <c r="C67" s="78">
        <f>IF(SUMIFS(_book!$AZ$2:$AZ$379,_book!$C$2:$C$379,$A67,_book!$A$2:$A$379,bkc_lob,_book!$B$2:$B$379,bkc_bu)=0,"—",SUMIFS(_book!$BL$2:$BL$379,_book!$C$2:$C$379,$A67,_book!$A$2:$A$379,bkc_lob,_book!$B$2:$B$379,bkc_bu)/SUMIFS(_book!$AZ$2:$AZ$379,_book!$C$2:$C$379,$A67,_book!$A$2:$A$379,bkc_lob,_book!$B$2:$B$379,bkc_bu))</f>
        <v>1.3123591809727594E-2</v>
      </c>
      <c r="D67" s="78">
        <f>IF(SUMIFS(_book!$BA$2:$BA$379,_book!$C$2:$C$379,$A67,_book!$A$2:$A$379,bkc_lob,_book!$B$2:$B$379,bkc_bu)=0,"—",SUMIFS(_book!$BM$2:$BM$379,_book!$C$2:$C$379,$A67,_book!$A$2:$A$379,bkc_lob,_book!$B$2:$B$379,bkc_bu)/SUMIFS(_book!$BA$2:$BA$379,_book!$C$2:$C$379,$A67,_book!$A$2:$A$379,bkc_lob,_book!$B$2:$B$379,bkc_bu))</f>
        <v>1.27065989818714E-2</v>
      </c>
      <c r="E67" s="78">
        <f>IF(SUMIFS(_book!$BB$2:$BB$379,_book!$C$2:$C$379,$A67,_book!$A$2:$A$379,bkc_lob,_book!$B$2:$B$379,bkc_bu)=0,"—",SUMIFS(_book!$BN$2:$BN$379,_book!$C$2:$C$379,$A67,_book!$A$2:$A$379,bkc_lob,_book!$B$2:$B$379,bkc_bu)/SUMIFS(_book!$BB$2:$BB$379,_book!$C$2:$C$379,$A67,_book!$A$2:$A$379,bkc_lob,_book!$B$2:$B$379,bkc_bu))</f>
        <v>1.2276249965992971E-2</v>
      </c>
      <c r="F67" s="78">
        <f>IF(SUMIFS(_book!$BC$2:$BC$379,_book!$C$2:$C$379,$A67,_book!$A$2:$A$379,bkc_lob,_book!$B$2:$B$379,bkc_bu)=0,"—",SUMIFS(_book!$BO$2:$BO$379,_book!$C$2:$C$379,$A67,_book!$A$2:$A$379,bkc_lob,_book!$B$2:$B$379,bkc_bu)/SUMIFS(_book!$BC$2:$BC$379,_book!$C$2:$C$379,$A67,_book!$A$2:$A$379,bkc_lob,_book!$B$2:$B$379,bkc_bu))</f>
        <v>1.1846690921128708E-2</v>
      </c>
      <c r="G67" s="78">
        <f>IF(SUMIFS(_book!$BD$2:$BD$379,_book!$C$2:$C$379,$A67,_book!$A$2:$A$379,bkc_lob,_book!$B$2:$B$379,bkc_bu)=0,"—",SUMIFS(_book!$BP$2:$BP$379,_book!$C$2:$C$379,$A67,_book!$A$2:$A$379,bkc_lob,_book!$B$2:$B$379,bkc_bu)/SUMIFS(_book!$BD$2:$BD$379,_book!$C$2:$C$379,$A67,_book!$A$2:$A$379,bkc_lob,_book!$B$2:$B$379,bkc_bu))</f>
        <v>9.8235266312210519E-3</v>
      </c>
      <c r="H67" s="78">
        <f>IF(SUMIFS(_book!$BE$2:$BE$379,_book!$C$2:$C$379,$A67,_book!$A$2:$A$379,bkc_lob,_book!$B$2:$B$379,bkc_bu)=0,"—",SUMIFS(_book!$BQ$2:$BQ$379,_book!$C$2:$C$379,$A67,_book!$A$2:$A$379,bkc_lob,_book!$B$2:$B$379,bkc_bu)/SUMIFS(_book!$BE$2:$BE$379,_book!$C$2:$C$379,$A67,_book!$A$2:$A$379,bkc_lob,_book!$B$2:$B$379,bkc_bu))</f>
        <v>9.397583536050998E-3</v>
      </c>
      <c r="I67" s="78">
        <f>IF(SUMIFS(_book!$BF$2:$BF$379,_book!$C$2:$C$379,$A67,_book!$A$2:$A$379,bkc_lob,_book!$B$2:$B$379,bkc_bu)=0,"—",SUMIFS(_book!$BR$2:$BR$379,_book!$C$2:$C$379,$A67,_book!$A$2:$A$379,bkc_lob,_book!$B$2:$B$379,bkc_bu)/SUMIFS(_book!$BF$2:$BF$379,_book!$C$2:$C$379,$A67,_book!$A$2:$A$379,bkc_lob,_book!$B$2:$B$379,bkc_bu))</f>
        <v>8.9654566958984605E-3</v>
      </c>
      <c r="J67" s="78">
        <f>IF(SUMIFS(_book!$BG$2:$BG$379,_book!$C$2:$C$379,$A67,_book!$A$2:$A$379,bkc_lob,_book!$B$2:$B$379,bkc_bu)=0,"—",SUMIFS(_book!$BS$2:$BS$379,_book!$C$2:$C$379,$A67,_book!$A$2:$A$379,bkc_lob,_book!$B$2:$B$379,bkc_bu)/SUMIFS(_book!$BG$2:$BG$379,_book!$C$2:$C$379,$A67,_book!$A$2:$A$379,bkc_lob,_book!$B$2:$B$379,bkc_bu))</f>
        <v>8.5410834983250528E-3</v>
      </c>
      <c r="K67" s="78">
        <f>IF(SUMIFS(_book!$BH$2:$BH$379,_book!$C$2:$C$379,$A67,_book!$A$2:$A$379,bkc_lob,_book!$B$2:$B$379,bkc_bu)=0,"—",SUMIFS(_book!$BT$2:$BT$379,_book!$C$2:$C$379,$A67,_book!$A$2:$A$379,bkc_lob,_book!$B$2:$B$379,bkc_bu)/SUMIFS(_book!$BH$2:$BH$379,_book!$C$2:$C$379,$A67,_book!$A$2:$A$379,bkc_lob,_book!$B$2:$B$379,bkc_bu))</f>
        <v>8.3318368249162382E-3</v>
      </c>
      <c r="L67" s="78">
        <f>IF(SUMIFS(_book!$BI$2:$BI$379,_book!$C$2:$C$379,$A67,_book!$A$2:$A$379,bkc_lob,_book!$B$2:$B$379,bkc_bu)=0,"—",SUMIFS(_book!$BU$2:$BU$379,_book!$C$2:$C$379,$A67,_book!$A$2:$A$379,bkc_lob,_book!$B$2:$B$379,bkc_bu)/SUMIFS(_book!$BI$2:$BI$379,_book!$C$2:$C$379,$A67,_book!$A$2:$A$379,bkc_lob,_book!$B$2:$B$379,bkc_bu))</f>
        <v>8.3302162919167994E-3</v>
      </c>
      <c r="M67" s="78">
        <f>IF(SUMIFS(_book!$BJ$2:$BJ$379,_book!$C$2:$C$379,$A67,_book!$A$2:$A$379,bkc_lob,_book!$B$2:$B$379,bkc_bu)=0,"—",SUMIFS(_book!$BV$2:$BV$379,_book!$C$2:$C$379,$A67,_book!$A$2:$A$379,bkc_lob,_book!$B$2:$B$379,bkc_bu)/SUMIFS(_book!$BJ$2:$BJ$379,_book!$C$2:$C$379,$A67,_book!$A$2:$A$379,bkc_lob,_book!$B$2:$B$379,bkc_bu))</f>
        <v>8.328594565727019E-3</v>
      </c>
    </row>
    <row r="68" spans="1:13" x14ac:dyDescent="0.3">
      <c r="A68" s="77" t="s">
        <v>65</v>
      </c>
      <c r="B68" s="78">
        <f>IF(SUMIFS(_book!$AY$2:$AY$379,_book!$C$2:$C$379,$A68,_book!$A$2:$A$379,bkc_lob,_book!$B$2:$B$379,bkc_bu)=0,"—",SUMIFS(_book!$BK$2:$BK$379,_book!$C$2:$C$379,$A68,_book!$A$2:$A$379,bkc_lob,_book!$B$2:$B$379,bkc_bu)/SUMIFS(_book!$AY$2:$AY$379,_book!$C$2:$C$379,$A68,_book!$A$2:$A$379,bkc_lob,_book!$B$2:$B$379,bkc_bu))</f>
        <v>5.9396841260158317E-2</v>
      </c>
      <c r="C68" s="78">
        <f>IF(SUMIFS(_book!$AZ$2:$AZ$379,_book!$C$2:$C$379,$A68,_book!$A$2:$A$379,bkc_lob,_book!$B$2:$B$379,bkc_bu)=0,"—",SUMIFS(_book!$BL$2:$BL$379,_book!$C$2:$C$379,$A68,_book!$A$2:$A$379,bkc_lob,_book!$B$2:$B$379,bkc_bu)/SUMIFS(_book!$AZ$2:$AZ$379,_book!$C$2:$C$379,$A68,_book!$A$2:$A$379,bkc_lob,_book!$B$2:$B$379,bkc_bu))</f>
        <v>5.8714643794146038E-2</v>
      </c>
      <c r="D68" s="78">
        <f>IF(SUMIFS(_book!$BA$2:$BA$379,_book!$C$2:$C$379,$A68,_book!$A$2:$A$379,bkc_lob,_book!$B$2:$B$379,bkc_bu)=0,"—",SUMIFS(_book!$BM$2:$BM$379,_book!$C$2:$C$379,$A68,_book!$A$2:$A$379,bkc_lob,_book!$B$2:$B$379,bkc_bu)/SUMIFS(_book!$BA$2:$BA$379,_book!$C$2:$C$379,$A68,_book!$A$2:$A$379,bkc_lob,_book!$B$2:$B$379,bkc_bu))</f>
        <v>5.8034867706204876E-2</v>
      </c>
      <c r="E68" s="78">
        <f>IF(SUMIFS(_book!$BB$2:$BB$379,_book!$C$2:$C$379,$A68,_book!$A$2:$A$379,bkc_lob,_book!$B$2:$B$379,bkc_bu)=0,"—",SUMIFS(_book!$BN$2:$BN$379,_book!$C$2:$C$379,$A68,_book!$A$2:$A$379,bkc_lob,_book!$B$2:$B$379,bkc_bu)/SUMIFS(_book!$BB$2:$BB$379,_book!$C$2:$C$379,$A68,_book!$A$2:$A$379,bkc_lob,_book!$B$2:$B$379,bkc_bu))</f>
        <v>4.7932524059222666E-2</v>
      </c>
      <c r="F68" s="78">
        <f>IF(SUMIFS(_book!$BC$2:$BC$379,_book!$C$2:$C$379,$A68,_book!$A$2:$A$379,bkc_lob,_book!$B$2:$B$379,bkc_bu)=0,"—",SUMIFS(_book!$BO$2:$BO$379,_book!$C$2:$C$379,$A68,_book!$A$2:$A$379,bkc_lob,_book!$B$2:$B$379,bkc_bu)/SUMIFS(_book!$BC$2:$BC$379,_book!$C$2:$C$379,$A68,_book!$A$2:$A$379,bkc_lob,_book!$B$2:$B$379,bkc_bu))</f>
        <v>5.0763151800360715E-2</v>
      </c>
      <c r="G68" s="78">
        <f>IF(SUMIFS(_book!$BD$2:$BD$379,_book!$C$2:$C$379,$A68,_book!$A$2:$A$379,bkc_lob,_book!$B$2:$B$379,bkc_bu)=0,"—",SUMIFS(_book!$BP$2:$BP$379,_book!$C$2:$C$379,$A68,_book!$A$2:$A$379,bkc_lob,_book!$B$2:$B$379,bkc_bu)/SUMIFS(_book!$BD$2:$BD$379,_book!$C$2:$C$379,$A68,_book!$A$2:$A$379,bkc_lob,_book!$B$2:$B$379,bkc_bu))</f>
        <v>5.0054239629814756E-2</v>
      </c>
      <c r="H68" s="78">
        <f>IF(SUMIFS(_book!$BE$2:$BE$379,_book!$C$2:$C$379,$A68,_book!$A$2:$A$379,bkc_lob,_book!$B$2:$B$379,bkc_bu)=0,"—",SUMIFS(_book!$BQ$2:$BQ$379,_book!$C$2:$C$379,$A68,_book!$A$2:$A$379,bkc_lob,_book!$B$2:$B$379,bkc_bu)/SUMIFS(_book!$BE$2:$BE$379,_book!$C$2:$C$379,$A68,_book!$A$2:$A$379,bkc_lob,_book!$B$2:$B$379,bkc_bu))</f>
        <v>1.6294265309141038E-2</v>
      </c>
      <c r="I68" s="78">
        <f>IF(SUMIFS(_book!$BF$2:$BF$379,_book!$C$2:$C$379,$A68,_book!$A$2:$A$379,bkc_lob,_book!$B$2:$B$379,bkc_bu)=0,"—",SUMIFS(_book!$BR$2:$BR$379,_book!$C$2:$C$379,$A68,_book!$A$2:$A$379,bkc_lob,_book!$B$2:$B$379,bkc_bu)/SUMIFS(_book!$BF$2:$BF$379,_book!$C$2:$C$379,$A68,_book!$A$2:$A$379,bkc_lob,_book!$B$2:$B$379,bkc_bu))</f>
        <v>1.5622443414408429E-2</v>
      </c>
      <c r="J68" s="78">
        <f>IF(SUMIFS(_book!$BG$2:$BG$379,_book!$C$2:$C$379,$A68,_book!$A$2:$A$379,bkc_lob,_book!$B$2:$B$379,bkc_bu)=0,"—",SUMIFS(_book!$BS$2:$BS$379,_book!$C$2:$C$379,$A68,_book!$A$2:$A$379,bkc_lob,_book!$B$2:$B$379,bkc_bu)/SUMIFS(_book!$BG$2:$BG$379,_book!$C$2:$C$379,$A68,_book!$A$2:$A$379,bkc_lob,_book!$B$2:$B$379,bkc_bu))</f>
        <v>1.496387557078855E-2</v>
      </c>
      <c r="K68" s="78">
        <f>IF(SUMIFS(_book!$BH$2:$BH$379,_book!$C$2:$C$379,$A68,_book!$A$2:$A$379,bkc_lob,_book!$B$2:$B$379,bkc_bu)=0,"—",SUMIFS(_book!$BT$2:$BT$379,_book!$C$2:$C$379,$A68,_book!$A$2:$A$379,bkc_lob,_book!$B$2:$B$379,bkc_bu)/SUMIFS(_book!$BH$2:$BH$379,_book!$C$2:$C$379,$A68,_book!$A$2:$A$379,bkc_lob,_book!$B$2:$B$379,bkc_bu))</f>
        <v>1.4307693094101095E-2</v>
      </c>
      <c r="L68" s="78">
        <f>IF(SUMIFS(_book!$BI$2:$BI$379,_book!$C$2:$C$379,$A68,_book!$A$2:$A$379,bkc_lob,_book!$B$2:$B$379,bkc_bu)=0,"—",SUMIFS(_book!$BU$2:$BU$379,_book!$C$2:$C$379,$A68,_book!$A$2:$A$379,bkc_lob,_book!$B$2:$B$379,bkc_bu)/SUMIFS(_book!$BI$2:$BI$379,_book!$C$2:$C$379,$A68,_book!$A$2:$A$379,bkc_lob,_book!$B$2:$B$379,bkc_bu))</f>
        <v>1.3653882965437894E-2</v>
      </c>
      <c r="M68" s="78">
        <f>IF(SUMIFS(_book!$BJ$2:$BJ$379,_book!$C$2:$C$379,$A68,_book!$A$2:$A$379,bkc_lob,_book!$B$2:$B$379,bkc_bu)=0,"—",SUMIFS(_book!$BV$2:$BV$379,_book!$C$2:$C$379,$A68,_book!$A$2:$A$379,bkc_lob,_book!$B$2:$B$379,bkc_bu)/SUMIFS(_book!$BJ$2:$BJ$379,_book!$C$2:$C$379,$A68,_book!$A$2:$A$379,bkc_lob,_book!$B$2:$B$379,bkc_bu))</f>
        <v>1.3002432260931914E-2</v>
      </c>
    </row>
    <row r="69" spans="1:13" x14ac:dyDescent="0.3">
      <c r="A69" s="77" t="s">
        <v>66</v>
      </c>
      <c r="B69" s="78">
        <f>IF(SUMIFS(_book!$AY$2:$AY$379,_book!$C$2:$C$379,$A69,_book!$A$2:$A$379,bkc_lob,_book!$B$2:$B$379,bkc_bu)=0,"—",SUMIFS(_book!$BK$2:$BK$379,_book!$C$2:$C$379,$A69,_book!$A$2:$A$379,bkc_lob,_book!$B$2:$B$379,bkc_bu)/SUMIFS(_book!$AY$2:$AY$379,_book!$C$2:$C$379,$A69,_book!$A$2:$A$379,bkc_lob,_book!$B$2:$B$379,bkc_bu))</f>
        <v>4.1329825896068643E-2</v>
      </c>
      <c r="C69" s="78">
        <f>IF(SUMIFS(_book!$AZ$2:$AZ$379,_book!$C$2:$C$379,$A69,_book!$A$2:$A$379,bkc_lob,_book!$B$2:$B$379,bkc_bu)=0,"—",SUMIFS(_book!$BL$2:$BL$379,_book!$C$2:$C$379,$A69,_book!$A$2:$A$379,bkc_lob,_book!$B$2:$B$379,bkc_bu)/SUMIFS(_book!$AZ$2:$AZ$379,_book!$C$2:$C$379,$A69,_book!$A$2:$A$379,bkc_lob,_book!$B$2:$B$379,bkc_bu))</f>
        <v>2.0175307859855933E-2</v>
      </c>
      <c r="D69" s="78">
        <f>IF(SUMIFS(_book!$BA$2:$BA$379,_book!$C$2:$C$379,$A69,_book!$A$2:$A$379,bkc_lob,_book!$B$2:$B$379,bkc_bu)=0,"—",SUMIFS(_book!$BM$2:$BM$379,_book!$C$2:$C$379,$A69,_book!$A$2:$A$379,bkc_lob,_book!$B$2:$B$379,bkc_bu)/SUMIFS(_book!$BA$2:$BA$379,_book!$C$2:$C$379,$A69,_book!$A$2:$A$379,bkc_lob,_book!$B$2:$B$379,bkc_bu))</f>
        <v>2.0169006698198277E-2</v>
      </c>
      <c r="E69" s="78">
        <f>IF(SUMIFS(_book!$BB$2:$BB$379,_book!$C$2:$C$379,$A69,_book!$A$2:$A$379,bkc_lob,_book!$B$2:$B$379,bkc_bu)=0,"—",SUMIFS(_book!$BN$2:$BN$379,_book!$C$2:$C$379,$A69,_book!$A$2:$A$379,bkc_lob,_book!$B$2:$B$379,bkc_bu)/SUMIFS(_book!$BB$2:$BB$379,_book!$C$2:$C$379,$A69,_book!$A$2:$A$379,bkc_lob,_book!$B$2:$B$379,bkc_bu))</f>
        <v>2.0162482548906888E-2</v>
      </c>
      <c r="F69" s="78">
        <f>IF(SUMIFS(_book!$BC$2:$BC$379,_book!$C$2:$C$379,$A69,_book!$A$2:$A$379,bkc_lob,_book!$B$2:$B$379,bkc_bu)=0,"—",SUMIFS(_book!$BO$2:$BO$379,_book!$C$2:$C$379,$A69,_book!$A$2:$A$379,bkc_lob,_book!$B$2:$B$379,bkc_bu)/SUMIFS(_book!$BC$2:$BC$379,_book!$C$2:$C$379,$A69,_book!$A$2:$A$379,bkc_lob,_book!$B$2:$B$379,bkc_bu))</f>
        <v>3.6343128664957963E-3</v>
      </c>
      <c r="G69" s="78">
        <f>IF(SUMIFS(_book!$BD$2:$BD$379,_book!$C$2:$C$379,$A69,_book!$A$2:$A$379,bkc_lob,_book!$B$2:$B$379,bkc_bu)=0,"—",SUMIFS(_book!$BP$2:$BP$379,_book!$C$2:$C$379,$A69,_book!$A$2:$A$379,bkc_lob,_book!$B$2:$B$379,bkc_bu)/SUMIFS(_book!$BD$2:$BD$379,_book!$C$2:$C$379,$A69,_book!$A$2:$A$379,bkc_lob,_book!$B$2:$B$379,bkc_bu))</f>
        <v>3.6278755336717735E-3</v>
      </c>
      <c r="H69" s="78">
        <f>IF(SUMIFS(_book!$BE$2:$BE$379,_book!$C$2:$C$379,$A69,_book!$A$2:$A$379,bkc_lob,_book!$B$2:$B$379,bkc_bu)=0,"—",SUMIFS(_book!$BQ$2:$BQ$379,_book!$C$2:$C$379,$A69,_book!$A$2:$A$379,bkc_lob,_book!$B$2:$B$379,bkc_bu)/SUMIFS(_book!$BE$2:$BE$379,_book!$C$2:$C$379,$A69,_book!$A$2:$A$379,bkc_lob,_book!$B$2:$B$379,bkc_bu))</f>
        <v>3.621428747848543E-3</v>
      </c>
      <c r="I69" s="78">
        <f>IF(SUMIFS(_book!$BF$2:$BF$379,_book!$C$2:$C$379,$A69,_book!$A$2:$A$379,bkc_lob,_book!$B$2:$B$379,bkc_bu)=0,"—",SUMIFS(_book!$BR$2:$BR$379,_book!$C$2:$C$379,$A69,_book!$A$2:$A$379,bkc_lob,_book!$B$2:$B$379,bkc_bu)/SUMIFS(_book!$BF$2:$BF$379,_book!$C$2:$C$379,$A69,_book!$A$2:$A$379,bkc_lob,_book!$B$2:$B$379,bkc_bu))</f>
        <v>-8.7210492626645132E-3</v>
      </c>
      <c r="J69" s="78">
        <f>IF(SUMIFS(_book!$BG$2:$BG$379,_book!$C$2:$C$379,$A69,_book!$A$2:$A$379,bkc_lob,_book!$B$2:$B$379,bkc_bu)=0,"—",SUMIFS(_book!$BS$2:$BS$379,_book!$C$2:$C$379,$A69,_book!$A$2:$A$379,bkc_lob,_book!$B$2:$B$379,bkc_bu)/SUMIFS(_book!$BG$2:$BG$379,_book!$C$2:$C$379,$A69,_book!$A$2:$A$379,bkc_lob,_book!$B$2:$B$379,bkc_bu))</f>
        <v>-8.7274356975135109E-3</v>
      </c>
      <c r="K69" s="78">
        <f>IF(SUMIFS(_book!$BH$2:$BH$379,_book!$C$2:$C$379,$A69,_book!$A$2:$A$379,bkc_lob,_book!$B$2:$B$379,bkc_bu)=0,"—",SUMIFS(_book!$BT$2:$BT$379,_book!$C$2:$C$379,$A69,_book!$A$2:$A$379,bkc_lob,_book!$B$2:$B$379,bkc_bu)/SUMIFS(_book!$BH$2:$BH$379,_book!$C$2:$C$379,$A69,_book!$A$2:$A$379,bkc_lob,_book!$B$2:$B$379,bkc_bu))</f>
        <v>5.364176197632858E-3</v>
      </c>
      <c r="L69" s="78">
        <f>IF(SUMIFS(_book!$BI$2:$BI$379,_book!$C$2:$C$379,$A69,_book!$A$2:$A$379,bkc_lob,_book!$B$2:$B$379,bkc_bu)=0,"—",SUMIFS(_book!$BU$2:$BU$379,_book!$C$2:$C$379,$A69,_book!$A$2:$A$379,bkc_lob,_book!$B$2:$B$379,bkc_bu)/SUMIFS(_book!$BI$2:$BI$379,_book!$C$2:$C$379,$A69,_book!$A$2:$A$379,bkc_lob,_book!$B$2:$B$379,bkc_bu))</f>
        <v>5.3576798463186521E-3</v>
      </c>
      <c r="M69" s="78">
        <f>IF(SUMIFS(_book!$BJ$2:$BJ$379,_book!$C$2:$C$379,$A69,_book!$A$2:$A$379,bkc_lob,_book!$B$2:$B$379,bkc_bu)=0,"—",SUMIFS(_book!$BV$2:$BV$379,_book!$C$2:$C$379,$A69,_book!$A$2:$A$379,bkc_lob,_book!$B$2:$B$379,bkc_bu)/SUMIFS(_book!$BJ$2:$BJ$379,_book!$C$2:$C$379,$A69,_book!$A$2:$A$379,bkc_lob,_book!$B$2:$B$379,bkc_bu))</f>
        <v>5.3511739196342618E-3</v>
      </c>
    </row>
    <row r="70" spans="1:13" x14ac:dyDescent="0.3">
      <c r="A70" s="77" t="s">
        <v>67</v>
      </c>
      <c r="B70" s="78">
        <f>IF(SUMIFS(_book!$AY$2:$AY$379,_book!$C$2:$C$379,$A70,_book!$A$2:$A$379,bkc_lob,_book!$B$2:$B$379,bkc_bu)=0,"—",SUMIFS(_book!$BK$2:$BK$379,_book!$C$2:$C$379,$A70,_book!$A$2:$A$379,bkc_lob,_book!$B$2:$B$379,bkc_bu)/SUMIFS(_book!$AY$2:$AY$379,_book!$C$2:$C$379,$A70,_book!$A$2:$A$379,bkc_lob,_book!$B$2:$B$379,bkc_bu))</f>
        <v>4.0901697888501967E-2</v>
      </c>
      <c r="C70" s="78">
        <f>IF(SUMIFS(_book!$AZ$2:$AZ$379,_book!$C$2:$C$379,$A70,_book!$A$2:$A$379,bkc_lob,_book!$B$2:$B$379,bkc_bu)=0,"—",SUMIFS(_book!$BL$2:$BL$379,_book!$C$2:$C$379,$A70,_book!$A$2:$A$379,bkc_lob,_book!$B$2:$B$379,bkc_bu)/SUMIFS(_book!$AZ$2:$AZ$379,_book!$C$2:$C$379,$A70,_book!$A$2:$A$379,bkc_lob,_book!$B$2:$B$379,bkc_bu))</f>
        <v>4.0900085711504705E-2</v>
      </c>
      <c r="D70" s="78">
        <f>IF(SUMIFS(_book!$BA$2:$BA$379,_book!$C$2:$C$379,$A70,_book!$A$2:$A$379,bkc_lob,_book!$B$2:$B$379,bkc_bu)=0,"—",SUMIFS(_book!$BM$2:$BM$379,_book!$C$2:$C$379,$A70,_book!$A$2:$A$379,bkc_lob,_book!$B$2:$B$379,bkc_bu)/SUMIFS(_book!$BA$2:$BA$379,_book!$C$2:$C$379,$A70,_book!$A$2:$A$379,bkc_lob,_book!$B$2:$B$379,bkc_bu))</f>
        <v>4.0898474684350761E-2</v>
      </c>
      <c r="E70" s="78">
        <f>IF(SUMIFS(_book!$BB$2:$BB$379,_book!$C$2:$C$379,$A70,_book!$A$2:$A$379,bkc_lob,_book!$B$2:$B$379,bkc_bu)=0,"—",SUMIFS(_book!$BN$2:$BN$379,_book!$C$2:$C$379,$A70,_book!$A$2:$A$379,bkc_lob,_book!$B$2:$B$379,bkc_bu)/SUMIFS(_book!$BB$2:$BB$379,_book!$C$2:$C$379,$A70,_book!$A$2:$A$379,bkc_lob,_book!$B$2:$B$379,bkc_bu))</f>
        <v>5.6966796096278548E-2</v>
      </c>
      <c r="F70" s="78">
        <f>IF(SUMIFS(_book!$BC$2:$BC$379,_book!$C$2:$C$379,$A70,_book!$A$2:$A$379,bkc_lob,_book!$B$2:$B$379,bkc_bu)=0,"—",SUMIFS(_book!$BO$2:$BO$379,_book!$C$2:$C$379,$A70,_book!$A$2:$A$379,bkc_lob,_book!$B$2:$B$379,bkc_bu)/SUMIFS(_book!$BC$2:$BC$379,_book!$C$2:$C$379,$A70,_book!$A$2:$A$379,bkc_lob,_book!$B$2:$B$379,bkc_bu))</f>
        <v>5.6965107214591741E-2</v>
      </c>
      <c r="G70" s="78">
        <f>IF(SUMIFS(_book!$BD$2:$BD$379,_book!$C$2:$C$379,$A70,_book!$A$2:$A$379,bkc_lob,_book!$B$2:$B$379,bkc_bu)=0,"—",SUMIFS(_book!$BP$2:$BP$379,_book!$C$2:$C$379,$A70,_book!$A$2:$A$379,bkc_lob,_book!$B$2:$B$379,bkc_bu)/SUMIFS(_book!$BD$2:$BD$379,_book!$C$2:$C$379,$A70,_book!$A$2:$A$379,bkc_lob,_book!$B$2:$B$379,bkc_bu))</f>
        <v>5.6963419576895116E-2</v>
      </c>
      <c r="H70" s="78">
        <f>IF(SUMIFS(_book!$BE$2:$BE$379,_book!$C$2:$C$379,$A70,_book!$A$2:$A$379,bkc_lob,_book!$B$2:$B$379,bkc_bu)=0,"—",SUMIFS(_book!$BQ$2:$BQ$379,_book!$C$2:$C$379,$A70,_book!$A$2:$A$379,bkc_lob,_book!$B$2:$B$379,bkc_bu)/SUMIFS(_book!$BE$2:$BE$379,_book!$C$2:$C$379,$A70,_book!$A$2:$A$379,bkc_lob,_book!$B$2:$B$379,bkc_bu))</f>
        <v>5.6961733181809131E-2</v>
      </c>
      <c r="I70" s="78">
        <f>IF(SUMIFS(_book!$BF$2:$BF$379,_book!$C$2:$C$379,$A70,_book!$A$2:$A$379,bkc_lob,_book!$B$2:$B$379,bkc_bu)=0,"—",SUMIFS(_book!$BR$2:$BR$379,_book!$C$2:$C$379,$A70,_book!$A$2:$A$379,bkc_lob,_book!$B$2:$B$379,bkc_bu)/SUMIFS(_book!$BF$2:$BF$379,_book!$C$2:$C$379,$A70,_book!$A$2:$A$379,bkc_lob,_book!$B$2:$B$379,bkc_bu))</f>
        <v>5.6960020412816212E-2</v>
      </c>
      <c r="J70" s="78">
        <f>IF(SUMIFS(_book!$BG$2:$BG$379,_book!$C$2:$C$379,$A70,_book!$A$2:$A$379,bkc_lob,_book!$B$2:$B$379,bkc_bu)=0,"—",SUMIFS(_book!$BS$2:$BS$379,_book!$C$2:$C$379,$A70,_book!$A$2:$A$379,bkc_lob,_book!$B$2:$B$379,bkc_bu)/SUMIFS(_book!$BG$2:$BG$379,_book!$C$2:$C$379,$A70,_book!$A$2:$A$379,bkc_lob,_book!$B$2:$B$379,bkc_bu))</f>
        <v>5.695833651913481E-2</v>
      </c>
      <c r="K70" s="78">
        <f>IF(SUMIFS(_book!$BH$2:$BH$379,_book!$C$2:$C$379,$A70,_book!$A$2:$A$379,bkc_lob,_book!$B$2:$B$379,bkc_bu)=0,"—",SUMIFS(_book!$BT$2:$BT$379,_book!$C$2:$C$379,$A70,_book!$A$2:$A$379,bkc_lob,_book!$B$2:$B$379,bkc_bu)/SUMIFS(_book!$BH$2:$BH$379,_book!$C$2:$C$379,$A70,_book!$A$2:$A$379,bkc_lob,_book!$B$2:$B$379,bkc_bu))</f>
        <v>3.2364941806726201E-2</v>
      </c>
      <c r="L70" s="78">
        <f>IF(SUMIFS(_book!$BI$2:$BI$379,_book!$C$2:$C$379,$A70,_book!$A$2:$A$379,bkc_lob,_book!$B$2:$B$379,bkc_bu)=0,"—",SUMIFS(_book!$BU$2:$BU$379,_book!$C$2:$C$379,$A70,_book!$A$2:$A$379,bkc_lob,_book!$B$2:$B$379,bkc_bu)/SUMIFS(_book!$BI$2:$BI$379,_book!$C$2:$C$379,$A70,_book!$A$2:$A$379,bkc_lob,_book!$B$2:$B$379,bkc_bu))</f>
        <v>3.2363299509358956E-2</v>
      </c>
      <c r="M70" s="78">
        <f>IF(SUMIFS(_book!$BJ$2:$BJ$379,_book!$C$2:$C$379,$A70,_book!$A$2:$A$379,bkc_lob,_book!$B$2:$B$379,bkc_bu)=0,"—",SUMIFS(_book!$BV$2:$BV$379,_book!$C$2:$C$379,$A70,_book!$A$2:$A$379,bkc_lob,_book!$B$2:$B$379,bkc_bu)/SUMIFS(_book!$BJ$2:$BJ$379,_book!$C$2:$C$379,$A70,_book!$A$2:$A$379,bkc_lob,_book!$B$2:$B$379,bkc_bu))</f>
        <v>3.2361658418961603E-2</v>
      </c>
    </row>
    <row r="71" spans="1:13" x14ac:dyDescent="0.3">
      <c r="A71" s="77" t="s">
        <v>73</v>
      </c>
      <c r="B71" s="78">
        <f>IF(SUMIFS(_book!$AY$2:$AY$379,_book!$C$2:$C$379,$A71,_book!$A$2:$A$379,bkc_lob,_book!$B$2:$B$379,bkc_bu)=0,"—",SUMIFS(_book!$BK$2:$BK$379,_book!$C$2:$C$379,$A71,_book!$A$2:$A$379,bkc_lob,_book!$B$2:$B$379,bkc_bu)/SUMIFS(_book!$AY$2:$AY$379,_book!$C$2:$C$379,$A71,_book!$A$2:$A$379,bkc_lob,_book!$B$2:$B$379,bkc_bu))</f>
        <v>5.6536732076352784E-2</v>
      </c>
      <c r="C71" s="78">
        <f>IF(SUMIFS(_book!$AZ$2:$AZ$379,_book!$C$2:$C$379,$A71,_book!$A$2:$A$379,bkc_lob,_book!$B$2:$B$379,bkc_bu)=0,"—",SUMIFS(_book!$BL$2:$BL$379,_book!$C$2:$C$379,$A71,_book!$A$2:$A$379,bkc_lob,_book!$B$2:$B$379,bkc_bu)/SUMIFS(_book!$AZ$2:$AZ$379,_book!$C$2:$C$379,$A71,_book!$A$2:$A$379,bkc_lob,_book!$B$2:$B$379,bkc_bu))</f>
        <v>5.6510430655901903E-2</v>
      </c>
      <c r="D71" s="78">
        <f>IF(SUMIFS(_book!$BA$2:$BA$379,_book!$C$2:$C$379,$A71,_book!$A$2:$A$379,bkc_lob,_book!$B$2:$B$379,bkc_bu)=0,"—",SUMIFS(_book!$BM$2:$BM$379,_book!$C$2:$C$379,$A71,_book!$A$2:$A$379,bkc_lob,_book!$B$2:$B$379,bkc_bu)/SUMIFS(_book!$BA$2:$BA$379,_book!$C$2:$C$379,$A71,_book!$A$2:$A$379,bkc_lob,_book!$B$2:$B$379,bkc_bu))</f>
        <v>5.6484204822640161E-2</v>
      </c>
      <c r="E71" s="78">
        <f>IF(SUMIFS(_book!$BB$2:$BB$379,_book!$C$2:$C$379,$A71,_book!$A$2:$A$379,bkc_lob,_book!$B$2:$B$379,bkc_bu)=0,"—",SUMIFS(_book!$BN$2:$BN$379,_book!$C$2:$C$379,$A71,_book!$A$2:$A$379,bkc_lob,_book!$B$2:$B$379,bkc_bu)/SUMIFS(_book!$BB$2:$BB$379,_book!$C$2:$C$379,$A71,_book!$A$2:$A$379,bkc_lob,_book!$B$2:$B$379,bkc_bu))</f>
        <v>5.2016718656632634E-2</v>
      </c>
      <c r="F71" s="78">
        <f>IF(SUMIFS(_book!$BC$2:$BC$379,_book!$C$2:$C$379,$A71,_book!$A$2:$A$379,bkc_lob,_book!$B$2:$B$379,bkc_bu)=0,"—",SUMIFS(_book!$BO$2:$BO$379,_book!$C$2:$C$379,$A71,_book!$A$2:$A$379,bkc_lob,_book!$B$2:$B$379,bkc_bu)/SUMIFS(_book!$BC$2:$BC$379,_book!$C$2:$C$379,$A71,_book!$A$2:$A$379,bkc_lob,_book!$B$2:$B$379,bkc_bu))</f>
        <v>5.1989876327670721E-2</v>
      </c>
      <c r="G71" s="78">
        <f>IF(SUMIFS(_book!$BD$2:$BD$379,_book!$C$2:$C$379,$A71,_book!$A$2:$A$379,bkc_lob,_book!$B$2:$B$379,bkc_bu)=0,"—",SUMIFS(_book!$BP$2:$BP$379,_book!$C$2:$C$379,$A71,_book!$A$2:$A$379,bkc_lob,_book!$B$2:$B$379,bkc_bu)/SUMIFS(_book!$BD$2:$BD$379,_book!$C$2:$C$379,$A71,_book!$A$2:$A$379,bkc_lob,_book!$B$2:$B$379,bkc_bu))</f>
        <v>5.1963113397092815E-2</v>
      </c>
      <c r="H71" s="78">
        <f>IF(SUMIFS(_book!$BE$2:$BE$379,_book!$C$2:$C$379,$A71,_book!$A$2:$A$379,bkc_lob,_book!$B$2:$B$379,bkc_bu)=0,"—",SUMIFS(_book!$BQ$2:$BQ$379,_book!$C$2:$C$379,$A71,_book!$A$2:$A$379,bkc_lob,_book!$B$2:$B$379,bkc_bu)/SUMIFS(_book!$BE$2:$BE$379,_book!$C$2:$C$379,$A71,_book!$A$2:$A$379,bkc_lob,_book!$B$2:$B$379,bkc_bu))</f>
        <v>4.3056206399367733E-2</v>
      </c>
      <c r="I71" s="78">
        <f>IF(SUMIFS(_book!$BF$2:$BF$379,_book!$C$2:$C$379,$A71,_book!$A$2:$A$379,bkc_lob,_book!$B$2:$B$379,bkc_bu)=0,"—",SUMIFS(_book!$BR$2:$BR$379,_book!$C$2:$C$379,$A71,_book!$A$2:$A$379,bkc_lob,_book!$B$2:$B$379,bkc_bu)/SUMIFS(_book!$BF$2:$BF$379,_book!$C$2:$C$379,$A71,_book!$A$2:$A$379,bkc_lob,_book!$B$2:$B$379,bkc_bu))</f>
        <v>4.3029393982675961E-2</v>
      </c>
      <c r="J71" s="78">
        <f>IF(SUMIFS(_book!$BG$2:$BG$379,_book!$C$2:$C$379,$A71,_book!$A$2:$A$379,bkc_lob,_book!$B$2:$B$379,bkc_bu)=0,"—",SUMIFS(_book!$BS$2:$BS$379,_book!$C$2:$C$379,$A71,_book!$A$2:$A$379,bkc_lob,_book!$B$2:$B$379,bkc_bu)/SUMIFS(_book!$BG$2:$BG$379,_book!$C$2:$C$379,$A71,_book!$A$2:$A$379,bkc_lob,_book!$B$2:$B$379,bkc_bu))</f>
        <v>4.3003092340886499E-2</v>
      </c>
      <c r="K71" s="78">
        <f>IF(SUMIFS(_book!$BH$2:$BH$379,_book!$C$2:$C$379,$A71,_book!$A$2:$A$379,bkc_lob,_book!$B$2:$B$379,bkc_bu)=0,"—",SUMIFS(_book!$BT$2:$BT$379,_book!$C$2:$C$379,$A71,_book!$A$2:$A$379,bkc_lob,_book!$B$2:$B$379,bkc_bu)/SUMIFS(_book!$BH$2:$BH$379,_book!$C$2:$C$379,$A71,_book!$A$2:$A$379,bkc_lob,_book!$B$2:$B$379,bkc_bu))</f>
        <v>3.4467301532600754E-2</v>
      </c>
      <c r="L71" s="78">
        <f>IF(SUMIFS(_book!$BI$2:$BI$379,_book!$C$2:$C$379,$A71,_book!$A$2:$A$379,bkc_lob,_book!$B$2:$B$379,bkc_bu)=0,"—",SUMIFS(_book!$BU$2:$BU$379,_book!$C$2:$C$379,$A71,_book!$A$2:$A$379,bkc_lob,_book!$B$2:$B$379,bkc_bu)/SUMIFS(_book!$BI$2:$BI$379,_book!$C$2:$C$379,$A71,_book!$A$2:$A$379,bkc_lob,_book!$B$2:$B$379,bkc_bu))</f>
        <v>3.4441367550640367E-2</v>
      </c>
      <c r="M71" s="78">
        <f>IF(SUMIFS(_book!$BJ$2:$BJ$379,_book!$C$2:$C$379,$A71,_book!$A$2:$A$379,bkc_lob,_book!$B$2:$B$379,bkc_bu)=0,"—",SUMIFS(_book!$BV$2:$BV$379,_book!$C$2:$C$379,$A71,_book!$A$2:$A$379,bkc_lob,_book!$B$2:$B$379,bkc_bu)/SUMIFS(_book!$BJ$2:$BJ$379,_book!$C$2:$C$379,$A71,_book!$A$2:$A$379,bkc_lob,_book!$B$2:$B$379,bkc_bu))</f>
        <v>3.4415509595308626E-2</v>
      </c>
    </row>
    <row r="72" spans="1:13" x14ac:dyDescent="0.3">
      <c r="A72" s="77" t="s">
        <v>78</v>
      </c>
      <c r="B72" s="78">
        <f>IF(SUMIFS(_book!$AY$2:$AY$379,_book!$C$2:$C$379,$A72,_book!$A$2:$A$379,bkc_lob,_book!$B$2:$B$379,bkc_bu)=0,"—",SUMIFS(_book!$BK$2:$BK$379,_book!$C$2:$C$379,$A72,_book!$A$2:$A$379,bkc_lob,_book!$B$2:$B$379,bkc_bu)/SUMIFS(_book!$AY$2:$AY$379,_book!$C$2:$C$379,$A72,_book!$A$2:$A$379,bkc_lob,_book!$B$2:$B$379,bkc_bu))</f>
        <v>3.0333333333333354E-2</v>
      </c>
      <c r="C72" s="78">
        <f>IF(SUMIFS(_book!$AZ$2:$AZ$379,_book!$C$2:$C$379,$A72,_book!$A$2:$A$379,bkc_lob,_book!$B$2:$B$379,bkc_bu)=0,"—",SUMIFS(_book!$BL$2:$BL$379,_book!$C$2:$C$379,$A72,_book!$A$2:$A$379,bkc_lob,_book!$B$2:$B$379,bkc_bu)/SUMIFS(_book!$AZ$2:$AZ$379,_book!$C$2:$C$379,$A72,_book!$A$2:$A$379,bkc_lob,_book!$B$2:$B$379,bkc_bu))</f>
        <v>3.0333333333333354E-2</v>
      </c>
      <c r="D72" s="78">
        <f>IF(SUMIFS(_book!$BA$2:$BA$379,_book!$C$2:$C$379,$A72,_book!$A$2:$A$379,bkc_lob,_book!$B$2:$B$379,bkc_bu)=0,"—",SUMIFS(_book!$BM$2:$BM$379,_book!$C$2:$C$379,$A72,_book!$A$2:$A$379,bkc_lob,_book!$B$2:$B$379,bkc_bu)/SUMIFS(_book!$BA$2:$BA$379,_book!$C$2:$C$379,$A72,_book!$A$2:$A$379,bkc_lob,_book!$B$2:$B$379,bkc_bu))</f>
        <v>3.0333333333333354E-2</v>
      </c>
      <c r="E72" s="78">
        <f>IF(SUMIFS(_book!$BB$2:$BB$379,_book!$C$2:$C$379,$A72,_book!$A$2:$A$379,bkc_lob,_book!$B$2:$B$379,bkc_bu)=0,"—",SUMIFS(_book!$BN$2:$BN$379,_book!$C$2:$C$379,$A72,_book!$A$2:$A$379,bkc_lob,_book!$B$2:$B$379,bkc_bu)/SUMIFS(_book!$BB$2:$BB$379,_book!$C$2:$C$379,$A72,_book!$A$2:$A$379,bkc_lob,_book!$B$2:$B$379,bkc_bu))</f>
        <v>3.0333333333333354E-2</v>
      </c>
      <c r="F72" s="78">
        <f>IF(SUMIFS(_book!$BC$2:$BC$379,_book!$C$2:$C$379,$A72,_book!$A$2:$A$379,bkc_lob,_book!$B$2:$B$379,bkc_bu)=0,"—",SUMIFS(_book!$BO$2:$BO$379,_book!$C$2:$C$379,$A72,_book!$A$2:$A$379,bkc_lob,_book!$B$2:$B$379,bkc_bu)/SUMIFS(_book!$BC$2:$BC$379,_book!$C$2:$C$379,$A72,_book!$A$2:$A$379,bkc_lob,_book!$B$2:$B$379,bkc_bu))</f>
        <v>1.6333333333333349E-2</v>
      </c>
      <c r="G72" s="78">
        <f>IF(SUMIFS(_book!$BD$2:$BD$379,_book!$C$2:$C$379,$A72,_book!$A$2:$A$379,bkc_lob,_book!$B$2:$B$379,bkc_bu)=0,"—",SUMIFS(_book!$BP$2:$BP$379,_book!$C$2:$C$379,$A72,_book!$A$2:$A$379,bkc_lob,_book!$B$2:$B$379,bkc_bu)/SUMIFS(_book!$BD$2:$BD$379,_book!$C$2:$C$379,$A72,_book!$A$2:$A$379,bkc_lob,_book!$B$2:$B$379,bkc_bu))</f>
        <v>1.6333333333333349E-2</v>
      </c>
      <c r="H72" s="78">
        <f>IF(SUMIFS(_book!$BE$2:$BE$379,_book!$C$2:$C$379,$A72,_book!$A$2:$A$379,bkc_lob,_book!$B$2:$B$379,bkc_bu)=0,"—",SUMIFS(_book!$BQ$2:$BQ$379,_book!$C$2:$C$379,$A72,_book!$A$2:$A$379,bkc_lob,_book!$B$2:$B$379,bkc_bu)/SUMIFS(_book!$BE$2:$BE$379,_book!$C$2:$C$379,$A72,_book!$A$2:$A$379,bkc_lob,_book!$B$2:$B$379,bkc_bu))</f>
        <v>1.6333333333333349E-2</v>
      </c>
      <c r="I72" s="78">
        <f>IF(SUMIFS(_book!$BF$2:$BF$379,_book!$C$2:$C$379,$A72,_book!$A$2:$A$379,bkc_lob,_book!$B$2:$B$379,bkc_bu)=0,"—",SUMIFS(_book!$BR$2:$BR$379,_book!$C$2:$C$379,$A72,_book!$A$2:$A$379,bkc_lob,_book!$B$2:$B$379,bkc_bu)/SUMIFS(_book!$BF$2:$BF$379,_book!$C$2:$C$379,$A72,_book!$A$2:$A$379,bkc_lob,_book!$B$2:$B$379,bkc_bu))</f>
        <v>6.3333333333333375E-3</v>
      </c>
      <c r="J72" s="78">
        <f>IF(SUMIFS(_book!$BG$2:$BG$379,_book!$C$2:$C$379,$A72,_book!$A$2:$A$379,bkc_lob,_book!$B$2:$B$379,bkc_bu)=0,"—",SUMIFS(_book!$BS$2:$BS$379,_book!$C$2:$C$379,$A72,_book!$A$2:$A$379,bkc_lob,_book!$B$2:$B$379,bkc_bu)/SUMIFS(_book!$BG$2:$BG$379,_book!$C$2:$C$379,$A72,_book!$A$2:$A$379,bkc_lob,_book!$B$2:$B$379,bkc_bu))</f>
        <v>6.3333333333333375E-3</v>
      </c>
      <c r="K72" s="78">
        <f>IF(SUMIFS(_book!$BH$2:$BH$379,_book!$C$2:$C$379,$A72,_book!$A$2:$A$379,bkc_lob,_book!$B$2:$B$379,bkc_bu)=0,"—",SUMIFS(_book!$BT$2:$BT$379,_book!$C$2:$C$379,$A72,_book!$A$2:$A$379,bkc_lob,_book!$B$2:$B$379,bkc_bu)/SUMIFS(_book!$BH$2:$BH$379,_book!$C$2:$C$379,$A72,_book!$A$2:$A$379,bkc_lob,_book!$B$2:$B$379,bkc_bu))</f>
        <v>6.3333333333333375E-3</v>
      </c>
      <c r="L72" s="78">
        <f>IF(SUMIFS(_book!$BI$2:$BI$379,_book!$C$2:$C$379,$A72,_book!$A$2:$A$379,bkc_lob,_book!$B$2:$B$379,bkc_bu)=0,"—",SUMIFS(_book!$BU$2:$BU$379,_book!$C$2:$C$379,$A72,_book!$A$2:$A$379,bkc_lob,_book!$B$2:$B$379,bkc_bu)/SUMIFS(_book!$BI$2:$BI$379,_book!$C$2:$C$379,$A72,_book!$A$2:$A$379,bkc_lob,_book!$B$2:$B$379,bkc_bu))</f>
        <v>0</v>
      </c>
      <c r="M72" s="78">
        <f>IF(SUMIFS(_book!$BJ$2:$BJ$379,_book!$C$2:$C$379,$A72,_book!$A$2:$A$379,bkc_lob,_book!$B$2:$B$379,bkc_bu)=0,"—",SUMIFS(_book!$BV$2:$BV$379,_book!$C$2:$C$379,$A72,_book!$A$2:$A$379,bkc_lob,_book!$B$2:$B$379,bkc_bu)/SUMIFS(_book!$BJ$2:$BJ$379,_book!$C$2:$C$379,$A72,_book!$A$2:$A$379,bkc_lob,_book!$B$2:$B$379,bkc_bu))</f>
        <v>0</v>
      </c>
    </row>
    <row r="73" spans="1:13" x14ac:dyDescent="0.3">
      <c r="A73" s="77" t="s">
        <v>80</v>
      </c>
      <c r="B73" s="78">
        <f>IF(SUMIFS(_book!$AY$2:$AY$379,_book!$C$2:$C$379,$A73,_book!$A$2:$A$379,bkc_lob,_book!$B$2:$B$379,bkc_bu)=0,"—",SUMIFS(_book!$BK$2:$BK$379,_book!$C$2:$C$379,$A73,_book!$A$2:$A$379,bkc_lob,_book!$B$2:$B$379,bkc_bu)/SUMIFS(_book!$AY$2:$AY$379,_book!$C$2:$C$379,$A73,_book!$A$2:$A$379,bkc_lob,_book!$B$2:$B$379,bkc_bu))</f>
        <v>1.321850566043902E-2</v>
      </c>
      <c r="C73" s="78">
        <f>IF(SUMIFS(_book!$AZ$2:$AZ$379,_book!$C$2:$C$379,$A73,_book!$A$2:$A$379,bkc_lob,_book!$B$2:$B$379,bkc_bu)=0,"—",SUMIFS(_book!$BL$2:$BL$379,_book!$C$2:$C$379,$A73,_book!$A$2:$A$379,bkc_lob,_book!$B$2:$B$379,bkc_bu)/SUMIFS(_book!$AZ$2:$AZ$379,_book!$C$2:$C$379,$A73,_book!$A$2:$A$379,bkc_lob,_book!$B$2:$B$379,bkc_bu))</f>
        <v>1.3204339280806224E-2</v>
      </c>
      <c r="D73" s="78">
        <f>IF(SUMIFS(_book!$BA$2:$BA$379,_book!$C$2:$C$379,$A73,_book!$A$2:$A$379,bkc_lob,_book!$B$2:$B$379,bkc_bu)=0,"—",SUMIFS(_book!$BM$2:$BM$379,_book!$C$2:$C$379,$A73,_book!$A$2:$A$379,bkc_lob,_book!$B$2:$B$379,bkc_bu)/SUMIFS(_book!$BA$2:$BA$379,_book!$C$2:$C$379,$A73,_book!$A$2:$A$379,bkc_lob,_book!$B$2:$B$379,bkc_bu))</f>
        <v>1.3190203360859278E-2</v>
      </c>
      <c r="E73" s="78">
        <f>IF(SUMIFS(_book!$BB$2:$BB$379,_book!$C$2:$C$379,$A73,_book!$A$2:$A$379,bkc_lob,_book!$B$2:$B$379,bkc_bu)=0,"—",SUMIFS(_book!$BN$2:$BN$379,_book!$C$2:$C$379,$A73,_book!$A$2:$A$379,bkc_lob,_book!$B$2:$B$379,bkc_bu)/SUMIFS(_book!$BB$2:$BB$379,_book!$C$2:$C$379,$A73,_book!$A$2:$A$379,bkc_lob,_book!$B$2:$B$379,bkc_bu))</f>
        <v>2.7528941464252818E-2</v>
      </c>
      <c r="F73" s="78">
        <f>IF(SUMIFS(_book!$BC$2:$BC$379,_book!$C$2:$C$379,$A73,_book!$A$2:$A$379,bkc_lob,_book!$B$2:$B$379,bkc_bu)=0,"—",SUMIFS(_book!$BO$2:$BO$379,_book!$C$2:$C$379,$A73,_book!$A$2:$A$379,bkc_lob,_book!$B$2:$B$379,bkc_bu)/SUMIFS(_book!$BC$2:$BC$379,_book!$C$2:$C$379,$A73,_book!$A$2:$A$379,bkc_lob,_book!$B$2:$B$379,bkc_bu))</f>
        <v>2.7514184490922473E-2</v>
      </c>
      <c r="G73" s="78">
        <f>IF(SUMIFS(_book!$BD$2:$BD$379,_book!$C$2:$C$379,$A73,_book!$A$2:$A$379,bkc_lob,_book!$B$2:$B$379,bkc_bu)=0,"—",SUMIFS(_book!$BP$2:$BP$379,_book!$C$2:$C$379,$A73,_book!$A$2:$A$379,bkc_lob,_book!$B$2:$B$379,bkc_bu)/SUMIFS(_book!$BD$2:$BD$379,_book!$C$2:$C$379,$A73,_book!$A$2:$A$379,bkc_lob,_book!$B$2:$B$379,bkc_bu))</f>
        <v>2.749946021233985E-2</v>
      </c>
      <c r="H73" s="78">
        <f>IF(SUMIFS(_book!$BE$2:$BE$379,_book!$C$2:$C$379,$A73,_book!$A$2:$A$379,bkc_lob,_book!$B$2:$B$379,bkc_bu)=0,"—",SUMIFS(_book!$BQ$2:$BQ$379,_book!$C$2:$C$379,$A73,_book!$A$2:$A$379,bkc_lob,_book!$B$2:$B$379,bkc_bu)/SUMIFS(_book!$BE$2:$BE$379,_book!$C$2:$C$379,$A73,_book!$A$2:$A$379,bkc_lob,_book!$B$2:$B$379,bkc_bu))</f>
        <v>2.7484768519519975E-2</v>
      </c>
      <c r="I73" s="78">
        <f>IF(SUMIFS(_book!$BF$2:$BF$379,_book!$C$2:$C$379,$A73,_book!$A$2:$A$379,bkc_lob,_book!$B$2:$B$379,bkc_bu)=0,"—",SUMIFS(_book!$BR$2:$BR$379,_book!$C$2:$C$379,$A73,_book!$A$2:$A$379,bkc_lob,_book!$B$2:$B$379,bkc_bu)/SUMIFS(_book!$BF$2:$BF$379,_book!$C$2:$C$379,$A73,_book!$A$2:$A$379,bkc_lob,_book!$B$2:$B$379,bkc_bu))</f>
        <v>2.7469869258919824E-2</v>
      </c>
      <c r="J73" s="78">
        <f>IF(SUMIFS(_book!$BG$2:$BG$379,_book!$C$2:$C$379,$A73,_book!$A$2:$A$379,bkc_lob,_book!$B$2:$B$379,bkc_bu)=0,"—",SUMIFS(_book!$BS$2:$BS$379,_book!$C$2:$C$379,$A73,_book!$A$2:$A$379,bkc_lob,_book!$B$2:$B$379,bkc_bu)/SUMIFS(_book!$BG$2:$BG$379,_book!$C$2:$C$379,$A73,_book!$A$2:$A$379,bkc_lob,_book!$B$2:$B$379,bkc_bu))</f>
        <v>2.7455242942356212E-2</v>
      </c>
      <c r="K73" s="78">
        <f>IF(SUMIFS(_book!$BH$2:$BH$379,_book!$C$2:$C$379,$A73,_book!$A$2:$A$379,bkc_lob,_book!$B$2:$B$379,bkc_bu)=0,"—",SUMIFS(_book!$BT$2:$BT$379,_book!$C$2:$C$379,$A73,_book!$A$2:$A$379,bkc_lob,_book!$B$2:$B$379,bkc_bu)/SUMIFS(_book!$BH$2:$BH$379,_book!$C$2:$C$379,$A73,_book!$A$2:$A$379,bkc_lob,_book!$B$2:$B$379,bkc_bu))</f>
        <v>2.7440648885744882E-2</v>
      </c>
      <c r="L73" s="78">
        <f>IF(SUMIFS(_book!$BI$2:$BI$379,_book!$C$2:$C$379,$A73,_book!$A$2:$A$379,bkc_lob,_book!$B$2:$B$379,bkc_bu)=0,"—",SUMIFS(_book!$BU$2:$BU$379,_book!$C$2:$C$379,$A73,_book!$A$2:$A$379,bkc_lob,_book!$B$2:$B$379,bkc_bu)/SUMIFS(_book!$BI$2:$BI$379,_book!$C$2:$C$379,$A73,_book!$A$2:$A$379,bkc_lob,_book!$B$2:$B$379,bkc_bu))</f>
        <v>2.7426086982035316E-2</v>
      </c>
      <c r="M73" s="78">
        <f>IF(SUMIFS(_book!$BJ$2:$BJ$379,_book!$C$2:$C$379,$A73,_book!$A$2:$A$379,bkc_lob,_book!$B$2:$B$379,bkc_bu)=0,"—",SUMIFS(_book!$BV$2:$BV$379,_book!$C$2:$C$379,$A73,_book!$A$2:$A$379,bkc_lob,_book!$B$2:$B$379,bkc_bu)/SUMIFS(_book!$BJ$2:$BJ$379,_book!$C$2:$C$379,$A73,_book!$A$2:$A$379,bkc_lob,_book!$B$2:$B$379,bkc_bu))</f>
        <v>2.7411557124652635E-2</v>
      </c>
    </row>
    <row r="74" spans="1:13" x14ac:dyDescent="0.3">
      <c r="A74" s="77" t="s">
        <v>82</v>
      </c>
      <c r="B74" s="78">
        <f>IF(SUMIFS(_book!$AY$2:$AY$379,_book!$C$2:$C$379,$A74,_book!$A$2:$A$379,bkc_lob,_book!$B$2:$B$379,bkc_bu)=0,"—",SUMIFS(_book!$BK$2:$BK$379,_book!$C$2:$C$379,$A74,_book!$A$2:$A$379,bkc_lob,_book!$B$2:$B$379,bkc_bu)/SUMIFS(_book!$AY$2:$AY$379,_book!$C$2:$C$379,$A74,_book!$A$2:$A$379,bkc_lob,_book!$B$2:$B$379,bkc_bu))</f>
        <v>3.3814680529829236E-2</v>
      </c>
      <c r="C74" s="78">
        <f>IF(SUMIFS(_book!$AZ$2:$AZ$379,_book!$C$2:$C$379,$A74,_book!$A$2:$A$379,bkc_lob,_book!$B$2:$B$379,bkc_bu)=0,"—",SUMIFS(_book!$BL$2:$BL$379,_book!$C$2:$C$379,$A74,_book!$A$2:$A$379,bkc_lob,_book!$B$2:$B$379,bkc_bu)/SUMIFS(_book!$AZ$2:$AZ$379,_book!$C$2:$C$379,$A74,_book!$A$2:$A$379,bkc_lob,_book!$B$2:$B$379,bkc_bu))</f>
        <v>3.3813084092130928E-2</v>
      </c>
      <c r="D74" s="78">
        <f>IF(SUMIFS(_book!$BA$2:$BA$379,_book!$C$2:$C$379,$A74,_book!$A$2:$A$379,bkc_lob,_book!$B$2:$B$379,bkc_bu)=0,"—",SUMIFS(_book!$BM$2:$BM$379,_book!$C$2:$C$379,$A74,_book!$A$2:$A$379,bkc_lob,_book!$B$2:$B$379,bkc_bu)/SUMIFS(_book!$BA$2:$BA$379,_book!$C$2:$C$379,$A74,_book!$A$2:$A$379,bkc_lob,_book!$B$2:$B$379,bkc_bu))</f>
        <v>3.3811486521330245E-2</v>
      </c>
      <c r="E74" s="78">
        <f>IF(SUMIFS(_book!$BB$2:$BB$379,_book!$C$2:$C$379,$A74,_book!$A$2:$A$379,bkc_lob,_book!$B$2:$B$379,bkc_bu)=0,"—",SUMIFS(_book!$BN$2:$BN$379,_book!$C$2:$C$379,$A74,_book!$A$2:$A$379,bkc_lob,_book!$B$2:$B$379,bkc_bu)/SUMIFS(_book!$BB$2:$BB$379,_book!$C$2:$C$379,$A74,_book!$A$2:$A$379,bkc_lob,_book!$B$2:$B$379,bkc_bu))</f>
        <v>4.774884259532907E-2</v>
      </c>
      <c r="F74" s="78">
        <f>IF(SUMIFS(_book!$BC$2:$BC$379,_book!$C$2:$C$379,$A74,_book!$A$2:$A$379,bkc_lob,_book!$B$2:$B$379,bkc_bu)=0,"—",SUMIFS(_book!$BO$2:$BO$379,_book!$C$2:$C$379,$A74,_book!$A$2:$A$379,bkc_lob,_book!$B$2:$B$379,bkc_bu)/SUMIFS(_book!$BC$2:$BC$379,_book!$C$2:$C$379,$A74,_book!$A$2:$A$379,bkc_lob,_book!$B$2:$B$379,bkc_bu))</f>
        <v>4.774716616016058E-2</v>
      </c>
      <c r="G74" s="78">
        <f>IF(SUMIFS(_book!$BD$2:$BD$379,_book!$C$2:$C$379,$A74,_book!$A$2:$A$379,bkc_lob,_book!$B$2:$B$379,bkc_bu)=0,"—",SUMIFS(_book!$BP$2:$BP$379,_book!$C$2:$C$379,$A74,_book!$A$2:$A$379,bkc_lob,_book!$B$2:$B$379,bkc_bu)/SUMIFS(_book!$BD$2:$BD$379,_book!$C$2:$C$379,$A74,_book!$A$2:$A$379,bkc_lob,_book!$B$2:$B$379,bkc_bu))</f>
        <v>4.7745488493402939E-2</v>
      </c>
      <c r="H74" s="78">
        <f>IF(SUMIFS(_book!$BE$2:$BE$379,_book!$C$2:$C$379,$A74,_book!$A$2:$A$379,bkc_lob,_book!$B$2:$B$379,bkc_bu)=0,"—",SUMIFS(_book!$BQ$2:$BQ$379,_book!$C$2:$C$379,$A74,_book!$A$2:$A$379,bkc_lob,_book!$B$2:$B$379,bkc_bu)/SUMIFS(_book!$BE$2:$BE$379,_book!$C$2:$C$379,$A74,_book!$A$2:$A$379,bkc_lob,_book!$B$2:$B$379,bkc_bu))</f>
        <v>2.6171637397433528E-2</v>
      </c>
      <c r="I74" s="78">
        <f>IF(SUMIFS(_book!$BF$2:$BF$379,_book!$C$2:$C$379,$A74,_book!$A$2:$A$379,bkc_lob,_book!$B$2:$B$379,bkc_bu)=0,"—",SUMIFS(_book!$BR$2:$BR$379,_book!$C$2:$C$379,$A74,_book!$A$2:$A$379,bkc_lob,_book!$B$2:$B$379,bkc_bu)/SUMIFS(_book!$BF$2:$BF$379,_book!$C$2:$C$379,$A74,_book!$A$2:$A$379,bkc_lob,_book!$B$2:$B$379,bkc_bu))</f>
        <v>2.6169964869796874E-2</v>
      </c>
      <c r="J74" s="78">
        <f>IF(SUMIFS(_book!$BG$2:$BG$379,_book!$C$2:$C$379,$A74,_book!$A$2:$A$379,bkc_lob,_book!$B$2:$B$379,bkc_bu)=0,"—",SUMIFS(_book!$BS$2:$BS$379,_book!$C$2:$C$379,$A74,_book!$A$2:$A$379,bkc_lob,_book!$B$2:$B$379,bkc_bu)/SUMIFS(_book!$BG$2:$BG$379,_book!$C$2:$C$379,$A74,_book!$A$2:$A$379,bkc_lob,_book!$B$2:$B$379,bkc_bu))</f>
        <v>2.6168318098234125E-2</v>
      </c>
      <c r="K74" s="78">
        <f>IF(SUMIFS(_book!$BH$2:$BH$379,_book!$C$2:$C$379,$A74,_book!$A$2:$A$379,bkc_lob,_book!$B$2:$B$379,bkc_bu)=0,"—",SUMIFS(_book!$BT$2:$BT$379,_book!$C$2:$C$379,$A74,_book!$A$2:$A$379,bkc_lob,_book!$B$2:$B$379,bkc_bu)/SUMIFS(_book!$BH$2:$BH$379,_book!$C$2:$C$379,$A74,_book!$A$2:$A$379,bkc_lob,_book!$B$2:$B$379,bkc_bu))</f>
        <v>8.9090158957948456E-3</v>
      </c>
      <c r="L74" s="78">
        <f>IF(SUMIFS(_book!$BI$2:$BI$379,_book!$C$2:$C$379,$A74,_book!$A$2:$A$379,bkc_lob,_book!$B$2:$B$379,bkc_bu)=0,"—",SUMIFS(_book!$BU$2:$BU$379,_book!$C$2:$C$379,$A74,_book!$A$2:$A$379,bkc_lob,_book!$B$2:$B$379,bkc_bu)/SUMIFS(_book!$BI$2:$BI$379,_book!$C$2:$C$379,$A74,_book!$A$2:$A$379,bkc_lob,_book!$B$2:$B$379,bkc_bu))</f>
        <v>8.9073944351863565E-3</v>
      </c>
      <c r="M74" s="78">
        <f>IF(SUMIFS(_book!$BJ$2:$BJ$379,_book!$C$2:$C$379,$A74,_book!$A$2:$A$379,bkc_lob,_book!$B$2:$B$379,bkc_bu)=0,"—",SUMIFS(_book!$BV$2:$BV$379,_book!$C$2:$C$379,$A74,_book!$A$2:$A$379,bkc_lob,_book!$B$2:$B$379,bkc_bu)/SUMIFS(_book!$BJ$2:$BJ$379,_book!$C$2:$C$379,$A74,_book!$A$2:$A$379,bkc_lob,_book!$B$2:$B$379,bkc_bu))</f>
        <v>8.9057717807045321E-3</v>
      </c>
    </row>
    <row r="75" spans="1:13" x14ac:dyDescent="0.3">
      <c r="A75" s="77" t="s">
        <v>85</v>
      </c>
      <c r="B75" s="78">
        <f>IF(SUMIFS(_book!$AY$2:$AY$379,_book!$C$2:$C$379,$A75,_book!$A$2:$A$379,bkc_lob,_book!$B$2:$B$379,bkc_bu)=0,"—",SUMIFS(_book!$BK$2:$BK$379,_book!$C$2:$C$379,$A75,_book!$A$2:$A$379,bkc_lob,_book!$B$2:$B$379,bkc_bu)/SUMIFS(_book!$AY$2:$AY$379,_book!$C$2:$C$379,$A75,_book!$A$2:$A$379,bkc_lob,_book!$B$2:$B$379,bkc_bu))</f>
        <v>5.4549303224126114E-2</v>
      </c>
      <c r="C75" s="78">
        <f>IF(SUMIFS(_book!$AZ$2:$AZ$379,_book!$C$2:$C$379,$A75,_book!$A$2:$A$379,bkc_lob,_book!$B$2:$B$379,bkc_bu)=0,"—",SUMIFS(_book!$BL$2:$BL$379,_book!$C$2:$C$379,$A75,_book!$A$2:$A$379,bkc_lob,_book!$B$2:$B$379,bkc_bu)/SUMIFS(_book!$AZ$2:$AZ$379,_book!$C$2:$C$379,$A75,_book!$A$2:$A$379,bkc_lob,_book!$B$2:$B$379,bkc_bu))</f>
        <v>2.5017531198382362E-2</v>
      </c>
      <c r="D75" s="78">
        <f>IF(SUMIFS(_book!$BA$2:$BA$379,_book!$C$2:$C$379,$A75,_book!$A$2:$A$379,bkc_lob,_book!$B$2:$B$379,bkc_bu)=0,"—",SUMIFS(_book!$BM$2:$BM$379,_book!$C$2:$C$379,$A75,_book!$A$2:$A$379,bkc_lob,_book!$B$2:$B$379,bkc_bu)/SUMIFS(_book!$BA$2:$BA$379,_book!$C$2:$C$379,$A75,_book!$A$2:$A$379,bkc_lob,_book!$B$2:$B$379,bkc_bu))</f>
        <v>2.5011180396301406E-2</v>
      </c>
      <c r="E75" s="78">
        <f>IF(SUMIFS(_book!$BB$2:$BB$379,_book!$C$2:$C$379,$A75,_book!$A$2:$A$379,bkc_lob,_book!$B$2:$B$379,bkc_bu)=0,"—",SUMIFS(_book!$BN$2:$BN$379,_book!$C$2:$C$379,$A75,_book!$A$2:$A$379,bkc_lob,_book!$B$2:$B$379,bkc_bu)/SUMIFS(_book!$BB$2:$BB$379,_book!$C$2:$C$379,$A75,_book!$A$2:$A$379,bkc_lob,_book!$B$2:$B$379,bkc_bu))</f>
        <v>4.8624509569126131E-2</v>
      </c>
      <c r="F75" s="78">
        <f>IF(SUMIFS(_book!$BC$2:$BC$379,_book!$C$2:$C$379,$A75,_book!$A$2:$A$379,bkc_lob,_book!$B$2:$B$379,bkc_bu)=0,"—",SUMIFS(_book!$BO$2:$BO$379,_book!$C$2:$C$379,$A75,_book!$A$2:$A$379,bkc_lob,_book!$B$2:$B$379,bkc_bu)/SUMIFS(_book!$BC$2:$BC$379,_book!$C$2:$C$379,$A75,_book!$A$2:$A$379,bkc_lob,_book!$B$2:$B$379,bkc_bu))</f>
        <v>4.8617811841475352E-2</v>
      </c>
      <c r="G75" s="78">
        <f>IF(SUMIFS(_book!$BD$2:$BD$379,_book!$C$2:$C$379,$A75,_book!$A$2:$A$379,bkc_lob,_book!$B$2:$B$379,bkc_bu)=0,"—",SUMIFS(_book!$BP$2:$BP$379,_book!$C$2:$C$379,$A75,_book!$A$2:$A$379,bkc_lob,_book!$B$2:$B$379,bkc_bu)/SUMIFS(_book!$BD$2:$BD$379,_book!$C$2:$C$379,$A75,_book!$A$2:$A$379,bkc_lob,_book!$B$2:$B$379,bkc_bu))</f>
        <v>4.861112399356822E-2</v>
      </c>
      <c r="H75" s="78">
        <f>IF(SUMIFS(_book!$BE$2:$BE$379,_book!$C$2:$C$379,$A75,_book!$A$2:$A$379,bkc_lob,_book!$B$2:$B$379,bkc_bu)=0,"—",SUMIFS(_book!$BQ$2:$BQ$379,_book!$C$2:$C$379,$A75,_book!$A$2:$A$379,bkc_lob,_book!$B$2:$B$379,bkc_bu)/SUMIFS(_book!$BE$2:$BE$379,_book!$C$2:$C$379,$A75,_book!$A$2:$A$379,bkc_lob,_book!$B$2:$B$379,bkc_bu))</f>
        <v>4.8604446003470074E-2</v>
      </c>
      <c r="I75" s="78">
        <f>IF(SUMIFS(_book!$BF$2:$BF$379,_book!$C$2:$C$379,$A75,_book!$A$2:$A$379,bkc_lob,_book!$B$2:$B$379,bkc_bu)=0,"—",SUMIFS(_book!$BR$2:$BR$379,_book!$C$2:$C$379,$A75,_book!$A$2:$A$379,bkc_lob,_book!$B$2:$B$379,bkc_bu)/SUMIFS(_book!$BF$2:$BF$379,_book!$C$2:$C$379,$A75,_book!$A$2:$A$379,bkc_lob,_book!$B$2:$B$379,bkc_bu))</f>
        <v>4.4169053404763951E-2</v>
      </c>
      <c r="J75" s="78">
        <f>IF(SUMIFS(_book!$BG$2:$BG$379,_book!$C$2:$C$379,$A75,_book!$A$2:$A$379,bkc_lob,_book!$B$2:$B$379,bkc_bu)=0,"—",SUMIFS(_book!$BS$2:$BS$379,_book!$C$2:$C$379,$A75,_book!$A$2:$A$379,bkc_lob,_book!$B$2:$B$379,bkc_bu)/SUMIFS(_book!$BG$2:$BG$379,_book!$C$2:$C$379,$A75,_book!$A$2:$A$379,bkc_lob,_book!$B$2:$B$379,bkc_bu))</f>
        <v>4.4162423345396558E-2</v>
      </c>
      <c r="K75" s="78">
        <f>IF(SUMIFS(_book!$BH$2:$BH$379,_book!$C$2:$C$379,$A75,_book!$A$2:$A$379,bkc_lob,_book!$B$2:$B$379,bkc_bu)=0,"—",SUMIFS(_book!$BT$2:$BT$379,_book!$C$2:$C$379,$A75,_book!$A$2:$A$379,bkc_lob,_book!$B$2:$B$379,bkc_bu)/SUMIFS(_book!$BH$2:$BH$379,_book!$C$2:$C$379,$A75,_book!$A$2:$A$379,bkc_lob,_book!$B$2:$B$379,bkc_bu))</f>
        <v>4.4155803036713119E-2</v>
      </c>
      <c r="L75" s="78">
        <f>IF(SUMIFS(_book!$BI$2:$BI$379,_book!$C$2:$C$379,$A75,_book!$A$2:$A$379,bkc_lob,_book!$B$2:$B$379,bkc_bu)=0,"—",SUMIFS(_book!$BU$2:$BU$379,_book!$C$2:$C$379,$A75,_book!$A$2:$A$379,bkc_lob,_book!$B$2:$B$379,bkc_bu)/SUMIFS(_book!$BI$2:$BI$379,_book!$C$2:$C$379,$A75,_book!$A$2:$A$379,bkc_lob,_book!$B$2:$B$379,bkc_bu))</f>
        <v>3.2339776519820701E-2</v>
      </c>
      <c r="M75" s="78">
        <f>IF(SUMIFS(_book!$BJ$2:$BJ$379,_book!$C$2:$C$379,$A75,_book!$A$2:$A$379,bkc_lob,_book!$B$2:$B$379,bkc_bu)=0,"—",SUMIFS(_book!$BV$2:$BV$379,_book!$C$2:$C$379,$A75,_book!$A$2:$A$379,bkc_lob,_book!$B$2:$B$379,bkc_bu)/SUMIFS(_book!$BJ$2:$BJ$379,_book!$C$2:$C$379,$A75,_book!$A$2:$A$379,bkc_lob,_book!$B$2:$B$379,bkc_bu))</f>
        <v>3.2333250304242452E-2</v>
      </c>
    </row>
    <row r="76" spans="1:13" x14ac:dyDescent="0.3">
      <c r="A76" s="77" t="s">
        <v>87</v>
      </c>
      <c r="B76" s="78">
        <f>IF(SUMIFS(_book!$AY$2:$AY$379,_book!$C$2:$C$379,$A76,_book!$A$2:$A$379,bkc_lob,_book!$B$2:$B$379,bkc_bu)=0,"—",SUMIFS(_book!$BK$2:$BK$379,_book!$C$2:$C$379,$A76,_book!$A$2:$A$379,bkc_lob,_book!$B$2:$B$379,bkc_bu)/SUMIFS(_book!$AY$2:$AY$379,_book!$C$2:$C$379,$A76,_book!$A$2:$A$379,bkc_lob,_book!$B$2:$B$379,bkc_bu))</f>
        <v>-8.6769163248764988E-3</v>
      </c>
      <c r="C76" s="78">
        <f>IF(SUMIFS(_book!$AZ$2:$AZ$379,_book!$C$2:$C$379,$A76,_book!$A$2:$A$379,bkc_lob,_book!$B$2:$B$379,bkc_bu)=0,"—",SUMIFS(_book!$BL$2:$BL$379,_book!$C$2:$C$379,$A76,_book!$A$2:$A$379,bkc_lob,_book!$B$2:$B$379,bkc_bu)/SUMIFS(_book!$AZ$2:$AZ$379,_book!$C$2:$C$379,$A76,_book!$A$2:$A$379,bkc_lob,_book!$B$2:$B$379,bkc_bu))</f>
        <v>-8.6830305831674445E-3</v>
      </c>
      <c r="D76" s="78">
        <f>IF(SUMIFS(_book!$BA$2:$BA$379,_book!$C$2:$C$379,$A76,_book!$A$2:$A$379,bkc_lob,_book!$B$2:$B$379,bkc_bu)=0,"—",SUMIFS(_book!$BM$2:$BM$379,_book!$C$2:$C$379,$A76,_book!$A$2:$A$379,bkc_lob,_book!$B$2:$B$379,bkc_bu)/SUMIFS(_book!$BA$2:$BA$379,_book!$C$2:$C$379,$A76,_book!$A$2:$A$379,bkc_lob,_book!$B$2:$B$379,bkc_bu))</f>
        <v>-8.6891534999153225E-3</v>
      </c>
      <c r="E76" s="78">
        <f>IF(SUMIFS(_book!$BB$2:$BB$379,_book!$C$2:$C$379,$A76,_book!$A$2:$A$379,bkc_lob,_book!$B$2:$B$379,bkc_bu)=0,"—",SUMIFS(_book!$BN$2:$BN$379,_book!$C$2:$C$379,$A76,_book!$A$2:$A$379,bkc_lob,_book!$B$2:$B$379,bkc_bu)/SUMIFS(_book!$BB$2:$BB$379,_book!$C$2:$C$379,$A76,_book!$A$2:$A$379,bkc_lob,_book!$B$2:$B$379,bkc_bu))</f>
        <v>-8.6954930965059511E-3</v>
      </c>
      <c r="F76" s="78">
        <f>IF(SUMIFS(_book!$BC$2:$BC$379,_book!$C$2:$C$379,$A76,_book!$A$2:$A$379,bkc_lob,_book!$B$2:$B$379,bkc_bu)=0,"—",SUMIFS(_book!$BO$2:$BO$379,_book!$C$2:$C$379,$A76,_book!$A$2:$A$379,bkc_lob,_book!$B$2:$B$379,bkc_bu)/SUMIFS(_book!$BC$2:$BC$379,_book!$C$2:$C$379,$A76,_book!$A$2:$A$379,bkc_lob,_book!$B$2:$B$379,bkc_bu))</f>
        <v>-8.7018419887552722E-3</v>
      </c>
      <c r="G76" s="78">
        <f>IF(SUMIFS(_book!$BD$2:$BD$379,_book!$C$2:$C$379,$A76,_book!$A$2:$A$379,bkc_lob,_book!$B$2:$B$379,bkc_bu)=0,"—",SUMIFS(_book!$BP$2:$BP$379,_book!$C$2:$C$379,$A76,_book!$A$2:$A$379,bkc_lob,_book!$B$2:$B$379,bkc_bu)/SUMIFS(_book!$BD$2:$BD$379,_book!$C$2:$C$379,$A76,_book!$A$2:$A$379,bkc_lob,_book!$B$2:$B$379,bkc_bu))</f>
        <v>-8.7082001972074458E-3</v>
      </c>
      <c r="H76" s="78">
        <f>IF(SUMIFS(_book!$BE$2:$BE$379,_book!$C$2:$C$379,$A76,_book!$A$2:$A$379,bkc_lob,_book!$B$2:$B$379,bkc_bu)=0,"—",SUMIFS(_book!$BQ$2:$BQ$379,_book!$C$2:$C$379,$A76,_book!$A$2:$A$379,bkc_lob,_book!$B$2:$B$379,bkc_bu)/SUMIFS(_book!$BE$2:$BE$379,_book!$C$2:$C$379,$A76,_book!$A$2:$A$379,bkc_lob,_book!$B$2:$B$379,bkc_bu))</f>
        <v>-8.7145677424674221E-3</v>
      </c>
      <c r="I76" s="78">
        <f>IF(SUMIFS(_book!$BF$2:$BF$379,_book!$C$2:$C$379,$A76,_book!$A$2:$A$379,bkc_lob,_book!$B$2:$B$379,bkc_bu)=0,"—",SUMIFS(_book!$BR$2:$BR$379,_book!$C$2:$C$379,$A76,_book!$A$2:$A$379,bkc_lob,_book!$B$2:$B$379,bkc_bu)/SUMIFS(_book!$BF$2:$BF$379,_book!$C$2:$C$379,$A76,_book!$A$2:$A$379,bkc_lob,_book!$B$2:$B$379,bkc_bu))</f>
        <v>-8.7210492626645132E-3</v>
      </c>
      <c r="J76" s="78">
        <f>IF(SUMIFS(_book!$BG$2:$BG$379,_book!$C$2:$C$379,$A76,_book!$A$2:$A$379,bkc_lob,_book!$B$2:$B$379,bkc_bu)=0,"—",SUMIFS(_book!$BS$2:$BS$379,_book!$C$2:$C$379,$A76,_book!$A$2:$A$379,bkc_lob,_book!$B$2:$B$379,bkc_bu)/SUMIFS(_book!$BG$2:$BG$379,_book!$C$2:$C$379,$A76,_book!$A$2:$A$379,bkc_lob,_book!$B$2:$B$379,bkc_bu))</f>
        <v>-8.7274356975135092E-3</v>
      </c>
      <c r="K76" s="78">
        <f>IF(SUMIFS(_book!$BH$2:$BH$379,_book!$C$2:$C$379,$A76,_book!$A$2:$A$379,bkc_lob,_book!$B$2:$B$379,bkc_bu)=0,"—",SUMIFS(_book!$BT$2:$BT$379,_book!$C$2:$C$379,$A76,_book!$A$2:$A$379,bkc_lob,_book!$B$2:$B$379,bkc_bu)/SUMIFS(_book!$BH$2:$BH$379,_book!$C$2:$C$379,$A76,_book!$A$2:$A$379,bkc_lob,_book!$B$2:$B$379,bkc_bu))</f>
        <v>-8.7338315316941549E-3</v>
      </c>
      <c r="L76" s="78">
        <f>IF(SUMIFS(_book!$BI$2:$BI$379,_book!$C$2:$C$379,$A76,_book!$A$2:$A$379,bkc_lob,_book!$B$2:$B$379,bkc_bu)=0,"—",SUMIFS(_book!$BU$2:$BU$379,_book!$C$2:$C$379,$A76,_book!$A$2:$A$379,bkc_lob,_book!$B$2:$B$379,bkc_bu)/SUMIFS(_book!$BI$2:$BI$379,_book!$C$2:$C$379,$A76,_book!$A$2:$A$379,bkc_lob,_book!$B$2:$B$379,bkc_bu))</f>
        <v>-8.7402367860574641E-3</v>
      </c>
      <c r="M76" s="78">
        <f>IF(SUMIFS(_book!$BJ$2:$BJ$379,_book!$C$2:$C$379,$A76,_book!$A$2:$A$379,bkc_lob,_book!$B$2:$B$379,bkc_bu)=0,"—",SUMIFS(_book!$BV$2:$BV$379,_book!$C$2:$C$379,$A76,_book!$A$2:$A$379,bkc_lob,_book!$B$2:$B$379,bkc_bu)/SUMIFS(_book!$BJ$2:$BJ$379,_book!$C$2:$C$379,$A76,_book!$A$2:$A$379,bkc_lob,_book!$B$2:$B$379,bkc_bu))</f>
        <v>-8.7466514815175075E-3</v>
      </c>
    </row>
    <row r="77" spans="1:13" x14ac:dyDescent="0.3">
      <c r="A77" s="77" t="s">
        <v>89</v>
      </c>
      <c r="B77" s="78">
        <f>IF(SUMIFS(_book!$AY$2:$AY$379,_book!$C$2:$C$379,$A77,_book!$A$2:$A$379,bkc_lob,_book!$B$2:$B$379,bkc_bu)=0,"—",SUMIFS(_book!$BK$2:$BK$379,_book!$C$2:$C$379,$A77,_book!$A$2:$A$379,bkc_lob,_book!$B$2:$B$379,bkc_bu)/SUMIFS(_book!$AY$2:$AY$379,_book!$C$2:$C$379,$A77,_book!$A$2:$A$379,bkc_lob,_book!$B$2:$B$379,bkc_bu))</f>
        <v>2.4860281973329984E-2</v>
      </c>
      <c r="C77" s="78">
        <f>IF(SUMIFS(_book!$AZ$2:$AZ$379,_book!$C$2:$C$379,$A77,_book!$A$2:$A$379,bkc_lob,_book!$B$2:$B$379,bkc_bu)=0,"—",SUMIFS(_book!$BL$2:$BL$379,_book!$C$2:$C$379,$A77,_book!$A$2:$A$379,bkc_lob,_book!$B$2:$B$379,bkc_bu)/SUMIFS(_book!$AZ$2:$AZ$379,_book!$C$2:$C$379,$A77,_book!$A$2:$A$379,bkc_lob,_book!$B$2:$B$379,bkc_bu))</f>
        <v>2.4858694641716125E-2</v>
      </c>
      <c r="D77" s="78">
        <f>IF(SUMIFS(_book!$BA$2:$BA$379,_book!$C$2:$C$379,$A77,_book!$A$2:$A$379,bkc_lob,_book!$B$2:$B$379,bkc_bu)=0,"—",SUMIFS(_book!$BM$2:$BM$379,_book!$C$2:$C$379,$A77,_book!$A$2:$A$379,bkc_lob,_book!$B$2:$B$379,bkc_bu)/SUMIFS(_book!$BA$2:$BA$379,_book!$C$2:$C$379,$A77,_book!$A$2:$A$379,bkc_lob,_book!$B$2:$B$379,bkc_bu))</f>
        <v>2.485710844222519E-2</v>
      </c>
      <c r="E77" s="78">
        <f>IF(SUMIFS(_book!$BB$2:$BB$379,_book!$C$2:$C$379,$A77,_book!$A$2:$A$379,bkc_lob,_book!$B$2:$B$379,bkc_bu)=0,"—",SUMIFS(_book!$BN$2:$BN$379,_book!$C$2:$C$379,$A77,_book!$A$2:$A$379,bkc_lob,_book!$B$2:$B$379,bkc_bu)/SUMIFS(_book!$BB$2:$BB$379,_book!$C$2:$C$379,$A77,_book!$A$2:$A$379,bkc_lob,_book!$B$2:$B$379,bkc_bu))</f>
        <v>1.8553514429947644E-2</v>
      </c>
      <c r="F77" s="78">
        <f>IF(SUMIFS(_book!$BC$2:$BC$379,_book!$C$2:$C$379,$A77,_book!$A$2:$A$379,bkc_lob,_book!$B$2:$B$379,bkc_bu)=0,"—",SUMIFS(_book!$BO$2:$BO$379,_book!$C$2:$C$379,$A77,_book!$A$2:$A$379,bkc_lob,_book!$B$2:$B$379,bkc_bu)/SUMIFS(_book!$BC$2:$BC$379,_book!$C$2:$C$379,$A77,_book!$A$2:$A$379,bkc_lob,_book!$B$2:$B$379,bkc_bu))</f>
        <v>1.8551886927187962E-2</v>
      </c>
      <c r="G77" s="78">
        <f>IF(SUMIFS(_book!$BD$2:$BD$379,_book!$C$2:$C$379,$A77,_book!$A$2:$A$379,bkc_lob,_book!$B$2:$B$379,bkc_bu)=0,"—",SUMIFS(_book!$BP$2:$BP$379,_book!$C$2:$C$379,$A77,_book!$A$2:$A$379,bkc_lob,_book!$B$2:$B$379,bkc_bu)/SUMIFS(_book!$BD$2:$BD$379,_book!$C$2:$C$379,$A77,_book!$A$2:$A$379,bkc_lob,_book!$B$2:$B$379,bkc_bu))</f>
        <v>1.8550260623208172E-2</v>
      </c>
      <c r="H77" s="78">
        <f>IF(SUMIFS(_book!$BE$2:$BE$379,_book!$C$2:$C$379,$A77,_book!$A$2:$A$379,bkc_lob,_book!$B$2:$B$379,bkc_bu)=0,"—",SUMIFS(_book!$BQ$2:$BQ$379,_book!$C$2:$C$379,$A77,_book!$A$2:$A$379,bkc_lob,_book!$B$2:$B$379,bkc_bu)/SUMIFS(_book!$BE$2:$BE$379,_book!$C$2:$C$379,$A77,_book!$A$2:$A$379,bkc_lob,_book!$B$2:$B$379,bkc_bu))</f>
        <v>1.8548635516678905E-2</v>
      </c>
      <c r="I77" s="78">
        <f>IF(SUMIFS(_book!$BF$2:$BF$379,_book!$C$2:$C$379,$A77,_book!$A$2:$A$379,bkc_lob,_book!$B$2:$B$379,bkc_bu)=0,"—",SUMIFS(_book!$BR$2:$BR$379,_book!$C$2:$C$379,$A77,_book!$A$2:$A$379,bkc_lob,_book!$B$2:$B$379,bkc_bu)/SUMIFS(_book!$BF$2:$BF$379,_book!$C$2:$C$379,$A77,_book!$A$2:$A$379,bkc_lob,_book!$B$2:$B$379,bkc_bu))</f>
        <v>3.3293465705576911E-2</v>
      </c>
      <c r="J77" s="78">
        <f>IF(SUMIFS(_book!$BG$2:$BG$379,_book!$C$2:$C$379,$A77,_book!$A$2:$A$379,bkc_lob,_book!$B$2:$B$379,bkc_bu)=0,"—",SUMIFS(_book!$BS$2:$BS$379,_book!$C$2:$C$379,$A77,_book!$A$2:$A$379,bkc_lob,_book!$B$2:$B$379,bkc_bu)/SUMIFS(_book!$BG$2:$BG$379,_book!$C$2:$C$379,$A77,_book!$A$2:$A$379,bkc_lob,_book!$B$2:$B$379,bkc_bu))</f>
        <v>3.329181951621845E-2</v>
      </c>
      <c r="K77" s="78">
        <f>IF(SUMIFS(_book!$BH$2:$BH$379,_book!$C$2:$C$379,$A77,_book!$A$2:$A$379,bkc_lob,_book!$B$2:$B$379,bkc_bu)=0,"—",SUMIFS(_book!$BT$2:$BT$379,_book!$C$2:$C$379,$A77,_book!$A$2:$A$379,bkc_lob,_book!$B$2:$B$379,bkc_bu)/SUMIFS(_book!$BH$2:$BH$379,_book!$C$2:$C$379,$A77,_book!$A$2:$A$379,bkc_lob,_book!$B$2:$B$379,bkc_bu))</f>
        <v>1.8543740796133929E-2</v>
      </c>
      <c r="L77" s="78">
        <f>IF(SUMIFS(_book!$BI$2:$BI$379,_book!$C$2:$C$379,$A77,_book!$A$2:$A$379,bkc_lob,_book!$B$2:$B$379,bkc_bu)=0,"—",SUMIFS(_book!$BU$2:$BU$379,_book!$C$2:$C$379,$A77,_book!$A$2:$A$379,bkc_lob,_book!$B$2:$B$379,bkc_bu)/SUMIFS(_book!$BI$2:$BI$379,_book!$C$2:$C$379,$A77,_book!$A$2:$A$379,bkc_lob,_book!$B$2:$B$379,bkc_bu))</f>
        <v>1.8542120485683426E-2</v>
      </c>
      <c r="M77" s="78">
        <f>IF(SUMIFS(_book!$BJ$2:$BJ$379,_book!$C$2:$C$379,$A77,_book!$A$2:$A$379,bkc_lob,_book!$B$2:$B$379,bkc_bu)=0,"—",SUMIFS(_book!$BV$2:$BV$379,_book!$C$2:$C$379,$A77,_book!$A$2:$A$379,bkc_lob,_book!$B$2:$B$379,bkc_bu)/SUMIFS(_book!$BJ$2:$BJ$379,_book!$C$2:$C$379,$A77,_book!$A$2:$A$379,bkc_lob,_book!$B$2:$B$379,bkc_bu))</f>
        <v>1.8540501366044022E-2</v>
      </c>
    </row>
    <row r="78" spans="1:13" x14ac:dyDescent="0.3">
      <c r="A78" s="77" t="s">
        <v>91</v>
      </c>
      <c r="B78" s="78">
        <f>IF(SUMIFS(_book!$AY$2:$AY$379,_book!$C$2:$C$379,$A78,_book!$A$2:$A$379,bkc_lob,_book!$B$2:$B$379,bkc_bu)=0,"—",SUMIFS(_book!$BK$2:$BK$379,_book!$C$2:$C$379,$A78,_book!$A$2:$A$379,bkc_lob,_book!$B$2:$B$379,bkc_bu)/SUMIFS(_book!$AY$2:$AY$379,_book!$C$2:$C$379,$A78,_book!$A$2:$A$379,bkc_lob,_book!$B$2:$B$379,bkc_bu))</f>
        <v>5.8908946212767439E-2</v>
      </c>
      <c r="C78" s="78">
        <f>IF(SUMIFS(_book!$AZ$2:$AZ$379,_book!$C$2:$C$379,$A78,_book!$A$2:$A$379,bkc_lob,_book!$B$2:$B$379,bkc_bu)=0,"—",SUMIFS(_book!$BL$2:$BL$379,_book!$C$2:$C$379,$A78,_book!$A$2:$A$379,bkc_lob,_book!$B$2:$B$379,bkc_bu)/SUMIFS(_book!$AZ$2:$AZ$379,_book!$C$2:$C$379,$A78,_book!$A$2:$A$379,bkc_lob,_book!$B$2:$B$379,bkc_bu))</f>
        <v>4.5313858666374163E-2</v>
      </c>
      <c r="D78" s="78">
        <f>IF(SUMIFS(_book!$BA$2:$BA$379,_book!$C$2:$C$379,$A78,_book!$A$2:$A$379,bkc_lob,_book!$B$2:$B$379,bkc_bu)=0,"—",SUMIFS(_book!$BM$2:$BM$379,_book!$C$2:$C$379,$A78,_book!$A$2:$A$379,bkc_lob,_book!$B$2:$B$379,bkc_bu)/SUMIFS(_book!$BA$2:$BA$379,_book!$C$2:$C$379,$A78,_book!$A$2:$A$379,bkc_lob,_book!$B$2:$B$379,bkc_bu))</f>
        <v>4.5287910766412053E-2</v>
      </c>
      <c r="E78" s="78">
        <f>IF(SUMIFS(_book!$BB$2:$BB$379,_book!$C$2:$C$379,$A78,_book!$A$2:$A$379,bkc_lob,_book!$B$2:$B$379,bkc_bu)=0,"—",SUMIFS(_book!$BN$2:$BN$379,_book!$C$2:$C$379,$A78,_book!$A$2:$A$379,bkc_lob,_book!$B$2:$B$379,bkc_bu)/SUMIFS(_book!$BB$2:$BB$379,_book!$C$2:$C$379,$A78,_book!$A$2:$A$379,bkc_lob,_book!$B$2:$B$379,bkc_bu))</f>
        <v>4.5261161564688179E-2</v>
      </c>
      <c r="F78" s="78">
        <f>IF(SUMIFS(_book!$BC$2:$BC$379,_book!$C$2:$C$379,$A78,_book!$A$2:$A$379,bkc_lob,_book!$B$2:$B$379,bkc_bu)=0,"—",SUMIFS(_book!$BO$2:$BO$379,_book!$C$2:$C$379,$A78,_book!$A$2:$A$379,bkc_lob,_book!$B$2:$B$379,bkc_bu)/SUMIFS(_book!$BC$2:$BC$379,_book!$C$2:$C$379,$A78,_book!$A$2:$A$379,bkc_lob,_book!$B$2:$B$379,bkc_bu))</f>
        <v>3.5841470711450066E-2</v>
      </c>
      <c r="G78" s="78">
        <f>IF(SUMIFS(_book!$BD$2:$BD$379,_book!$C$2:$C$379,$A78,_book!$A$2:$A$379,bkc_lob,_book!$B$2:$B$379,bkc_bu)=0,"—",SUMIFS(_book!$BP$2:$BP$379,_book!$C$2:$C$379,$A78,_book!$A$2:$A$379,bkc_lob,_book!$B$2:$B$379,bkc_bu)/SUMIFS(_book!$BD$2:$BD$379,_book!$C$2:$C$379,$A78,_book!$A$2:$A$379,bkc_lob,_book!$B$2:$B$379,bkc_bu))</f>
        <v>3.5815118601040842E-2</v>
      </c>
      <c r="H78" s="78">
        <f>IF(SUMIFS(_book!$BE$2:$BE$379,_book!$C$2:$C$379,$A78,_book!$A$2:$A$379,bkc_lob,_book!$B$2:$B$379,bkc_bu)=0,"—",SUMIFS(_book!$BQ$2:$BQ$379,_book!$C$2:$C$379,$A78,_book!$A$2:$A$379,bkc_lob,_book!$B$2:$B$379,bkc_bu)/SUMIFS(_book!$BE$2:$BE$379,_book!$C$2:$C$379,$A78,_book!$A$2:$A$379,bkc_lob,_book!$B$2:$B$379,bkc_bu))</f>
        <v>3.5788844322418148E-2</v>
      </c>
      <c r="I78" s="78">
        <f>IF(SUMIFS(_book!$BF$2:$BF$379,_book!$C$2:$C$379,$A78,_book!$A$2:$A$379,bkc_lob,_book!$B$2:$B$379,bkc_bu)=0,"—",SUMIFS(_book!$BR$2:$BR$379,_book!$C$2:$C$379,$A78,_book!$A$2:$A$379,bkc_lob,_book!$B$2:$B$379,bkc_bu)/SUMIFS(_book!$BF$2:$BF$379,_book!$C$2:$C$379,$A78,_book!$A$2:$A$379,bkc_lob,_book!$B$2:$B$379,bkc_bu))</f>
        <v>4.9328877502059047E-2</v>
      </c>
      <c r="J78" s="78">
        <f>IF(SUMIFS(_book!$BG$2:$BG$379,_book!$C$2:$C$379,$A78,_book!$A$2:$A$379,bkc_lob,_book!$B$2:$B$379,bkc_bu)=0,"—",SUMIFS(_book!$BS$2:$BS$379,_book!$C$2:$C$379,$A78,_book!$A$2:$A$379,bkc_lob,_book!$B$2:$B$379,bkc_bu)/SUMIFS(_book!$BG$2:$BG$379,_book!$C$2:$C$379,$A78,_book!$A$2:$A$379,bkc_lob,_book!$B$2:$B$379,bkc_bu))</f>
        <v>4.9302417008793363E-2</v>
      </c>
      <c r="K78" s="78">
        <f>IF(SUMIFS(_book!$BH$2:$BH$379,_book!$C$2:$C$379,$A78,_book!$A$2:$A$379,bkc_lob,_book!$B$2:$B$379,bkc_bu)=0,"—",SUMIFS(_book!$BT$2:$BT$379,_book!$C$2:$C$379,$A78,_book!$A$2:$A$379,bkc_lob,_book!$B$2:$B$379,bkc_bu)/SUMIFS(_book!$BH$2:$BH$379,_book!$C$2:$C$379,$A78,_book!$A$2:$A$379,bkc_lob,_book!$B$2:$B$379,bkc_bu))</f>
        <v>4.9276034316544759E-2</v>
      </c>
      <c r="L78" s="78">
        <f>IF(SUMIFS(_book!$BI$2:$BI$379,_book!$C$2:$C$379,$A78,_book!$A$2:$A$379,bkc_lob,_book!$B$2:$B$379,bkc_bu)=0,"—",SUMIFS(_book!$BU$2:$BU$379,_book!$C$2:$C$379,$A78,_book!$A$2:$A$379,bkc_lob,_book!$B$2:$B$379,bkc_bu)/SUMIFS(_book!$BI$2:$BI$379,_book!$C$2:$C$379,$A78,_book!$A$2:$A$379,bkc_lob,_book!$B$2:$B$379,bkc_bu))</f>
        <v>3.0988296700447476E-2</v>
      </c>
      <c r="M78" s="78">
        <f>IF(SUMIFS(_book!$BJ$2:$BJ$379,_book!$C$2:$C$379,$A78,_book!$A$2:$A$379,bkc_lob,_book!$B$2:$B$379,bkc_bu)=0,"—",SUMIFS(_book!$BV$2:$BV$379,_book!$C$2:$C$379,$A78,_book!$A$2:$A$379,bkc_lob,_book!$B$2:$B$379,bkc_bu)/SUMIFS(_book!$BJ$2:$BJ$379,_book!$C$2:$C$379,$A78,_book!$A$2:$A$379,bkc_lob,_book!$B$2:$B$379,bkc_bu))</f>
        <v>3.0962525061609458E-2</v>
      </c>
    </row>
    <row r="79" spans="1:13" x14ac:dyDescent="0.3">
      <c r="A79" s="77" t="s">
        <v>92</v>
      </c>
      <c r="B79" s="78">
        <f>IF(SUMIFS(_book!$AY$2:$AY$379,_book!$C$2:$C$379,$A79,_book!$A$2:$A$379,bkc_lob,_book!$B$2:$B$379,bkc_bu)=0,"—",SUMIFS(_book!$BK$2:$BK$379,_book!$C$2:$C$379,$A79,_book!$A$2:$A$379,bkc_lob,_book!$B$2:$B$379,bkc_bu)/SUMIFS(_book!$AY$2:$AY$379,_book!$C$2:$C$379,$A79,_book!$A$2:$A$379,bkc_lob,_book!$B$2:$B$379,bkc_bu))</f>
        <v>0</v>
      </c>
      <c r="C79" s="78">
        <f>IF(SUMIFS(_book!$AZ$2:$AZ$379,_book!$C$2:$C$379,$A79,_book!$A$2:$A$379,bkc_lob,_book!$B$2:$B$379,bkc_bu)=0,"—",SUMIFS(_book!$BL$2:$BL$379,_book!$C$2:$C$379,$A79,_book!$A$2:$A$379,bkc_lob,_book!$B$2:$B$379,bkc_bu)/SUMIFS(_book!$AZ$2:$AZ$379,_book!$C$2:$C$379,$A79,_book!$A$2:$A$379,bkc_lob,_book!$B$2:$B$379,bkc_bu))</f>
        <v>0</v>
      </c>
      <c r="D79" s="78">
        <f>IF(SUMIFS(_book!$BA$2:$BA$379,_book!$C$2:$C$379,$A79,_book!$A$2:$A$379,bkc_lob,_book!$B$2:$B$379,bkc_bu)=0,"—",SUMIFS(_book!$BM$2:$BM$379,_book!$C$2:$C$379,$A79,_book!$A$2:$A$379,bkc_lob,_book!$B$2:$B$379,bkc_bu)/SUMIFS(_book!$BA$2:$BA$379,_book!$C$2:$C$379,$A79,_book!$A$2:$A$379,bkc_lob,_book!$B$2:$B$379,bkc_bu))</f>
        <v>0</v>
      </c>
      <c r="E79" s="78">
        <f>IF(SUMIFS(_book!$BB$2:$BB$379,_book!$C$2:$C$379,$A79,_book!$A$2:$A$379,bkc_lob,_book!$B$2:$B$379,bkc_bu)=0,"—",SUMIFS(_book!$BN$2:$BN$379,_book!$C$2:$C$379,$A79,_book!$A$2:$A$379,bkc_lob,_book!$B$2:$B$379,bkc_bu)/SUMIFS(_book!$BB$2:$BB$379,_book!$C$2:$C$379,$A79,_book!$A$2:$A$379,bkc_lob,_book!$B$2:$B$379,bkc_bu))</f>
        <v>0</v>
      </c>
      <c r="F79" s="78">
        <f>IF(SUMIFS(_book!$BC$2:$BC$379,_book!$C$2:$C$379,$A79,_book!$A$2:$A$379,bkc_lob,_book!$B$2:$B$379,bkc_bu)=0,"—",SUMIFS(_book!$BO$2:$BO$379,_book!$C$2:$C$379,$A79,_book!$A$2:$A$379,bkc_lob,_book!$B$2:$B$379,bkc_bu)/SUMIFS(_book!$BC$2:$BC$379,_book!$C$2:$C$379,$A79,_book!$A$2:$A$379,bkc_lob,_book!$B$2:$B$379,bkc_bu))</f>
        <v>0</v>
      </c>
      <c r="G79" s="78">
        <f>IF(SUMIFS(_book!$BD$2:$BD$379,_book!$C$2:$C$379,$A79,_book!$A$2:$A$379,bkc_lob,_book!$B$2:$B$379,bkc_bu)=0,"—",SUMIFS(_book!$BP$2:$BP$379,_book!$C$2:$C$379,$A79,_book!$A$2:$A$379,bkc_lob,_book!$B$2:$B$379,bkc_bu)/SUMIFS(_book!$BD$2:$BD$379,_book!$C$2:$C$379,$A79,_book!$A$2:$A$379,bkc_lob,_book!$B$2:$B$379,bkc_bu))</f>
        <v>0</v>
      </c>
      <c r="H79" s="78">
        <f>IF(SUMIFS(_book!$BE$2:$BE$379,_book!$C$2:$C$379,$A79,_book!$A$2:$A$379,bkc_lob,_book!$B$2:$B$379,bkc_bu)=0,"—",SUMIFS(_book!$BQ$2:$BQ$379,_book!$C$2:$C$379,$A79,_book!$A$2:$A$379,bkc_lob,_book!$B$2:$B$379,bkc_bu)/SUMIFS(_book!$BE$2:$BE$379,_book!$C$2:$C$379,$A79,_book!$A$2:$A$379,bkc_lob,_book!$B$2:$B$379,bkc_bu))</f>
        <v>0</v>
      </c>
      <c r="I79" s="78">
        <f>IF(SUMIFS(_book!$BF$2:$BF$379,_book!$C$2:$C$379,$A79,_book!$A$2:$A$379,bkc_lob,_book!$B$2:$B$379,bkc_bu)=0,"—",SUMIFS(_book!$BR$2:$BR$379,_book!$C$2:$C$379,$A79,_book!$A$2:$A$379,bkc_lob,_book!$B$2:$B$379,bkc_bu)/SUMIFS(_book!$BF$2:$BF$379,_book!$C$2:$C$379,$A79,_book!$A$2:$A$379,bkc_lob,_book!$B$2:$B$379,bkc_bu))</f>
        <v>1.185185185185186E-2</v>
      </c>
      <c r="J79" s="78">
        <f>IF(SUMIFS(_book!$BG$2:$BG$379,_book!$C$2:$C$379,$A79,_book!$A$2:$A$379,bkc_lob,_book!$B$2:$B$379,bkc_bu)=0,"—",SUMIFS(_book!$BS$2:$BS$379,_book!$C$2:$C$379,$A79,_book!$A$2:$A$379,bkc_lob,_book!$B$2:$B$379,bkc_bu)/SUMIFS(_book!$BG$2:$BG$379,_book!$C$2:$C$379,$A79,_book!$A$2:$A$379,bkc_lob,_book!$B$2:$B$379,bkc_bu))</f>
        <v>1.185185185185186E-2</v>
      </c>
      <c r="K79" s="78">
        <f>IF(SUMIFS(_book!$BH$2:$BH$379,_book!$C$2:$C$379,$A79,_book!$A$2:$A$379,bkc_lob,_book!$B$2:$B$379,bkc_bu)=0,"—",SUMIFS(_book!$BT$2:$BT$379,_book!$C$2:$C$379,$A79,_book!$A$2:$A$379,bkc_lob,_book!$B$2:$B$379,bkc_bu)/SUMIFS(_book!$BH$2:$BH$379,_book!$C$2:$C$379,$A79,_book!$A$2:$A$379,bkc_lob,_book!$B$2:$B$379,bkc_bu))</f>
        <v>1.185185185185186E-2</v>
      </c>
      <c r="L79" s="78">
        <f>IF(SUMIFS(_book!$BI$2:$BI$379,_book!$C$2:$C$379,$A79,_book!$A$2:$A$379,bkc_lob,_book!$B$2:$B$379,bkc_bu)=0,"—",SUMIFS(_book!$BU$2:$BU$379,_book!$C$2:$C$379,$A79,_book!$A$2:$A$379,bkc_lob,_book!$B$2:$B$379,bkc_bu)/SUMIFS(_book!$BI$2:$BI$379,_book!$C$2:$C$379,$A79,_book!$A$2:$A$379,bkc_lob,_book!$B$2:$B$379,bkc_bu))</f>
        <v>1.185185185185186E-2</v>
      </c>
      <c r="M79" s="78">
        <f>IF(SUMIFS(_book!$BJ$2:$BJ$379,_book!$C$2:$C$379,$A79,_book!$A$2:$A$379,bkc_lob,_book!$B$2:$B$379,bkc_bu)=0,"—",SUMIFS(_book!$BV$2:$BV$379,_book!$C$2:$C$379,$A79,_book!$A$2:$A$379,bkc_lob,_book!$B$2:$B$379,bkc_bu)/SUMIFS(_book!$BJ$2:$BJ$379,_book!$C$2:$C$379,$A79,_book!$A$2:$A$379,bkc_lob,_book!$B$2:$B$379,bkc_bu))</f>
        <v>1.185185185185186E-2</v>
      </c>
    </row>
    <row r="80" spans="1:13" x14ac:dyDescent="0.3">
      <c r="A80" s="77" t="s">
        <v>94</v>
      </c>
      <c r="B80" s="78">
        <f>IF(SUMIFS(_book!$AY$2:$AY$379,_book!$C$2:$C$379,$A80,_book!$A$2:$A$379,bkc_lob,_book!$B$2:$B$379,bkc_bu)=0,"—",SUMIFS(_book!$BK$2:$BK$379,_book!$C$2:$C$379,$A80,_book!$A$2:$A$379,bkc_lob,_book!$B$2:$B$379,bkc_bu)/SUMIFS(_book!$AY$2:$AY$379,_book!$C$2:$C$379,$A80,_book!$A$2:$A$379,bkc_lob,_book!$B$2:$B$379,bkc_bu))</f>
        <v>4.9602261090972988E-2</v>
      </c>
      <c r="C80" s="78">
        <f>IF(SUMIFS(_book!$AZ$2:$AZ$379,_book!$C$2:$C$379,$A80,_book!$A$2:$A$379,bkc_lob,_book!$B$2:$B$379,bkc_bu)=0,"—",SUMIFS(_book!$BL$2:$BL$379,_book!$C$2:$C$379,$A80,_book!$A$2:$A$379,bkc_lob,_book!$B$2:$B$379,bkc_bu)/SUMIFS(_book!$AZ$2:$AZ$379,_book!$C$2:$C$379,$A80,_book!$A$2:$A$379,bkc_lob,_book!$B$2:$B$379,bkc_bu))</f>
        <v>4.9587586009526091E-2</v>
      </c>
      <c r="D80" s="78">
        <f>IF(SUMIFS(_book!$BA$2:$BA$379,_book!$C$2:$C$379,$A80,_book!$A$2:$A$379,bkc_lob,_book!$B$2:$B$379,bkc_bu)=0,"—",SUMIFS(_book!$BM$2:$BM$379,_book!$C$2:$C$379,$A80,_book!$A$2:$A$379,bkc_lob,_book!$B$2:$B$379,bkc_bu)/SUMIFS(_book!$BA$2:$BA$379,_book!$C$2:$C$379,$A80,_book!$A$2:$A$379,bkc_lob,_book!$B$2:$B$379,bkc_bu))</f>
        <v>4.9572942481544702E-2</v>
      </c>
      <c r="E80" s="78">
        <f>IF(SUMIFS(_book!$BB$2:$BB$379,_book!$C$2:$C$379,$A80,_book!$A$2:$A$379,bkc_lob,_book!$B$2:$B$379,bkc_bu)=0,"—",SUMIFS(_book!$BN$2:$BN$379,_book!$C$2:$C$379,$A80,_book!$A$2:$A$379,bkc_lob,_book!$B$2:$B$379,bkc_bu)/SUMIFS(_book!$BB$2:$BB$379,_book!$C$2:$C$379,$A80,_book!$A$2:$A$379,bkc_lob,_book!$B$2:$B$379,bkc_bu))</f>
        <v>2.9294323226684855E-2</v>
      </c>
      <c r="F80" s="78">
        <f>IF(SUMIFS(_book!$BC$2:$BC$379,_book!$C$2:$C$379,$A80,_book!$A$2:$A$379,bkc_lob,_book!$B$2:$B$379,bkc_bu)=0,"—",SUMIFS(_book!$BO$2:$BO$379,_book!$C$2:$C$379,$A80,_book!$A$2:$A$379,bkc_lob,_book!$B$2:$B$379,bkc_bu)/SUMIFS(_book!$BC$2:$BC$379,_book!$C$2:$C$379,$A80,_book!$A$2:$A$379,bkc_lob,_book!$B$2:$B$379,bkc_bu))</f>
        <v>2.9279540899624278E-2</v>
      </c>
      <c r="G80" s="78">
        <f>IF(SUMIFS(_book!$BD$2:$BD$379,_book!$C$2:$C$379,$A80,_book!$A$2:$A$379,bkc_lob,_book!$B$2:$B$379,bkc_bu)=0,"—",SUMIFS(_book!$BP$2:$BP$379,_book!$C$2:$C$379,$A80,_book!$A$2:$A$379,bkc_lob,_book!$B$2:$B$379,bkc_bu)/SUMIFS(_book!$BD$2:$BD$379,_book!$C$2:$C$379,$A80,_book!$A$2:$A$379,bkc_lob,_book!$B$2:$B$379,bkc_bu))</f>
        <v>2.9264791323483787E-2</v>
      </c>
      <c r="H80" s="78">
        <f>IF(SUMIFS(_book!$BE$2:$BE$379,_book!$C$2:$C$379,$A80,_book!$A$2:$A$379,bkc_lob,_book!$B$2:$B$379,bkc_bu)=0,"—",SUMIFS(_book!$BQ$2:$BQ$379,_book!$C$2:$C$379,$A80,_book!$A$2:$A$379,bkc_lob,_book!$B$2:$B$379,bkc_bu)/SUMIFS(_book!$BE$2:$BE$379,_book!$C$2:$C$379,$A80,_book!$A$2:$A$379,bkc_lob,_book!$B$2:$B$379,bkc_bu))</f>
        <v>1.3132064275615411E-2</v>
      </c>
      <c r="I80" s="78">
        <f>IF(SUMIFS(_book!$BF$2:$BF$379,_book!$C$2:$C$379,$A80,_book!$A$2:$A$379,bkc_lob,_book!$B$2:$B$379,bkc_bu)=0,"—",SUMIFS(_book!$BR$2:$BR$379,_book!$C$2:$C$379,$A80,_book!$A$2:$A$379,bkc_lob,_book!$B$2:$B$379,bkc_bu)/SUMIFS(_book!$BF$2:$BF$379,_book!$C$2:$C$379,$A80,_book!$A$2:$A$379,bkc_lob,_book!$B$2:$B$379,bkc_bu))</f>
        <v>1.3117373139444334E-2</v>
      </c>
      <c r="J80" s="78">
        <f>IF(SUMIFS(_book!$BG$2:$BG$379,_book!$C$2:$C$379,$A80,_book!$A$2:$A$379,bkc_lob,_book!$B$2:$B$379,bkc_bu)=0,"—",SUMIFS(_book!$BS$2:$BS$379,_book!$C$2:$C$379,$A80,_book!$A$2:$A$379,bkc_lob,_book!$B$2:$B$379,bkc_bu)/SUMIFS(_book!$BG$2:$BG$379,_book!$C$2:$C$379,$A80,_book!$A$2:$A$379,bkc_lob,_book!$B$2:$B$379,bkc_bu))</f>
        <v>1.310295113461582E-2</v>
      </c>
      <c r="K80" s="78">
        <f>IF(SUMIFS(_book!$BH$2:$BH$379,_book!$C$2:$C$379,$A80,_book!$A$2:$A$379,bkc_lob,_book!$B$2:$B$379,bkc_bu)=0,"—",SUMIFS(_book!$BT$2:$BT$379,_book!$C$2:$C$379,$A80,_book!$A$2:$A$379,bkc_lob,_book!$B$2:$B$379,bkc_bu)/SUMIFS(_book!$BH$2:$BH$379,_book!$C$2:$C$379,$A80,_book!$A$2:$A$379,bkc_lob,_book!$B$2:$B$379,bkc_bu))</f>
        <v>1.3088560939107494E-2</v>
      </c>
      <c r="L80" s="78">
        <f>IF(SUMIFS(_book!$BI$2:$BI$379,_book!$C$2:$C$379,$A80,_book!$A$2:$A$379,bkc_lob,_book!$B$2:$B$379,bkc_bu)=0,"—",SUMIFS(_book!$BU$2:$BU$379,_book!$C$2:$C$379,$A80,_book!$A$2:$A$379,bkc_lob,_book!$B$2:$B$379,bkc_bu)/SUMIFS(_book!$BI$2:$BI$379,_book!$C$2:$C$379,$A80,_book!$A$2:$A$379,bkc_lob,_book!$B$2:$B$379,bkc_bu))</f>
        <v>1.3074202447364328E-2</v>
      </c>
      <c r="M80" s="78">
        <f>IF(SUMIFS(_book!$BJ$2:$BJ$379,_book!$C$2:$C$379,$A80,_book!$A$2:$A$379,bkc_lob,_book!$B$2:$B$379,bkc_bu)=0,"—",SUMIFS(_book!$BV$2:$BV$379,_book!$C$2:$C$379,$A80,_book!$A$2:$A$379,bkc_lob,_book!$B$2:$B$379,bkc_bu)/SUMIFS(_book!$BJ$2:$BJ$379,_book!$C$2:$C$379,$A80,_book!$A$2:$A$379,bkc_lob,_book!$B$2:$B$379,bkc_bu))</f>
        <v>1.3059875554300061E-2</v>
      </c>
    </row>
    <row r="81" spans="1:13" x14ac:dyDescent="0.3">
      <c r="A81" s="77" t="s">
        <v>95</v>
      </c>
      <c r="B81" s="78">
        <f>IF(SUMIFS(_book!$AY$2:$AY$379,_book!$C$2:$C$379,$A81,_book!$A$2:$A$379,bkc_lob,_book!$B$2:$B$379,bkc_bu)=0,"—",SUMIFS(_book!$BK$2:$BK$379,_book!$C$2:$C$379,$A81,_book!$A$2:$A$379,bkc_lob,_book!$B$2:$B$379,bkc_bu)/SUMIFS(_book!$AY$2:$AY$379,_book!$C$2:$C$379,$A81,_book!$A$2:$A$379,bkc_lob,_book!$B$2:$B$379,bkc_bu))</f>
        <v>3.1602129046619319E-2</v>
      </c>
      <c r="C81" s="78">
        <f>IF(SUMIFS(_book!$AZ$2:$AZ$379,_book!$C$2:$C$379,$A81,_book!$A$2:$A$379,bkc_lob,_book!$B$2:$B$379,bkc_bu)=0,"—",SUMIFS(_book!$BL$2:$BL$379,_book!$C$2:$C$379,$A81,_book!$A$2:$A$379,bkc_lob,_book!$B$2:$B$379,bkc_bu)/SUMIFS(_book!$AZ$2:$AZ$379,_book!$C$2:$C$379,$A81,_book!$A$2:$A$379,bkc_lob,_book!$B$2:$B$379,bkc_bu))</f>
        <v>3.5103737130947534E-2</v>
      </c>
      <c r="D81" s="78">
        <f>IF(SUMIFS(_book!$BA$2:$BA$379,_book!$C$2:$C$379,$A81,_book!$A$2:$A$379,bkc_lob,_book!$B$2:$B$379,bkc_bu)=0,"—",SUMIFS(_book!$BM$2:$BM$379,_book!$C$2:$C$379,$A81,_book!$A$2:$A$379,bkc_lob,_book!$B$2:$B$379,bkc_bu)/SUMIFS(_book!$BA$2:$BA$379,_book!$C$2:$C$379,$A81,_book!$A$2:$A$379,bkc_lob,_book!$B$2:$B$379,bkc_bu))</f>
        <v>3.5102137565676449E-2</v>
      </c>
      <c r="E81" s="78">
        <f>IF(SUMIFS(_book!$BB$2:$BB$379,_book!$C$2:$C$379,$A81,_book!$A$2:$A$379,bkc_lob,_book!$B$2:$B$379,bkc_bu)=0,"—",SUMIFS(_book!$BN$2:$BN$379,_book!$C$2:$C$379,$A81,_book!$A$2:$A$379,bkc_lob,_book!$B$2:$B$379,bkc_bu)/SUMIFS(_book!$BB$2:$BB$379,_book!$C$2:$C$379,$A81,_book!$A$2:$A$379,bkc_lob,_book!$B$2:$B$379,bkc_bu))</f>
        <v>3.5100482583707689E-2</v>
      </c>
      <c r="F81" s="78">
        <f>IF(SUMIFS(_book!$BC$2:$BC$379,_book!$C$2:$C$379,$A81,_book!$A$2:$A$379,bkc_lob,_book!$B$2:$B$379,bkc_bu)=0,"—",SUMIFS(_book!$BO$2:$BO$379,_book!$C$2:$C$379,$A81,_book!$A$2:$A$379,bkc_lob,_book!$B$2:$B$379,bkc_bu)/SUMIFS(_book!$BC$2:$BC$379,_book!$C$2:$C$379,$A81,_book!$A$2:$A$379,bkc_lob,_book!$B$2:$B$379,bkc_bu))</f>
        <v>2.8461213677080186E-2</v>
      </c>
      <c r="G81" s="78">
        <f>IF(SUMIFS(_book!$BD$2:$BD$379,_book!$C$2:$C$379,$A81,_book!$A$2:$A$379,bkc_lob,_book!$B$2:$B$379,bkc_bu)=0,"—",SUMIFS(_book!$BP$2:$BP$379,_book!$C$2:$C$379,$A81,_book!$A$2:$A$379,bkc_lob,_book!$B$2:$B$379,bkc_bu)/SUMIFS(_book!$BD$2:$BD$379,_book!$C$2:$C$379,$A81,_book!$A$2:$A$379,bkc_lob,_book!$B$2:$B$379,bkc_bu))</f>
        <v>2.8459566891247231E-2</v>
      </c>
      <c r="H81" s="78">
        <f>IF(SUMIFS(_book!$BE$2:$BE$379,_book!$C$2:$C$379,$A81,_book!$A$2:$A$379,bkc_lob,_book!$B$2:$B$379,bkc_bu)=0,"—",SUMIFS(_book!$BQ$2:$BQ$379,_book!$C$2:$C$379,$A81,_book!$A$2:$A$379,bkc_lob,_book!$B$2:$B$379,bkc_bu)/SUMIFS(_book!$BE$2:$BE$379,_book!$C$2:$C$379,$A81,_book!$A$2:$A$379,bkc_lob,_book!$B$2:$B$379,bkc_bu))</f>
        <v>2.8457918895156739E-2</v>
      </c>
      <c r="I81" s="78">
        <f>IF(SUMIFS(_book!$BF$2:$BF$379,_book!$C$2:$C$379,$A81,_book!$A$2:$A$379,bkc_lob,_book!$B$2:$B$379,bkc_bu)=0,"—",SUMIFS(_book!$BR$2:$BR$379,_book!$C$2:$C$379,$A81,_book!$A$2:$A$379,bkc_lob,_book!$B$2:$B$379,bkc_bu)/SUMIFS(_book!$BF$2:$BF$379,_book!$C$2:$C$379,$A81,_book!$A$2:$A$379,bkc_lob,_book!$B$2:$B$379,bkc_bu))</f>
        <v>9.6497641991892327E-3</v>
      </c>
      <c r="J81" s="78">
        <f>IF(SUMIFS(_book!$BG$2:$BG$379,_book!$C$2:$C$379,$A81,_book!$A$2:$A$379,bkc_lob,_book!$B$2:$B$379,bkc_bu)=0,"—",SUMIFS(_book!$BS$2:$BS$379,_book!$C$2:$C$379,$A81,_book!$A$2:$A$379,bkc_lob,_book!$B$2:$B$379,bkc_bu)/SUMIFS(_book!$BG$2:$BG$379,_book!$C$2:$C$379,$A81,_book!$A$2:$A$379,bkc_lob,_book!$B$2:$B$379,bkc_bu))</f>
        <v>9.6481439388260096E-3</v>
      </c>
      <c r="K81" s="78">
        <f>IF(SUMIFS(_book!$BH$2:$BH$379,_book!$C$2:$C$379,$A81,_book!$A$2:$A$379,bkc_lob,_book!$B$2:$B$379,bkc_bu)=0,"—",SUMIFS(_book!$BT$2:$BT$379,_book!$C$2:$C$379,$A81,_book!$A$2:$A$379,bkc_lob,_book!$B$2:$B$379,bkc_bu)/SUMIFS(_book!$BH$2:$BH$379,_book!$C$2:$C$379,$A81,_book!$A$2:$A$379,bkc_lob,_book!$B$2:$B$379,bkc_bu))</f>
        <v>9.6465224863619397E-3</v>
      </c>
      <c r="L81" s="78">
        <f>IF(SUMIFS(_book!$BI$2:$BI$379,_book!$C$2:$C$379,$A81,_book!$A$2:$A$379,bkc_lob,_book!$B$2:$B$379,bkc_bu)=0,"—",SUMIFS(_book!$BU$2:$BU$379,_book!$C$2:$C$379,$A81,_book!$A$2:$A$379,bkc_lob,_book!$B$2:$B$379,bkc_bu)/SUMIFS(_book!$BI$2:$BI$379,_book!$C$2:$C$379,$A81,_book!$A$2:$A$379,bkc_lob,_book!$B$2:$B$379,bkc_bu))</f>
        <v>9.644899840475233E-3</v>
      </c>
      <c r="M81" s="78">
        <f>IF(SUMIFS(_book!$BJ$2:$BJ$379,_book!$C$2:$C$379,$A81,_book!$A$2:$A$379,bkc_lob,_book!$B$2:$B$379,bkc_bu)=0,"—",SUMIFS(_book!$BV$2:$BV$379,_book!$C$2:$C$379,$A81,_book!$A$2:$A$379,bkc_lob,_book!$B$2:$B$379,bkc_bu)/SUMIFS(_book!$BJ$2:$BJ$379,_book!$C$2:$C$379,$A81,_book!$A$2:$A$379,bkc_lob,_book!$B$2:$B$379,bkc_bu))</f>
        <v>9.6432759998424742E-3</v>
      </c>
    </row>
    <row r="82" spans="1:13" x14ac:dyDescent="0.3">
      <c r="A82" s="77" t="s">
        <v>96</v>
      </c>
      <c r="B82" s="78">
        <f>IF(SUMIFS(_book!$AY$2:$AY$379,_book!$C$2:$C$379,$A82,_book!$A$2:$A$379,bkc_lob,_book!$B$2:$B$379,bkc_bu)=0,"—",SUMIFS(_book!$BK$2:$BK$379,_book!$C$2:$C$379,$A82,_book!$A$2:$A$379,bkc_lob,_book!$B$2:$B$379,bkc_bu)/SUMIFS(_book!$AY$2:$AY$379,_book!$C$2:$C$379,$A82,_book!$A$2:$A$379,bkc_lob,_book!$B$2:$B$379,bkc_bu))</f>
        <v>8.7849144234523752E-3</v>
      </c>
      <c r="C82" s="78">
        <f>IF(SUMIFS(_book!$AZ$2:$AZ$379,_book!$C$2:$C$379,$A82,_book!$A$2:$A$379,bkc_lob,_book!$B$2:$B$379,bkc_bu)=0,"—",SUMIFS(_book!$BL$2:$BL$379,_book!$C$2:$C$379,$A82,_book!$A$2:$A$379,bkc_lob,_book!$B$2:$B$379,bkc_bu)/SUMIFS(_book!$AZ$2:$AZ$379,_book!$C$2:$C$379,$A82,_book!$A$2:$A$379,bkc_lob,_book!$B$2:$B$379,bkc_bu))</f>
        <v>2.2229037354507746E-2</v>
      </c>
      <c r="D82" s="78">
        <f>IF(SUMIFS(_book!$BA$2:$BA$379,_book!$C$2:$C$379,$A82,_book!$A$2:$A$379,bkc_lob,_book!$B$2:$B$379,bkc_bu)=0,"—",SUMIFS(_book!$BM$2:$BM$379,_book!$C$2:$C$379,$A82,_book!$A$2:$A$379,bkc_lob,_book!$B$2:$B$379,bkc_bu)/SUMIFS(_book!$BA$2:$BA$379,_book!$C$2:$C$379,$A82,_book!$A$2:$A$379,bkc_lob,_book!$B$2:$B$379,bkc_bu))</f>
        <v>2.2222703829372761E-2</v>
      </c>
      <c r="E82" s="78">
        <f>IF(SUMIFS(_book!$BB$2:$BB$379,_book!$C$2:$C$379,$A82,_book!$A$2:$A$379,bkc_lob,_book!$B$2:$B$379,bkc_bu)=0,"—",SUMIFS(_book!$BN$2:$BN$379,_book!$C$2:$C$379,$A82,_book!$A$2:$A$379,bkc_lob,_book!$B$2:$B$379,bkc_bu)/SUMIFS(_book!$BB$2:$BB$379,_book!$C$2:$C$379,$A82,_book!$A$2:$A$379,bkc_lob,_book!$B$2:$B$379,bkc_bu))</f>
        <v>2.2216165123540431E-2</v>
      </c>
      <c r="F82" s="78">
        <f>IF(SUMIFS(_book!$BC$2:$BC$379,_book!$C$2:$C$379,$A82,_book!$A$2:$A$379,bkc_lob,_book!$B$2:$B$379,bkc_bu)=0,"—",SUMIFS(_book!$BO$2:$BO$379,_book!$C$2:$C$379,$A82,_book!$A$2:$A$379,bkc_lob,_book!$B$2:$B$379,bkc_bu)/SUMIFS(_book!$BC$2:$BC$379,_book!$C$2:$C$379,$A82,_book!$A$2:$A$379,bkc_lob,_book!$B$2:$B$379,bkc_bu))</f>
        <v>2.2209636070088239E-2</v>
      </c>
      <c r="G82" s="78">
        <f>IF(SUMIFS(_book!$BD$2:$BD$379,_book!$C$2:$C$379,$A82,_book!$A$2:$A$379,bkc_lob,_book!$B$2:$B$379,bkc_bu)=0,"—",SUMIFS(_book!$BP$2:$BP$379,_book!$C$2:$C$379,$A82,_book!$A$2:$A$379,bkc_lob,_book!$B$2:$B$379,bkc_bu)/SUMIFS(_book!$BD$2:$BD$379,_book!$C$2:$C$379,$A82,_book!$A$2:$A$379,bkc_lob,_book!$B$2:$B$379,bkc_bu))</f>
        <v>2.2203116647570305E-2</v>
      </c>
      <c r="H82" s="78">
        <f>IF(SUMIFS(_book!$BE$2:$BE$379,_book!$C$2:$C$379,$A82,_book!$A$2:$A$379,bkc_lob,_book!$B$2:$B$379,bkc_bu)=0,"—",SUMIFS(_book!$BQ$2:$BQ$379,_book!$C$2:$C$379,$A82,_book!$A$2:$A$379,bkc_lob,_book!$B$2:$B$379,bkc_bu)/SUMIFS(_book!$BE$2:$BE$379,_book!$C$2:$C$379,$A82,_book!$A$2:$A$379,bkc_lob,_book!$B$2:$B$379,bkc_bu))</f>
        <v>2.219660683460432E-2</v>
      </c>
      <c r="I82" s="78">
        <f>IF(SUMIFS(_book!$BF$2:$BF$379,_book!$C$2:$C$379,$A82,_book!$A$2:$A$379,bkc_lob,_book!$B$2:$B$379,bkc_bu)=0,"—",SUMIFS(_book!$BR$2:$BR$379,_book!$C$2:$C$379,$A82,_book!$A$2:$A$379,bkc_lob,_book!$B$2:$B$379,bkc_bu)/SUMIFS(_book!$BF$2:$BF$379,_book!$C$2:$C$379,$A82,_book!$A$2:$A$379,bkc_lob,_book!$B$2:$B$379,bkc_bu))</f>
        <v>2.2190000128571901E-2</v>
      </c>
      <c r="J82" s="78">
        <f>IF(SUMIFS(_book!$BG$2:$BG$379,_book!$C$2:$C$379,$A82,_book!$A$2:$A$379,bkc_lob,_book!$B$2:$B$379,bkc_bu)=0,"—",SUMIFS(_book!$BS$2:$BS$379,_book!$C$2:$C$379,$A82,_book!$A$2:$A$379,bkc_lob,_book!$B$2:$B$379,bkc_bu)/SUMIFS(_book!$BG$2:$BG$379,_book!$C$2:$C$379,$A82,_book!$A$2:$A$379,bkc_lob,_book!$B$2:$B$379,bkc_bu))</f>
        <v>2.2183509627475843E-2</v>
      </c>
      <c r="K82" s="78">
        <f>IF(SUMIFS(_book!$BH$2:$BH$379,_book!$C$2:$C$379,$A82,_book!$A$2:$A$379,bkc_lob,_book!$B$2:$B$379,bkc_bu)=0,"—",SUMIFS(_book!$BT$2:$BT$379,_book!$C$2:$C$379,$A82,_book!$A$2:$A$379,bkc_lob,_book!$B$2:$B$379,bkc_bu)/SUMIFS(_book!$BH$2:$BH$379,_book!$C$2:$C$379,$A82,_book!$A$2:$A$379,bkc_lob,_book!$B$2:$B$379,bkc_bu))</f>
        <v>2.2177028671818418E-2</v>
      </c>
      <c r="L82" s="78">
        <f>IF(SUMIFS(_book!$BI$2:$BI$379,_book!$C$2:$C$379,$A82,_book!$A$2:$A$379,bkc_lob,_book!$B$2:$B$379,bkc_bu)=0,"—",SUMIFS(_book!$BU$2:$BU$379,_book!$C$2:$C$379,$A82,_book!$A$2:$A$379,bkc_lob,_book!$B$2:$B$379,bkc_bu)/SUMIFS(_book!$BI$2:$BI$379,_book!$C$2:$C$379,$A82,_book!$A$2:$A$379,bkc_lob,_book!$B$2:$B$379,bkc_bu))</f>
        <v>2.217055724047071E-2</v>
      </c>
      <c r="M82" s="78">
        <f>IF(SUMIFS(_book!$BJ$2:$BJ$379,_book!$C$2:$C$379,$A82,_book!$A$2:$A$379,bkc_lob,_book!$B$2:$B$379,bkc_bu)=0,"—",SUMIFS(_book!$BV$2:$BV$379,_book!$C$2:$C$379,$A82,_book!$A$2:$A$379,bkc_lob,_book!$B$2:$B$379,bkc_bu)/SUMIFS(_book!$BJ$2:$BJ$379,_book!$C$2:$C$379,$A82,_book!$A$2:$A$379,bkc_lob,_book!$B$2:$B$379,bkc_bu))</f>
        <v>2.2164095312367176E-2</v>
      </c>
    </row>
    <row r="83" spans="1:13" x14ac:dyDescent="0.3">
      <c r="A83" s="79" t="str">
        <f>IF(bkf_lob="All","BOOK AVG","LINE AVG")</f>
        <v>BOOK AVG</v>
      </c>
      <c r="B83" s="80">
        <f>IF(SUMIFS(_book!$AY$2:$AY$379,_book!$A$2:$A$379,bkc_lob,_book!$B$2:$B$379,bkc_bu)=0,"—",SUMIFS(_book!$BK$2:$BK$379,_book!$A$2:$A$379,bkc_lob,_book!$B$2:$B$379,bkc_bu)/SUMIFS(_book!$AY$2:$AY$379,_book!$A$2:$A$379,bkc_lob,_book!$B$2:$B$379,bkc_bu))</f>
        <v>3.4486423444725127E-2</v>
      </c>
      <c r="C83" s="80">
        <f>IF(SUMIFS(_book!$AZ$2:$AZ$379,_book!$A$2:$A$379,bkc_lob,_book!$B$2:$B$379,bkc_bu)=0,"—",SUMIFS(_book!$BL$2:$BL$379,_book!$A$2:$A$379,bkc_lob,_book!$B$2:$B$379,bkc_bu)/SUMIFS(_book!$AZ$2:$AZ$379,_book!$A$2:$A$379,bkc_lob,_book!$B$2:$B$379,bkc_bu))</f>
        <v>3.2787017407083188E-2</v>
      </c>
      <c r="D83" s="80">
        <f>IF(SUMIFS(_book!$BA$2:$BA$379,_book!$A$2:$A$379,bkc_lob,_book!$B$2:$B$379,bkc_bu)=0,"—",SUMIFS(_book!$BM$2:$BM$379,_book!$A$2:$A$379,bkc_lob,_book!$B$2:$B$379,bkc_bu)/SUMIFS(_book!$BA$2:$BA$379,_book!$A$2:$A$379,bkc_lob,_book!$B$2:$B$379,bkc_bu))</f>
        <v>3.375357769348282E-2</v>
      </c>
      <c r="E83" s="80">
        <f>IF(SUMIFS(_book!$BB$2:$BB$379,_book!$A$2:$A$379,bkc_lob,_book!$B$2:$B$379,bkc_bu)=0,"—",SUMIFS(_book!$BN$2:$BN$379,_book!$A$2:$A$379,bkc_lob,_book!$B$2:$B$379,bkc_bu)/SUMIFS(_book!$BB$2:$BB$379,_book!$A$2:$A$379,bkc_lob,_book!$B$2:$B$379,bkc_bu))</f>
        <v>3.269707242880325E-2</v>
      </c>
      <c r="F83" s="80">
        <f>IF(SUMIFS(_book!$BC$2:$BC$379,_book!$A$2:$A$379,bkc_lob,_book!$B$2:$B$379,bkc_bu)=0,"—",SUMIFS(_book!$BO$2:$BO$379,_book!$A$2:$A$379,bkc_lob,_book!$B$2:$B$379,bkc_bu)/SUMIFS(_book!$BC$2:$BC$379,_book!$A$2:$A$379,bkc_lob,_book!$B$2:$B$379,bkc_bu))</f>
        <v>3.0218530852946294E-2</v>
      </c>
      <c r="G83" s="80">
        <f>IF(SUMIFS(_book!$BD$2:$BD$379,_book!$A$2:$A$379,bkc_lob,_book!$B$2:$B$379,bkc_bu)=0,"—",SUMIFS(_book!$BP$2:$BP$379,_book!$A$2:$A$379,bkc_lob,_book!$B$2:$B$379,bkc_bu)/SUMIFS(_book!$BD$2:$BD$379,_book!$A$2:$A$379,bkc_lob,_book!$B$2:$B$379,bkc_bu))</f>
        <v>3.1227134483013459E-2</v>
      </c>
      <c r="H83" s="80">
        <f>IF(SUMIFS(_book!$BE$2:$BE$379,_book!$A$2:$A$379,bkc_lob,_book!$B$2:$B$379,bkc_bu)=0,"—",SUMIFS(_book!$BQ$2:$BQ$379,_book!$A$2:$A$379,bkc_lob,_book!$B$2:$B$379,bkc_bu)/SUMIFS(_book!$BE$2:$BE$379,_book!$A$2:$A$379,bkc_lob,_book!$B$2:$B$379,bkc_bu))</f>
        <v>2.5977521582545095E-2</v>
      </c>
      <c r="I83" s="80">
        <f>IF(SUMIFS(_book!$BF$2:$BF$379,_book!$A$2:$A$379,bkc_lob,_book!$B$2:$B$379,bkc_bu)=0,"—",SUMIFS(_book!$BR$2:$BR$379,_book!$A$2:$A$379,bkc_lob,_book!$B$2:$B$379,bkc_bu)/SUMIFS(_book!$BF$2:$BF$379,_book!$A$2:$A$379,bkc_lob,_book!$B$2:$B$379,bkc_bu))</f>
        <v>2.393414520285661E-2</v>
      </c>
      <c r="J83" s="80">
        <f>IF(SUMIFS(_book!$BG$2:$BG$379,_book!$A$2:$A$379,bkc_lob,_book!$B$2:$B$379,bkc_bu)=0,"—",SUMIFS(_book!$BS$2:$BS$379,_book!$A$2:$A$379,bkc_lob,_book!$B$2:$B$379,bkc_bu)/SUMIFS(_book!$BG$2:$BG$379,_book!$A$2:$A$379,bkc_lob,_book!$B$2:$B$379,bkc_bu))</f>
        <v>2.3990552635399932E-2</v>
      </c>
      <c r="K83" s="80">
        <f>IF(SUMIFS(_book!$BH$2:$BH$379,_book!$A$2:$A$379,bkc_lob,_book!$B$2:$B$379,bkc_bu)=0,"—",SUMIFS(_book!$BT$2:$BT$379,_book!$A$2:$A$379,bkc_lob,_book!$B$2:$B$379,bkc_bu)/SUMIFS(_book!$BH$2:$BH$379,_book!$A$2:$A$379,bkc_lob,_book!$B$2:$B$379,bkc_bu))</f>
        <v>2.0097796119165564E-2</v>
      </c>
      <c r="L83" s="80">
        <f>IF(SUMIFS(_book!$BI$2:$BI$379,_book!$A$2:$A$379,bkc_lob,_book!$B$2:$B$379,bkc_bu)=0,"—",SUMIFS(_book!$BU$2:$BU$379,_book!$A$2:$A$379,bkc_lob,_book!$B$2:$B$379,bkc_bu)/SUMIFS(_book!$BI$2:$BI$379,_book!$A$2:$A$379,bkc_lob,_book!$B$2:$B$379,bkc_bu))</f>
        <v>1.7535756128685024E-2</v>
      </c>
      <c r="M83" s="80">
        <f>IF(SUMIFS(_book!$BJ$2:$BJ$379,_book!$A$2:$A$379,bkc_lob,_book!$B$2:$B$379,bkc_bu)=0,"—",SUMIFS(_book!$BV$2:$BV$379,_book!$A$2:$A$379,bkc_lob,_book!$B$2:$B$379,bkc_bu)/SUMIFS(_book!$BJ$2:$BJ$379,_book!$A$2:$A$379,bkc_lob,_book!$B$2:$B$379,bkc_bu))</f>
        <v>1.7422368667329817E-2</v>
      </c>
    </row>
    <row r="86" spans="1:13" x14ac:dyDescent="0.3">
      <c r="A86" s="9" t="s">
        <v>164</v>
      </c>
    </row>
  </sheetData>
  <conditionalFormatting sqref="B62:M82">
    <cfRule type="colorScale" priority="1">
      <colorScale>
        <cfvo type="min"/>
        <cfvo type="percentile" val="50"/>
        <cfvo type="max"/>
        <color rgb="FFD6E8D5"/>
        <color rgb="FFFFF2CC"/>
        <color rgb="FFF4B8B8"/>
      </colorScale>
    </cfRule>
  </conditionalFormatting>
  <pageMargins left="0.75" right="0.75" top="1" bottom="1" header="0.5" footer="0.5"/>
  <pageSetup fitToHeight="0" orientation="landscape"/>
  <headerFooter>
    <oddHeader>&amp;C&amp;"Calibri,Bold"&amp;10 CY Plan Loss Ratio Workbook</oddHeader>
    <oddFooter>&amp;L&amp;9 &amp;A&amp;R&amp;9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D32"/>
    <pageSetUpPr fitToPage="1"/>
  </sheetPr>
  <dimension ref="A1:L16"/>
  <sheetViews>
    <sheetView showGridLines="0" workbookViewId="0"/>
  </sheetViews>
  <sheetFormatPr defaultRowHeight="14.4" x14ac:dyDescent="0.3"/>
  <cols>
    <col min="1" max="1" width="5" customWidth="1"/>
    <col min="2" max="2" width="14" customWidth="1"/>
    <col min="3" max="3" width="68" customWidth="1"/>
    <col min="4" max="5" width="14" customWidth="1"/>
    <col min="6" max="6" width="11" customWidth="1"/>
    <col min="7" max="7" width="10" customWidth="1"/>
  </cols>
  <sheetData>
    <row r="1" spans="1:12" ht="21" x14ac:dyDescent="0.3">
      <c r="A1" s="1" t="s">
        <v>165</v>
      </c>
    </row>
    <row r="2" spans="1:12" x14ac:dyDescent="0.3">
      <c r="A2" s="2" t="s">
        <v>166</v>
      </c>
    </row>
    <row r="3" spans="1:12" x14ac:dyDescent="0.3">
      <c r="A3" s="10" t="s">
        <v>167</v>
      </c>
      <c r="C3" s="81" t="str">
        <f>IF(COUNTIF($G$6:$G$14,"FAIL")&gt;0,"CHECKS FAILING: "&amp;COUNTIF($G$6:$G$14,"FAIL"),IF(COUNTIF($G$6:$G$14,"WARN")&gt;0,"PASS WITH "&amp;COUNTIF($G$6:$G$14,"WARN")&amp;" WARNING(S)","ALL CHECKS PASS"))</f>
        <v>ALL CHECKS PASS</v>
      </c>
      <c r="F3" s="7" t="s">
        <v>36</v>
      </c>
      <c r="H3" s="8" t="str">
        <f>HYPERLINK("#Control!A1","Control")</f>
        <v>Control</v>
      </c>
      <c r="J3" s="8" t="str">
        <f>HYPERLINK("#'State Summary'!A1","State Summary")</f>
        <v>State Summary</v>
      </c>
      <c r="L3" s="8" t="str">
        <f>HYPERLINK("#'Read Me'!A1","Read Me")</f>
        <v>Read Me</v>
      </c>
    </row>
    <row r="5" spans="1:12" x14ac:dyDescent="0.3">
      <c r="A5" s="19" t="s">
        <v>168</v>
      </c>
      <c r="B5" s="19" t="s">
        <v>169</v>
      </c>
      <c r="C5" s="19" t="s">
        <v>170</v>
      </c>
      <c r="D5" s="19" t="s">
        <v>171</v>
      </c>
      <c r="E5" s="19" t="s">
        <v>172</v>
      </c>
      <c r="F5" s="19" t="s">
        <v>173</v>
      </c>
      <c r="G5" s="19" t="s">
        <v>174</v>
      </c>
    </row>
    <row r="6" spans="1:12" x14ac:dyDescent="0.3">
      <c r="A6" s="82">
        <v>1</v>
      </c>
      <c r="B6" s="7" t="s">
        <v>175</v>
      </c>
      <c r="C6" s="83" t="s">
        <v>176</v>
      </c>
      <c r="D6" s="71">
        <f>6</f>
        <v>6</v>
      </c>
      <c r="E6" s="71">
        <f>COUNTIF(Control!$A$18:$A$23,"?*")</f>
        <v>6</v>
      </c>
      <c r="F6" s="82">
        <v>0</v>
      </c>
      <c r="G6" s="84" t="str">
        <f t="shared" ref="G6:G13" si="0">IF(ABS($E6-$D6)&lt;=$F6,"PASS","FAIL")</f>
        <v>PASS</v>
      </c>
    </row>
    <row r="7" spans="1:12" x14ac:dyDescent="0.3">
      <c r="A7" s="82">
        <v>2</v>
      </c>
      <c r="B7" s="7" t="s">
        <v>175</v>
      </c>
      <c r="C7" s="83" t="s">
        <v>177</v>
      </c>
      <c r="D7" s="71">
        <f>378</f>
        <v>378</v>
      </c>
      <c r="E7" s="71">
        <f>bk_srccombos</f>
        <v>378</v>
      </c>
      <c r="F7" s="82">
        <v>0</v>
      </c>
      <c r="G7" s="84" t="str">
        <f t="shared" si="0"/>
        <v>PASS</v>
      </c>
    </row>
    <row r="8" spans="1:12" x14ac:dyDescent="0.3">
      <c r="A8" s="82">
        <v>3</v>
      </c>
      <c r="B8" s="7" t="s">
        <v>175</v>
      </c>
      <c r="C8" s="83" t="s">
        <v>178</v>
      </c>
      <c r="D8" s="71">
        <f>378</f>
        <v>378</v>
      </c>
      <c r="E8" s="71">
        <f>COUNTIF(_book!$D$2:$D$379,"?*")</f>
        <v>378</v>
      </c>
      <c r="F8" s="82">
        <v>0</v>
      </c>
      <c r="G8" s="84" t="str">
        <f t="shared" si="0"/>
        <v>PASS</v>
      </c>
    </row>
    <row r="9" spans="1:12" x14ac:dyDescent="0.3">
      <c r="A9" s="82">
        <v>4</v>
      </c>
      <c r="B9" s="7" t="s">
        <v>175</v>
      </c>
      <c r="C9" s="83" t="s">
        <v>179</v>
      </c>
      <c r="D9" s="71">
        <f>6</f>
        <v>6</v>
      </c>
      <c r="E9" s="71">
        <f>COUNTIF(Control!$F$18:$F$23,"ALL CHECKS PASS")+COUNTIF(Control!$F$18:$F$23,"PASS WITH *")</f>
        <v>6</v>
      </c>
      <c r="F9" s="82">
        <v>0</v>
      </c>
      <c r="G9" s="84" t="str">
        <f t="shared" si="0"/>
        <v>PASS</v>
      </c>
    </row>
    <row r="10" spans="1:12" x14ac:dyDescent="0.3">
      <c r="A10" s="82">
        <v>5</v>
      </c>
      <c r="B10" s="7" t="s">
        <v>180</v>
      </c>
      <c r="C10" s="83" t="s">
        <v>181</v>
      </c>
      <c r="D10" s="71">
        <f>SUMIFS(_book!$F$2:$F$379,_book!$B$2:$B$379,bkc_bu,_book!$C$2:$C$379,bkc_state)</f>
        <v>17085000</v>
      </c>
      <c r="E10" s="71">
        <f>bk_lob_ep</f>
        <v>17085000</v>
      </c>
      <c r="F10" s="82">
        <v>9.9999999999999995E-7</v>
      </c>
      <c r="G10" s="84" t="str">
        <f t="shared" si="0"/>
        <v>PASS</v>
      </c>
    </row>
    <row r="11" spans="1:12" x14ac:dyDescent="0.3">
      <c r="A11" s="82">
        <v>6</v>
      </c>
      <c r="B11" s="7" t="s">
        <v>180</v>
      </c>
      <c r="C11" s="83" t="s">
        <v>182</v>
      </c>
      <c r="D11" s="71">
        <f>SUMIFS(_book!$F$2:$F$379,_book!$A$2:$A$379,bkc_lob,_book!$B$2:$B$379,bkc_bu)</f>
        <v>17085000</v>
      </c>
      <c r="E11" s="71">
        <f>bk_ss_ep</f>
        <v>17085000</v>
      </c>
      <c r="F11" s="82">
        <v>9.9999999999999995E-7</v>
      </c>
      <c r="G11" s="84" t="str">
        <f t="shared" si="0"/>
        <v>PASS</v>
      </c>
    </row>
    <row r="12" spans="1:12" x14ac:dyDescent="0.3">
      <c r="A12" s="82">
        <v>7</v>
      </c>
      <c r="B12" s="7" t="s">
        <v>183</v>
      </c>
      <c r="C12" s="83" t="s">
        <v>184</v>
      </c>
      <c r="D12" s="71">
        <f>0</f>
        <v>0</v>
      </c>
      <c r="E12" s="71">
        <f>SUM(_book!$AB$2:$AB$379)</f>
        <v>0</v>
      </c>
      <c r="F12" s="82">
        <v>1.0000000000000001E-9</v>
      </c>
      <c r="G12" s="84" t="str">
        <f t="shared" si="0"/>
        <v>PASS</v>
      </c>
    </row>
    <row r="13" spans="1:12" x14ac:dyDescent="0.3">
      <c r="A13" s="82">
        <v>8</v>
      </c>
      <c r="B13" s="7" t="s">
        <v>183</v>
      </c>
      <c r="C13" s="83" t="s">
        <v>185</v>
      </c>
      <c r="D13" s="71">
        <f>0</f>
        <v>0</v>
      </c>
      <c r="E13" s="71">
        <f>SUMPRODUCT((_book!$V$2:$V$379=0)*(_book!$W$2:$W$379&lt;&gt;0)*1)</f>
        <v>0</v>
      </c>
      <c r="F13" s="82">
        <v>0</v>
      </c>
      <c r="G13" s="84" t="str">
        <f t="shared" si="0"/>
        <v>PASS</v>
      </c>
    </row>
    <row r="14" spans="1:12" x14ac:dyDescent="0.3">
      <c r="A14" s="82">
        <v>9</v>
      </c>
      <c r="B14" s="7" t="s">
        <v>186</v>
      </c>
      <c r="C14" s="83" t="s">
        <v>187</v>
      </c>
      <c r="D14" s="71">
        <f>0</f>
        <v>0</v>
      </c>
      <c r="E14" s="71">
        <f>SUMPRODUCT((ABS(_book!$AA$2:$AA$379)&gt;1)*1)</f>
        <v>0</v>
      </c>
      <c r="F14" s="82">
        <v>0</v>
      </c>
      <c r="G14" s="84" t="str">
        <f>IF(ABS($E14-$D14)&lt;=$F14,"PASS","WARN")</f>
        <v>PASS</v>
      </c>
    </row>
    <row r="16" spans="1:12" x14ac:dyDescent="0.3">
      <c r="A16" s="9" t="s">
        <v>188</v>
      </c>
    </row>
  </sheetData>
  <conditionalFormatting sqref="C3">
    <cfRule type="expression" dxfId="2" priority="1">
      <formula>$C$3="ALL CHECKS PASS"</formula>
    </cfRule>
    <cfRule type="expression" dxfId="1" priority="2">
      <formula>AND(LEFT($C$3,4)="PASS",$C$3&lt;&gt;"ALL CHECKS PASS")</formula>
    </cfRule>
    <cfRule type="expression" dxfId="0" priority="3">
      <formula>LEFT($C$3,4)&lt;&gt;"PASS"</formula>
    </cfRule>
  </conditionalFormatting>
  <pageMargins left="0.75" right="0.75" top="1" bottom="1" header="0.5" footer="0.5"/>
  <pageSetup fitToHeight="0" orientation="landscape"/>
  <headerFooter>
    <oddHeader>&amp;C&amp;"Calibri,Bold"&amp;10 CY Plan Loss Ratio Workbook</oddHeader>
    <oddFooter>&amp;L&amp;9 &amp;A&amp;R&amp;9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R379"/>
  <sheetViews>
    <sheetView workbookViewId="0"/>
  </sheetViews>
  <sheetFormatPr defaultRowHeight="14.4" x14ac:dyDescent="0.3"/>
  <sheetData>
    <row r="1" spans="1:122" x14ac:dyDescent="0.3">
      <c r="A1" s="85" t="s">
        <v>189</v>
      </c>
      <c r="B1" s="85" t="s">
        <v>141</v>
      </c>
      <c r="C1" s="85" t="s">
        <v>44</v>
      </c>
      <c r="D1" s="85" t="s">
        <v>190</v>
      </c>
      <c r="E1" s="85" t="s">
        <v>191</v>
      </c>
      <c r="F1" s="85" t="s">
        <v>106</v>
      </c>
      <c r="G1" s="85" t="s">
        <v>192</v>
      </c>
      <c r="H1" s="85" t="s">
        <v>193</v>
      </c>
      <c r="I1" s="85" t="s">
        <v>194</v>
      </c>
      <c r="J1" s="85" t="s">
        <v>195</v>
      </c>
      <c r="K1" s="85" t="s">
        <v>196</v>
      </c>
      <c r="L1" s="85" t="s">
        <v>197</v>
      </c>
      <c r="M1" s="85" t="s">
        <v>198</v>
      </c>
      <c r="N1" s="85" t="s">
        <v>142</v>
      </c>
      <c r="O1" s="85" t="s">
        <v>199</v>
      </c>
      <c r="P1" s="85" t="s">
        <v>200</v>
      </c>
      <c r="Q1" s="85" t="s">
        <v>129</v>
      </c>
      <c r="R1" s="85" t="s">
        <v>201</v>
      </c>
      <c r="S1" s="85" t="s">
        <v>202</v>
      </c>
      <c r="T1" s="85" t="s">
        <v>147</v>
      </c>
      <c r="U1" s="85" t="s">
        <v>148</v>
      </c>
      <c r="V1" s="85" t="s">
        <v>203</v>
      </c>
      <c r="W1" s="85" t="s">
        <v>149</v>
      </c>
      <c r="X1" s="85" t="s">
        <v>204</v>
      </c>
      <c r="Y1" s="85" t="s">
        <v>150</v>
      </c>
      <c r="Z1" s="85" t="s">
        <v>205</v>
      </c>
      <c r="AA1" s="85" t="s">
        <v>134</v>
      </c>
      <c r="AB1" s="85" t="s">
        <v>206</v>
      </c>
      <c r="AC1" s="85" t="s">
        <v>119</v>
      </c>
      <c r="AD1" s="85" t="s">
        <v>120</v>
      </c>
      <c r="AE1" s="85" t="s">
        <v>207</v>
      </c>
      <c r="AF1" s="85" t="s">
        <v>208</v>
      </c>
      <c r="AG1" s="85" t="s">
        <v>209</v>
      </c>
      <c r="AH1" s="85" t="s">
        <v>210</v>
      </c>
      <c r="AI1" s="85" t="s">
        <v>211</v>
      </c>
      <c r="AJ1" s="85" t="s">
        <v>212</v>
      </c>
      <c r="AK1" s="85" t="s">
        <v>213</v>
      </c>
      <c r="AL1" s="85" t="s">
        <v>214</v>
      </c>
      <c r="AM1" s="85" t="s">
        <v>215</v>
      </c>
      <c r="AN1" s="85" t="s">
        <v>216</v>
      </c>
      <c r="AO1" s="85" t="s">
        <v>217</v>
      </c>
      <c r="AP1" s="85" t="s">
        <v>218</v>
      </c>
      <c r="AQ1" s="85" t="s">
        <v>219</v>
      </c>
      <c r="AR1" s="85" t="s">
        <v>220</v>
      </c>
      <c r="AS1" s="85" t="s">
        <v>221</v>
      </c>
      <c r="AT1" s="85" t="s">
        <v>222</v>
      </c>
      <c r="AU1" s="85" t="s">
        <v>223</v>
      </c>
      <c r="AV1" s="85" t="s">
        <v>224</v>
      </c>
      <c r="AW1" s="85" t="s">
        <v>225</v>
      </c>
      <c r="AX1" s="85" t="s">
        <v>226</v>
      </c>
      <c r="AY1" s="85" t="s">
        <v>227</v>
      </c>
      <c r="AZ1" s="85" t="s">
        <v>228</v>
      </c>
      <c r="BA1" s="85" t="s">
        <v>229</v>
      </c>
      <c r="BB1" s="85" t="s">
        <v>230</v>
      </c>
      <c r="BC1" s="85" t="s">
        <v>231</v>
      </c>
      <c r="BD1" s="85" t="s">
        <v>232</v>
      </c>
      <c r="BE1" s="85" t="s">
        <v>233</v>
      </c>
      <c r="BF1" s="85" t="s">
        <v>234</v>
      </c>
      <c r="BG1" s="85" t="s">
        <v>235</v>
      </c>
      <c r="BH1" s="85" t="s">
        <v>236</v>
      </c>
      <c r="BI1" s="85" t="s">
        <v>237</v>
      </c>
      <c r="BJ1" s="85" t="s">
        <v>238</v>
      </c>
      <c r="BK1" s="85" t="s">
        <v>239</v>
      </c>
      <c r="BL1" s="85" t="s">
        <v>240</v>
      </c>
      <c r="BM1" s="85" t="s">
        <v>241</v>
      </c>
      <c r="BN1" s="85" t="s">
        <v>242</v>
      </c>
      <c r="BO1" s="85" t="s">
        <v>243</v>
      </c>
      <c r="BP1" s="85" t="s">
        <v>244</v>
      </c>
      <c r="BQ1" s="85" t="s">
        <v>245</v>
      </c>
      <c r="BR1" s="85" t="s">
        <v>246</v>
      </c>
      <c r="BS1" s="85" t="s">
        <v>247</v>
      </c>
      <c r="BT1" s="85" t="s">
        <v>248</v>
      </c>
      <c r="BU1" s="85" t="s">
        <v>249</v>
      </c>
      <c r="BV1" s="85" t="s">
        <v>250</v>
      </c>
      <c r="BW1" s="85" t="s">
        <v>251</v>
      </c>
      <c r="BX1" s="85" t="s">
        <v>252</v>
      </c>
      <c r="BY1" s="85" t="s">
        <v>253</v>
      </c>
      <c r="BZ1" s="85" t="s">
        <v>254</v>
      </c>
      <c r="CA1" s="85" t="s">
        <v>255</v>
      </c>
      <c r="CB1" s="85" t="s">
        <v>256</v>
      </c>
      <c r="CC1" s="85" t="s">
        <v>257</v>
      </c>
      <c r="CD1" s="85" t="s">
        <v>258</v>
      </c>
      <c r="CE1" s="85" t="s">
        <v>259</v>
      </c>
      <c r="CF1" s="85" t="s">
        <v>260</v>
      </c>
      <c r="CG1" s="85" t="s">
        <v>261</v>
      </c>
      <c r="CH1" s="85" t="s">
        <v>262</v>
      </c>
      <c r="CI1" s="85" t="s">
        <v>263</v>
      </c>
      <c r="CJ1" s="85" t="s">
        <v>264</v>
      </c>
      <c r="CK1" s="85" t="s">
        <v>265</v>
      </c>
      <c r="CL1" s="85" t="s">
        <v>266</v>
      </c>
      <c r="CM1" s="85" t="s">
        <v>267</v>
      </c>
      <c r="CN1" s="85" t="s">
        <v>268</v>
      </c>
      <c r="CO1" s="85" t="s">
        <v>269</v>
      </c>
      <c r="CP1" s="85" t="s">
        <v>270</v>
      </c>
      <c r="CQ1" s="85" t="s">
        <v>271</v>
      </c>
      <c r="CR1" s="85" t="s">
        <v>272</v>
      </c>
      <c r="CS1" s="85" t="s">
        <v>273</v>
      </c>
      <c r="CT1" s="85" t="s">
        <v>274</v>
      </c>
      <c r="CU1" s="85" t="s">
        <v>275</v>
      </c>
      <c r="CV1" s="85" t="s">
        <v>276</v>
      </c>
      <c r="CW1" s="85" t="s">
        <v>277</v>
      </c>
      <c r="CX1" s="85" t="s">
        <v>278</v>
      </c>
      <c r="CY1" s="85" t="s">
        <v>279</v>
      </c>
      <c r="CZ1" s="85" t="s">
        <v>280</v>
      </c>
      <c r="DA1" s="85" t="s">
        <v>281</v>
      </c>
      <c r="DB1" s="85" t="s">
        <v>282</v>
      </c>
      <c r="DC1" s="85" t="s">
        <v>283</v>
      </c>
      <c r="DD1" s="85" t="s">
        <v>284</v>
      </c>
      <c r="DE1" s="85" t="s">
        <v>285</v>
      </c>
      <c r="DF1" s="85" t="s">
        <v>286</v>
      </c>
      <c r="DG1" s="85" t="s">
        <v>287</v>
      </c>
      <c r="DH1" s="85" t="s">
        <v>288</v>
      </c>
      <c r="DI1" s="85" t="s">
        <v>289</v>
      </c>
      <c r="DJ1" s="85" t="s">
        <v>290</v>
      </c>
      <c r="DK1" s="85" t="s">
        <v>291</v>
      </c>
      <c r="DL1" s="85" t="s">
        <v>292</v>
      </c>
      <c r="DM1" s="85" t="s">
        <v>293</v>
      </c>
      <c r="DN1" s="85" t="s">
        <v>294</v>
      </c>
      <c r="DO1" s="85" t="s">
        <v>295</v>
      </c>
      <c r="DP1" s="85" t="s">
        <v>296</v>
      </c>
      <c r="DQ1" s="85" t="s">
        <v>297</v>
      </c>
      <c r="DR1" s="85" t="s">
        <v>298</v>
      </c>
    </row>
    <row r="2" spans="1:122" x14ac:dyDescent="0.3">
      <c r="A2" t="s">
        <v>22</v>
      </c>
      <c r="B2" t="s">
        <v>42</v>
      </c>
      <c r="C2" t="s">
        <v>43</v>
      </c>
      <c r="D2" t="s">
        <v>299</v>
      </c>
      <c r="E2" t="s">
        <v>300</v>
      </c>
      <c r="F2" s="86">
        <v>36000</v>
      </c>
      <c r="G2" s="87">
        <v>12</v>
      </c>
      <c r="H2" s="88">
        <v>1.1024</v>
      </c>
      <c r="I2" s="88">
        <v>1.1101025</v>
      </c>
      <c r="J2" s="89">
        <v>0.8659874179431073</v>
      </c>
      <c r="K2" s="88">
        <v>0.99306145153262859</v>
      </c>
      <c r="L2" s="88">
        <v>0.98153851013092008</v>
      </c>
      <c r="M2" s="88">
        <v>1</v>
      </c>
      <c r="N2" s="90">
        <v>0.65</v>
      </c>
      <c r="O2" s="90">
        <v>0.63357323744376037</v>
      </c>
      <c r="P2" s="90">
        <v>0.59480029614224839</v>
      </c>
      <c r="Q2" s="91">
        <v>0</v>
      </c>
      <c r="R2" s="88">
        <v>0.95380029806259314</v>
      </c>
      <c r="S2" s="88">
        <v>0.95940143921021315</v>
      </c>
      <c r="T2" s="91">
        <v>6.9870283018869106E-3</v>
      </c>
      <c r="U2" s="91">
        <v>4.1162865591240383E-2</v>
      </c>
      <c r="V2" s="87">
        <v>0</v>
      </c>
      <c r="W2" s="91">
        <v>0</v>
      </c>
      <c r="X2" s="87">
        <v>1</v>
      </c>
      <c r="Y2" s="90">
        <v>0.63357323744376037</v>
      </c>
      <c r="Z2" s="90">
        <v>0.59480029614224839</v>
      </c>
      <c r="AA2" s="92">
        <v>0</v>
      </c>
      <c r="AB2" s="88">
        <v>0</v>
      </c>
      <c r="AC2" s="87">
        <v>2</v>
      </c>
      <c r="AD2" s="87">
        <v>1</v>
      </c>
      <c r="AE2" s="88">
        <v>1.0682499999999999</v>
      </c>
      <c r="AF2" s="88">
        <v>1.028058522028005</v>
      </c>
      <c r="AG2" s="88">
        <v>1.098225804678618</v>
      </c>
      <c r="AH2" s="88">
        <v>39686.400000000001</v>
      </c>
      <c r="AI2" s="88">
        <v>39963.69000000001</v>
      </c>
      <c r="AJ2" s="88">
        <v>31175.547045951858</v>
      </c>
      <c r="AK2" s="88">
        <v>35750.212255174629</v>
      </c>
      <c r="AL2" s="88">
        <v>35335.386364713122</v>
      </c>
      <c r="AM2" s="88">
        <v>36000</v>
      </c>
      <c r="AN2" s="88">
        <v>23400</v>
      </c>
      <c r="AO2" s="88">
        <v>22808.636547975369</v>
      </c>
      <c r="AP2" s="88">
        <v>21412.81066112094</v>
      </c>
      <c r="AQ2" s="88">
        <v>0</v>
      </c>
      <c r="AR2" s="88">
        <v>34336.810730253354</v>
      </c>
      <c r="AS2" s="88">
        <v>34538.451811567676</v>
      </c>
      <c r="AT2" s="88">
        <v>22808.636547975369</v>
      </c>
      <c r="AU2" s="88">
        <v>21412.81066112094</v>
      </c>
      <c r="AV2" s="88">
        <v>30600</v>
      </c>
      <c r="AW2" s="88">
        <v>30960</v>
      </c>
      <c r="AX2" s="88">
        <v>32040</v>
      </c>
      <c r="AY2" s="88">
        <v>36000</v>
      </c>
      <c r="AZ2" s="88">
        <v>36000</v>
      </c>
      <c r="BA2" s="88">
        <v>36000</v>
      </c>
      <c r="BB2" s="88">
        <v>36000</v>
      </c>
      <c r="BC2" s="88">
        <v>36000</v>
      </c>
      <c r="BD2" s="88">
        <v>36000</v>
      </c>
      <c r="BE2" s="88">
        <v>36000</v>
      </c>
      <c r="BF2" s="88">
        <v>36000</v>
      </c>
      <c r="BG2" s="88">
        <v>36000</v>
      </c>
      <c r="BH2" s="88">
        <v>36000</v>
      </c>
      <c r="BI2" s="88">
        <v>36000</v>
      </c>
      <c r="BJ2" s="88">
        <v>36000</v>
      </c>
      <c r="BK2" s="88">
        <v>3244.4988904605639</v>
      </c>
      <c r="BL2" s="88">
        <v>3242.0135688021142</v>
      </c>
      <c r="BM2" s="88">
        <v>3239.53961220984</v>
      </c>
      <c r="BN2" s="88">
        <v>5198.8433424403302</v>
      </c>
      <c r="BO2" s="88">
        <v>5196.1826714151657</v>
      </c>
      <c r="BP2" s="88">
        <v>5193.5344911623624</v>
      </c>
      <c r="BQ2" s="88">
        <v>2859.3384093672021</v>
      </c>
      <c r="BR2" s="88">
        <v>2856.8229691948368</v>
      </c>
      <c r="BS2" s="88">
        <v>2854.3597320223139</v>
      </c>
      <c r="BT2" s="88">
        <v>2851.9079507478059</v>
      </c>
      <c r="BU2" s="88">
        <v>2849.4675456389559</v>
      </c>
      <c r="BV2" s="88">
        <v>2847.0384377015839</v>
      </c>
      <c r="BW2" s="88">
        <v>2160.0000000000018</v>
      </c>
      <c r="BX2" s="88">
        <v>2160.0000000000018</v>
      </c>
      <c r="BY2" s="88">
        <v>2160.0000000000018</v>
      </c>
      <c r="BZ2" s="88">
        <v>4068</v>
      </c>
      <c r="CA2" s="88">
        <v>4068</v>
      </c>
      <c r="CB2" s="88">
        <v>4068</v>
      </c>
      <c r="CC2" s="88">
        <v>1800.000000000002</v>
      </c>
      <c r="CD2" s="88">
        <v>1800.000000000002</v>
      </c>
      <c r="CE2" s="88">
        <v>1800.000000000002</v>
      </c>
      <c r="CF2" s="88">
        <v>1800.000000000002</v>
      </c>
      <c r="CG2" s="88">
        <v>1800.000000000002</v>
      </c>
      <c r="CH2" s="88">
        <v>1800.000000000002</v>
      </c>
      <c r="CI2" s="88">
        <v>36000</v>
      </c>
      <c r="CJ2" s="88">
        <v>36000</v>
      </c>
      <c r="CK2" s="88">
        <v>36000</v>
      </c>
      <c r="CL2" s="88">
        <v>36000</v>
      </c>
      <c r="CM2" s="88">
        <v>36000</v>
      </c>
      <c r="CN2" s="88">
        <v>36000</v>
      </c>
      <c r="CO2" s="88">
        <v>36000</v>
      </c>
      <c r="CP2" s="88">
        <v>36000</v>
      </c>
      <c r="CQ2" s="88">
        <v>36000</v>
      </c>
      <c r="CR2" s="88">
        <v>36000</v>
      </c>
      <c r="CS2" s="88">
        <v>36000</v>
      </c>
      <c r="CT2" s="88">
        <v>36000</v>
      </c>
      <c r="CU2" s="88">
        <v>1023.112160811849</v>
      </c>
      <c r="CV2" s="88">
        <v>1020.767517737845</v>
      </c>
      <c r="CW2" s="88">
        <v>1018.433596424376</v>
      </c>
      <c r="CX2" s="88">
        <v>1016.031754214136</v>
      </c>
      <c r="CY2" s="88">
        <v>1013.641214209491</v>
      </c>
      <c r="CZ2" s="88">
        <v>1011.2618968215299</v>
      </c>
      <c r="DA2" s="88">
        <v>1008.893723206858</v>
      </c>
      <c r="DB2" s="88">
        <v>1006.498065899839</v>
      </c>
      <c r="DC2" s="88">
        <v>1004.152125735535</v>
      </c>
      <c r="DD2" s="88">
        <v>1001.817095950288</v>
      </c>
      <c r="DE2" s="88">
        <v>999.4929006085265</v>
      </c>
      <c r="DF2" s="88">
        <v>997.17946447769543</v>
      </c>
      <c r="DG2" s="93">
        <v>45839</v>
      </c>
      <c r="DH2" s="91">
        <v>0.04</v>
      </c>
      <c r="DI2" t="s">
        <v>301</v>
      </c>
      <c r="DJ2" s="93">
        <v>46204</v>
      </c>
      <c r="DK2" s="91">
        <v>0.06</v>
      </c>
      <c r="DL2" t="s">
        <v>301</v>
      </c>
      <c r="DM2" s="93">
        <v>46478</v>
      </c>
      <c r="DN2" s="91">
        <v>0.05</v>
      </c>
      <c r="DO2" t="s">
        <v>302</v>
      </c>
      <c r="DP2" s="93"/>
      <c r="DQ2" s="91"/>
    </row>
    <row r="3" spans="1:122" x14ac:dyDescent="0.3">
      <c r="A3" t="s">
        <v>22</v>
      </c>
      <c r="B3" t="s">
        <v>42</v>
      </c>
      <c r="C3" t="s">
        <v>46</v>
      </c>
      <c r="D3" t="s">
        <v>303</v>
      </c>
      <c r="E3" t="s">
        <v>304</v>
      </c>
      <c r="F3" s="86">
        <v>94500</v>
      </c>
      <c r="G3" s="87">
        <v>12</v>
      </c>
      <c r="H3" s="88">
        <v>1.03</v>
      </c>
      <c r="I3" s="88">
        <v>1.0472055555555559</v>
      </c>
      <c r="J3" s="89">
        <v>0.84099790299051769</v>
      </c>
      <c r="K3" s="88">
        <v>0.98357003029225942</v>
      </c>
      <c r="L3" s="88">
        <v>1.0107040659405591</v>
      </c>
      <c r="M3" s="88">
        <v>1</v>
      </c>
      <c r="N3" s="90">
        <v>0.65800000000000003</v>
      </c>
      <c r="O3" s="90">
        <v>0.65411663451991164</v>
      </c>
      <c r="P3" s="90">
        <v>0.63702752681730224</v>
      </c>
      <c r="Q3" s="91">
        <v>0</v>
      </c>
      <c r="R3" s="88">
        <v>0.96166688927474275</v>
      </c>
      <c r="S3" s="88">
        <v>1.006717555994838</v>
      </c>
      <c r="T3" s="91">
        <v>1.6704422869471269E-2</v>
      </c>
      <c r="U3" s="91">
        <v>2.277622455529826E-2</v>
      </c>
      <c r="V3" s="87">
        <v>0</v>
      </c>
      <c r="W3" s="91">
        <v>0</v>
      </c>
      <c r="X3" s="87">
        <v>1</v>
      </c>
      <c r="Y3" s="90">
        <v>0.65411663451991164</v>
      </c>
      <c r="Z3" s="90">
        <v>0.63702752681730224</v>
      </c>
      <c r="AA3" s="92">
        <v>0</v>
      </c>
      <c r="AB3" s="88">
        <v>0</v>
      </c>
      <c r="AC3" s="87">
        <v>1</v>
      </c>
      <c r="AD3" s="87">
        <v>1</v>
      </c>
      <c r="AE3" s="88">
        <v>1.039166666666667</v>
      </c>
      <c r="AF3" s="88">
        <v>1.00475975841704</v>
      </c>
      <c r="AG3" s="88">
        <v>1.0441128403468229</v>
      </c>
      <c r="AH3" s="88">
        <v>97335</v>
      </c>
      <c r="AI3" s="88">
        <v>98960.924999999988</v>
      </c>
      <c r="AJ3" s="88">
        <v>79474.301832603916</v>
      </c>
      <c r="AK3" s="88">
        <v>92947.367862618514</v>
      </c>
      <c r="AL3" s="88">
        <v>95511.534231382815</v>
      </c>
      <c r="AM3" s="88">
        <v>94500</v>
      </c>
      <c r="AN3" s="88">
        <v>62181</v>
      </c>
      <c r="AO3" s="88">
        <v>61814.02196213165</v>
      </c>
      <c r="AP3" s="88">
        <v>60199.101284235061</v>
      </c>
      <c r="AQ3" s="88">
        <v>0</v>
      </c>
      <c r="AR3" s="88">
        <v>90877.521036463193</v>
      </c>
      <c r="AS3" s="88">
        <v>95134.809041512155</v>
      </c>
      <c r="AT3" s="88">
        <v>61814.02196213165</v>
      </c>
      <c r="AU3" s="88">
        <v>60199.101284235061</v>
      </c>
      <c r="AV3" s="88">
        <v>80325</v>
      </c>
      <c r="AW3" s="88">
        <v>79380</v>
      </c>
      <c r="AX3" s="88">
        <v>79852.5</v>
      </c>
      <c r="AY3" s="88">
        <v>94500</v>
      </c>
      <c r="AZ3" s="88">
        <v>94500</v>
      </c>
      <c r="BA3" s="88">
        <v>94500</v>
      </c>
      <c r="BB3" s="88">
        <v>94500</v>
      </c>
      <c r="BC3" s="88">
        <v>94500</v>
      </c>
      <c r="BD3" s="88">
        <v>94500</v>
      </c>
      <c r="BE3" s="88">
        <v>94500</v>
      </c>
      <c r="BF3" s="88">
        <v>94500</v>
      </c>
      <c r="BG3" s="88">
        <v>94500</v>
      </c>
      <c r="BH3" s="88">
        <v>94500</v>
      </c>
      <c r="BI3" s="88">
        <v>94500</v>
      </c>
      <c r="BJ3" s="88">
        <v>94500</v>
      </c>
      <c r="BK3" s="88">
        <v>3299.2965426661449</v>
      </c>
      <c r="BL3" s="88">
        <v>4248.6236087161087</v>
      </c>
      <c r="BM3" s="88">
        <v>4248.4430805393222</v>
      </c>
      <c r="BN3" s="88">
        <v>4248.2565789473574</v>
      </c>
      <c r="BO3" s="88">
        <v>4248.0702258003485</v>
      </c>
      <c r="BP3" s="88">
        <v>4247.8840209210957</v>
      </c>
      <c r="BQ3" s="88">
        <v>4247.6979641327516</v>
      </c>
      <c r="BR3" s="88">
        <v>4247.5090088035358</v>
      </c>
      <c r="BS3" s="88">
        <v>4247.3232500879531</v>
      </c>
      <c r="BT3" s="88">
        <v>4247.1376389313964</v>
      </c>
      <c r="BU3" s="88">
        <v>4246.9521751581524</v>
      </c>
      <c r="BV3" s="88">
        <v>4246.7668585927586</v>
      </c>
      <c r="BW3" s="88">
        <v>2835.0000000000032</v>
      </c>
      <c r="BX3" s="88">
        <v>3780.0000000000032</v>
      </c>
      <c r="BY3" s="88">
        <v>3780.0000000000032</v>
      </c>
      <c r="BZ3" s="88">
        <v>3780.0000000000032</v>
      </c>
      <c r="CA3" s="88">
        <v>3780.0000000000032</v>
      </c>
      <c r="CB3" s="88">
        <v>3780.0000000000032</v>
      </c>
      <c r="CC3" s="88">
        <v>3780.0000000000032</v>
      </c>
      <c r="CD3" s="88">
        <v>3780.0000000000032</v>
      </c>
      <c r="CE3" s="88">
        <v>3780.0000000000032</v>
      </c>
      <c r="CF3" s="88">
        <v>3780.0000000000032</v>
      </c>
      <c r="CG3" s="88">
        <v>3780.0000000000032</v>
      </c>
      <c r="CH3" s="88">
        <v>3780.0000000000032</v>
      </c>
      <c r="CI3" s="88">
        <v>94500</v>
      </c>
      <c r="CJ3" s="88">
        <v>94500</v>
      </c>
      <c r="CK3" s="88">
        <v>94500</v>
      </c>
      <c r="CL3" s="88">
        <v>94500</v>
      </c>
      <c r="CM3" s="88">
        <v>94500</v>
      </c>
      <c r="CN3" s="88">
        <v>94500</v>
      </c>
      <c r="CO3" s="88">
        <v>94500</v>
      </c>
      <c r="CP3" s="88">
        <v>94500</v>
      </c>
      <c r="CQ3" s="88">
        <v>94500</v>
      </c>
      <c r="CR3" s="88">
        <v>94500</v>
      </c>
      <c r="CS3" s="88">
        <v>94500</v>
      </c>
      <c r="CT3" s="88">
        <v>94500</v>
      </c>
      <c r="CU3" s="88">
        <v>450.7733423943148</v>
      </c>
      <c r="CV3" s="88">
        <v>450.5996237654868</v>
      </c>
      <c r="CW3" s="88">
        <v>450.42603898011112</v>
      </c>
      <c r="CX3" s="88">
        <v>450.24671052631061</v>
      </c>
      <c r="CY3" s="88">
        <v>450.06752480801953</v>
      </c>
      <c r="CZ3" s="88">
        <v>449.88848165489611</v>
      </c>
      <c r="DA3" s="88">
        <v>449.70958089687127</v>
      </c>
      <c r="DB3" s="88">
        <v>449.5278930803276</v>
      </c>
      <c r="DC3" s="88">
        <v>449.34927893071688</v>
      </c>
      <c r="DD3" s="88">
        <v>449.17080666480189</v>
      </c>
      <c r="DE3" s="88">
        <v>448.99247611360488</v>
      </c>
      <c r="DF3" s="88">
        <v>448.81428710842079</v>
      </c>
      <c r="DG3" s="93">
        <v>46054</v>
      </c>
      <c r="DH3" s="91">
        <v>0.03</v>
      </c>
      <c r="DI3" t="s">
        <v>301</v>
      </c>
      <c r="DJ3" s="93">
        <v>46419</v>
      </c>
      <c r="DK3" s="91">
        <v>0.04</v>
      </c>
      <c r="DL3" t="s">
        <v>302</v>
      </c>
      <c r="DM3" s="93"/>
      <c r="DN3" s="91"/>
      <c r="DP3" s="93"/>
      <c r="DQ3" s="91"/>
    </row>
    <row r="4" spans="1:122" x14ac:dyDescent="0.3">
      <c r="A4" t="s">
        <v>22</v>
      </c>
      <c r="B4" t="s">
        <v>42</v>
      </c>
      <c r="C4" t="s">
        <v>48</v>
      </c>
      <c r="D4" t="s">
        <v>305</v>
      </c>
      <c r="E4" t="s">
        <v>306</v>
      </c>
      <c r="F4" s="86">
        <v>76500</v>
      </c>
      <c r="G4" s="87">
        <v>12</v>
      </c>
      <c r="H4" s="88">
        <v>1</v>
      </c>
      <c r="I4" s="88">
        <v>1</v>
      </c>
      <c r="J4" s="89">
        <v>0.84399161196207151</v>
      </c>
      <c r="K4" s="88">
        <v>1</v>
      </c>
      <c r="L4" s="88">
        <v>1.0071190139247479</v>
      </c>
      <c r="M4" s="88">
        <v>1</v>
      </c>
      <c r="N4" s="90">
        <v>0.64200000000000002</v>
      </c>
      <c r="O4" s="90">
        <v>0.64657040693968815</v>
      </c>
      <c r="P4" s="90">
        <v>0.636523863335545</v>
      </c>
      <c r="Q4" s="91">
        <v>0</v>
      </c>
      <c r="R4" s="88">
        <v>1</v>
      </c>
      <c r="S4" s="88">
        <v>0.99147019211144083</v>
      </c>
      <c r="T4" s="91">
        <v>0</v>
      </c>
      <c r="U4" s="91">
        <v>0</v>
      </c>
      <c r="V4" s="87">
        <v>0</v>
      </c>
      <c r="W4" s="91">
        <v>0</v>
      </c>
      <c r="X4" s="87">
        <v>1</v>
      </c>
      <c r="Y4" s="90">
        <v>0.64657040693968815</v>
      </c>
      <c r="Z4" s="90">
        <v>0.636523863335545</v>
      </c>
      <c r="AA4" s="92">
        <v>0</v>
      </c>
      <c r="AB4" s="88">
        <v>0</v>
      </c>
      <c r="AC4" s="87">
        <v>0</v>
      </c>
      <c r="AD4" s="87">
        <v>0</v>
      </c>
      <c r="AE4" s="88">
        <v>1</v>
      </c>
      <c r="AF4" s="88">
        <v>1.0191078169498311</v>
      </c>
      <c r="AG4" s="88">
        <v>1.0191078169498311</v>
      </c>
      <c r="AH4" s="88">
        <v>76500</v>
      </c>
      <c r="AI4" s="88">
        <v>76500</v>
      </c>
      <c r="AJ4" s="88">
        <v>64565.35831509847</v>
      </c>
      <c r="AK4" s="88">
        <v>76500</v>
      </c>
      <c r="AL4" s="88">
        <v>77044.604565243208</v>
      </c>
      <c r="AM4" s="88">
        <v>76500</v>
      </c>
      <c r="AN4" s="88">
        <v>49113</v>
      </c>
      <c r="AO4" s="88">
        <v>49462.636130886152</v>
      </c>
      <c r="AP4" s="88">
        <v>48694.075545169188</v>
      </c>
      <c r="AQ4" s="88">
        <v>0</v>
      </c>
      <c r="AR4" s="88">
        <v>76500</v>
      </c>
      <c r="AS4" s="88">
        <v>75847.469696525222</v>
      </c>
      <c r="AT4" s="88">
        <v>49462.636130886152</v>
      </c>
      <c r="AU4" s="88">
        <v>48694.075545169188</v>
      </c>
      <c r="AV4" s="88">
        <v>65025</v>
      </c>
      <c r="AW4" s="88">
        <v>64260</v>
      </c>
      <c r="AX4" s="88">
        <v>65790</v>
      </c>
      <c r="AY4" s="88">
        <v>76500</v>
      </c>
      <c r="AZ4" s="88">
        <v>76500</v>
      </c>
      <c r="BA4" s="88">
        <v>76500</v>
      </c>
      <c r="BB4" s="88">
        <v>76500</v>
      </c>
      <c r="BC4" s="88">
        <v>76500</v>
      </c>
      <c r="BD4" s="88">
        <v>76500</v>
      </c>
      <c r="BE4" s="88">
        <v>76500</v>
      </c>
      <c r="BF4" s="88">
        <v>76500</v>
      </c>
      <c r="BG4" s="88">
        <v>76500</v>
      </c>
      <c r="BH4" s="88">
        <v>76500</v>
      </c>
      <c r="BI4" s="88">
        <v>76500</v>
      </c>
      <c r="BJ4" s="88">
        <v>76500</v>
      </c>
      <c r="BK4" s="88">
        <v>1474.533308689566</v>
      </c>
      <c r="BL4" s="88">
        <v>1472.2397975324329</v>
      </c>
      <c r="BM4" s="88">
        <v>1469.953410018162</v>
      </c>
      <c r="BN4" s="88">
        <v>1467.5969725638649</v>
      </c>
      <c r="BO4" s="88">
        <v>1465.2480780835911</v>
      </c>
      <c r="BP4" s="88">
        <v>1462.9066904175641</v>
      </c>
      <c r="BQ4" s="88">
        <v>1460.572773636721</v>
      </c>
      <c r="BR4" s="88">
        <v>1458.208214742672</v>
      </c>
      <c r="BS4" s="88">
        <v>1455.889253871431</v>
      </c>
      <c r="BT4" s="88">
        <v>1453.577656888506</v>
      </c>
      <c r="BU4" s="88">
        <v>1451.2733887733841</v>
      </c>
      <c r="BV4" s="88">
        <v>1448.976414727176</v>
      </c>
      <c r="BW4" s="88">
        <v>0</v>
      </c>
      <c r="BX4" s="88">
        <v>0</v>
      </c>
      <c r="BY4" s="88">
        <v>0</v>
      </c>
      <c r="BZ4" s="88">
        <v>0</v>
      </c>
      <c r="CA4" s="88">
        <v>0</v>
      </c>
      <c r="CB4" s="88">
        <v>0</v>
      </c>
      <c r="CC4" s="88">
        <v>0</v>
      </c>
      <c r="CD4" s="88">
        <v>0</v>
      </c>
      <c r="CE4" s="88">
        <v>0</v>
      </c>
      <c r="CF4" s="88">
        <v>0</v>
      </c>
      <c r="CG4" s="88">
        <v>0</v>
      </c>
      <c r="CH4" s="88">
        <v>0</v>
      </c>
      <c r="CI4" s="88">
        <v>76500</v>
      </c>
      <c r="CJ4" s="88">
        <v>76500</v>
      </c>
      <c r="CK4" s="88">
        <v>76500</v>
      </c>
      <c r="CL4" s="88">
        <v>76500</v>
      </c>
      <c r="CM4" s="88">
        <v>76500</v>
      </c>
      <c r="CN4" s="88">
        <v>76500</v>
      </c>
      <c r="CO4" s="88">
        <v>76500</v>
      </c>
      <c r="CP4" s="88">
        <v>76500</v>
      </c>
      <c r="CQ4" s="88">
        <v>76500</v>
      </c>
      <c r="CR4" s="88">
        <v>76500</v>
      </c>
      <c r="CS4" s="88">
        <v>76500</v>
      </c>
      <c r="CT4" s="88">
        <v>76500</v>
      </c>
      <c r="CU4" s="88">
        <v>1474.533308689566</v>
      </c>
      <c r="CV4" s="88">
        <v>1472.2397975324329</v>
      </c>
      <c r="CW4" s="88">
        <v>1469.953410018162</v>
      </c>
      <c r="CX4" s="88">
        <v>1467.5969725638649</v>
      </c>
      <c r="CY4" s="88">
        <v>1465.2480780835911</v>
      </c>
      <c r="CZ4" s="88">
        <v>1462.9066904175641</v>
      </c>
      <c r="DA4" s="88">
        <v>1460.572773636721</v>
      </c>
      <c r="DB4" s="88">
        <v>1458.208214742672</v>
      </c>
      <c r="DC4" s="88">
        <v>1455.889253871431</v>
      </c>
      <c r="DD4" s="88">
        <v>1453.577656888506</v>
      </c>
      <c r="DE4" s="88">
        <v>1451.2733887733841</v>
      </c>
      <c r="DF4" s="88">
        <v>1448.976414727176</v>
      </c>
      <c r="DG4" s="93"/>
      <c r="DH4" s="91"/>
      <c r="DJ4" s="93"/>
      <c r="DK4" s="91"/>
      <c r="DM4" s="93"/>
      <c r="DN4" s="91"/>
      <c r="DP4" s="93"/>
      <c r="DQ4" s="91"/>
    </row>
    <row r="5" spans="1:122" x14ac:dyDescent="0.3">
      <c r="A5" t="s">
        <v>22</v>
      </c>
      <c r="B5" t="s">
        <v>42</v>
      </c>
      <c r="C5" t="s">
        <v>50</v>
      </c>
      <c r="D5" t="s">
        <v>307</v>
      </c>
      <c r="E5" t="s">
        <v>308</v>
      </c>
      <c r="F5" s="86">
        <v>58500</v>
      </c>
      <c r="G5" s="87">
        <v>12</v>
      </c>
      <c r="H5" s="88">
        <v>1.05</v>
      </c>
      <c r="I5" s="88">
        <v>1.0484374999999999</v>
      </c>
      <c r="J5" s="89">
        <v>0.85</v>
      </c>
      <c r="K5" s="88">
        <v>1.0014903129657231</v>
      </c>
      <c r="L5" s="88">
        <v>1</v>
      </c>
      <c r="M5" s="88">
        <v>1</v>
      </c>
      <c r="N5" s="90">
        <v>0.67</v>
      </c>
      <c r="O5" s="90">
        <v>0.67099850968703434</v>
      </c>
      <c r="P5" s="90">
        <v>0.67</v>
      </c>
      <c r="Q5" s="91">
        <v>0</v>
      </c>
      <c r="R5" s="88">
        <v>1</v>
      </c>
      <c r="S5" s="88">
        <v>1</v>
      </c>
      <c r="T5" s="91">
        <v>-1.488095238095344E-3</v>
      </c>
      <c r="U5" s="91">
        <v>1.490312965722884E-3</v>
      </c>
      <c r="V5" s="87">
        <v>0</v>
      </c>
      <c r="W5" s="91">
        <v>0</v>
      </c>
      <c r="X5" s="87">
        <v>0</v>
      </c>
      <c r="Y5" s="90">
        <v>0.67099850968703434</v>
      </c>
      <c r="Z5" s="90">
        <v>0.67</v>
      </c>
      <c r="AA5" s="92">
        <v>0</v>
      </c>
      <c r="AB5" s="88">
        <v>0</v>
      </c>
      <c r="AC5" s="87">
        <v>1</v>
      </c>
      <c r="AD5" s="87">
        <v>0</v>
      </c>
      <c r="AE5" s="88">
        <v>1.0125</v>
      </c>
      <c r="AF5" s="88">
        <v>1</v>
      </c>
      <c r="AG5" s="88">
        <v>1.0125</v>
      </c>
      <c r="AH5" s="88">
        <v>61425</v>
      </c>
      <c r="AI5" s="88">
        <v>61333.593749999993</v>
      </c>
      <c r="AJ5" s="88">
        <v>49725</v>
      </c>
      <c r="AK5" s="88">
        <v>58587.183308494787</v>
      </c>
      <c r="AL5" s="88">
        <v>58500</v>
      </c>
      <c r="AM5" s="88">
        <v>58500</v>
      </c>
      <c r="AN5" s="88">
        <v>39195</v>
      </c>
      <c r="AO5" s="88">
        <v>39253.412816691511</v>
      </c>
      <c r="AP5" s="88">
        <v>39195</v>
      </c>
      <c r="AQ5" s="88">
        <v>0</v>
      </c>
      <c r="AR5" s="88">
        <v>58500</v>
      </c>
      <c r="AS5" s="88">
        <v>58500</v>
      </c>
      <c r="AT5" s="88">
        <v>39253.412816691511</v>
      </c>
      <c r="AU5" s="88">
        <v>39195</v>
      </c>
      <c r="AV5" s="88">
        <v>49725</v>
      </c>
      <c r="AW5" s="88">
        <v>49725</v>
      </c>
      <c r="AX5" s="88">
        <v>49725</v>
      </c>
      <c r="AY5" s="88">
        <v>58500</v>
      </c>
      <c r="AZ5" s="88">
        <v>58500</v>
      </c>
      <c r="BA5" s="88">
        <v>58500</v>
      </c>
      <c r="BB5" s="88">
        <v>58500</v>
      </c>
      <c r="BC5" s="88">
        <v>58500</v>
      </c>
      <c r="BD5" s="88">
        <v>58500</v>
      </c>
      <c r="BE5" s="88">
        <v>58500</v>
      </c>
      <c r="BF5" s="88">
        <v>58500</v>
      </c>
      <c r="BG5" s="88">
        <v>58500</v>
      </c>
      <c r="BH5" s="88">
        <v>58500</v>
      </c>
      <c r="BI5" s="88">
        <v>58500</v>
      </c>
      <c r="BJ5" s="88">
        <v>58500</v>
      </c>
      <c r="BK5" s="88">
        <v>2925.0000000000032</v>
      </c>
      <c r="BL5" s="88">
        <v>2925.0000000000032</v>
      </c>
      <c r="BM5" s="88">
        <v>2925.0000000000032</v>
      </c>
      <c r="BN5" s="88">
        <v>0</v>
      </c>
      <c r="BO5" s="88">
        <v>0</v>
      </c>
      <c r="BP5" s="88">
        <v>0</v>
      </c>
      <c r="BQ5" s="88">
        <v>0</v>
      </c>
      <c r="BR5" s="88">
        <v>0</v>
      </c>
      <c r="BS5" s="88">
        <v>0</v>
      </c>
      <c r="BT5" s="88">
        <v>0</v>
      </c>
      <c r="BU5" s="88">
        <v>0</v>
      </c>
      <c r="BV5" s="88">
        <v>0</v>
      </c>
      <c r="BW5" s="88">
        <v>2925.0000000000032</v>
      </c>
      <c r="BX5" s="88">
        <v>2925.0000000000032</v>
      </c>
      <c r="BY5" s="88">
        <v>2925.0000000000032</v>
      </c>
      <c r="BZ5" s="88">
        <v>0</v>
      </c>
      <c r="CA5" s="88">
        <v>0</v>
      </c>
      <c r="CB5" s="88">
        <v>0</v>
      </c>
      <c r="CC5" s="88">
        <v>0</v>
      </c>
      <c r="CD5" s="88">
        <v>0</v>
      </c>
      <c r="CE5" s="88">
        <v>0</v>
      </c>
      <c r="CF5" s="88">
        <v>0</v>
      </c>
      <c r="CG5" s="88">
        <v>0</v>
      </c>
      <c r="CH5" s="88">
        <v>0</v>
      </c>
      <c r="CI5" s="88">
        <v>0</v>
      </c>
      <c r="CJ5" s="88">
        <v>0</v>
      </c>
      <c r="CK5" s="88">
        <v>0</v>
      </c>
      <c r="CL5" s="88">
        <v>0</v>
      </c>
      <c r="CM5" s="88">
        <v>0</v>
      </c>
      <c r="CN5" s="88">
        <v>0</v>
      </c>
      <c r="CO5" s="88">
        <v>0</v>
      </c>
      <c r="CP5" s="88">
        <v>0</v>
      </c>
      <c r="CQ5" s="88">
        <v>0</v>
      </c>
      <c r="CR5" s="88">
        <v>0</v>
      </c>
      <c r="CS5" s="88">
        <v>0</v>
      </c>
      <c r="CT5" s="88">
        <v>0</v>
      </c>
      <c r="CU5" s="88">
        <v>0</v>
      </c>
      <c r="CV5" s="88">
        <v>0</v>
      </c>
      <c r="CW5" s="88">
        <v>0</v>
      </c>
      <c r="CX5" s="88">
        <v>0</v>
      </c>
      <c r="CY5" s="88">
        <v>0</v>
      </c>
      <c r="CZ5" s="88">
        <v>0</v>
      </c>
      <c r="DA5" s="88">
        <v>0</v>
      </c>
      <c r="DB5" s="88">
        <v>0</v>
      </c>
      <c r="DC5" s="88">
        <v>0</v>
      </c>
      <c r="DD5" s="88">
        <v>0</v>
      </c>
      <c r="DE5" s="88">
        <v>0</v>
      </c>
      <c r="DF5" s="88">
        <v>0</v>
      </c>
      <c r="DG5" s="93">
        <v>46113</v>
      </c>
      <c r="DH5" s="91">
        <v>0.05</v>
      </c>
      <c r="DI5" t="s">
        <v>301</v>
      </c>
      <c r="DJ5" s="93"/>
      <c r="DK5" s="91"/>
      <c r="DM5" s="93"/>
      <c r="DN5" s="91"/>
      <c r="DP5" s="93"/>
      <c r="DQ5" s="91"/>
    </row>
    <row r="6" spans="1:122" x14ac:dyDescent="0.3">
      <c r="A6" t="s">
        <v>22</v>
      </c>
      <c r="B6" t="s">
        <v>42</v>
      </c>
      <c r="C6" t="s">
        <v>57</v>
      </c>
      <c r="D6" t="s">
        <v>309</v>
      </c>
      <c r="E6" t="s">
        <v>310</v>
      </c>
      <c r="F6" s="86">
        <v>40500</v>
      </c>
      <c r="G6" s="87">
        <v>12</v>
      </c>
      <c r="H6" s="88">
        <v>1.06</v>
      </c>
      <c r="I6" s="88">
        <v>1.0566666666666671</v>
      </c>
      <c r="J6" s="89">
        <v>0.84299370897155379</v>
      </c>
      <c r="K6" s="88">
        <v>1.0031545741324921</v>
      </c>
      <c r="L6" s="88">
        <v>1.0083112020337539</v>
      </c>
      <c r="M6" s="88">
        <v>1</v>
      </c>
      <c r="N6" s="90">
        <v>0.65400000000000003</v>
      </c>
      <c r="O6" s="90">
        <v>0.6615157643828512</v>
      </c>
      <c r="P6" s="90">
        <v>0.65171169872378332</v>
      </c>
      <c r="Q6" s="91">
        <v>0</v>
      </c>
      <c r="R6" s="88">
        <v>0.99999999999999978</v>
      </c>
      <c r="S6" s="88">
        <v>0.99650106838498997</v>
      </c>
      <c r="T6" s="91">
        <v>-3.1446540880502032E-3</v>
      </c>
      <c r="U6" s="91">
        <v>3.154574132492094E-3</v>
      </c>
      <c r="V6" s="87">
        <v>0</v>
      </c>
      <c r="W6" s="91">
        <v>0</v>
      </c>
      <c r="X6" s="87">
        <v>1</v>
      </c>
      <c r="Y6" s="90">
        <v>0.6615157643828512</v>
      </c>
      <c r="Z6" s="90">
        <v>0.65171169872378332</v>
      </c>
      <c r="AA6" s="92">
        <v>0</v>
      </c>
      <c r="AB6" s="88">
        <v>0</v>
      </c>
      <c r="AC6" s="87">
        <v>1</v>
      </c>
      <c r="AD6" s="87">
        <v>0</v>
      </c>
      <c r="AE6" s="88">
        <v>1.02</v>
      </c>
      <c r="AF6" s="88">
        <v>1.014313571147019</v>
      </c>
      <c r="AG6" s="88">
        <v>1.034601211029663</v>
      </c>
      <c r="AH6" s="88">
        <v>42930</v>
      </c>
      <c r="AI6" s="88">
        <v>42795.000000000007</v>
      </c>
      <c r="AJ6" s="88">
        <v>34141.245213347931</v>
      </c>
      <c r="AK6" s="88">
        <v>40627.760252365922</v>
      </c>
      <c r="AL6" s="88">
        <v>40836.603682367037</v>
      </c>
      <c r="AM6" s="88">
        <v>40500</v>
      </c>
      <c r="AN6" s="88">
        <v>26487</v>
      </c>
      <c r="AO6" s="88">
        <v>26791.388457505469</v>
      </c>
      <c r="AP6" s="88">
        <v>26394.32379831322</v>
      </c>
      <c r="AQ6" s="88">
        <v>0</v>
      </c>
      <c r="AR6" s="88">
        <v>40499.999999999993</v>
      </c>
      <c r="AS6" s="88">
        <v>40358.293269592097</v>
      </c>
      <c r="AT6" s="88">
        <v>26791.388457505469</v>
      </c>
      <c r="AU6" s="88">
        <v>26394.32379831322</v>
      </c>
      <c r="AV6" s="88">
        <v>34425</v>
      </c>
      <c r="AW6" s="88">
        <v>34020</v>
      </c>
      <c r="AX6" s="88">
        <v>34627.5</v>
      </c>
      <c r="AY6" s="88">
        <v>40500</v>
      </c>
      <c r="AZ6" s="88">
        <v>40500</v>
      </c>
      <c r="BA6" s="88">
        <v>40500</v>
      </c>
      <c r="BB6" s="88">
        <v>40500</v>
      </c>
      <c r="BC6" s="88">
        <v>40500</v>
      </c>
      <c r="BD6" s="88">
        <v>40500</v>
      </c>
      <c r="BE6" s="88">
        <v>40500</v>
      </c>
      <c r="BF6" s="88">
        <v>40500</v>
      </c>
      <c r="BG6" s="88">
        <v>40500</v>
      </c>
      <c r="BH6" s="88">
        <v>40500</v>
      </c>
      <c r="BI6" s="88">
        <v>40500</v>
      </c>
      <c r="BJ6" s="88">
        <v>40500</v>
      </c>
      <c r="BK6" s="88">
        <v>3048.502437387745</v>
      </c>
      <c r="BL6" s="88">
        <v>3047.783078378809</v>
      </c>
      <c r="BM6" s="88">
        <v>3047.065390749608</v>
      </c>
      <c r="BN6" s="88">
        <v>3046.3251258653272</v>
      </c>
      <c r="BO6" s="88">
        <v>580.74210846805272</v>
      </c>
      <c r="BP6" s="88">
        <v>580.04708652148167</v>
      </c>
      <c r="BQ6" s="88">
        <v>579.35372616645088</v>
      </c>
      <c r="BR6" s="88">
        <v>578.65069579003546</v>
      </c>
      <c r="BS6" s="88">
        <v>577.9606677874657</v>
      </c>
      <c r="BT6" s="88">
        <v>577.27228351068834</v>
      </c>
      <c r="BU6" s="88">
        <v>576.58553709337207</v>
      </c>
      <c r="BV6" s="88">
        <v>575.90042269708124</v>
      </c>
      <c r="BW6" s="88">
        <v>2430.0000000000018</v>
      </c>
      <c r="BX6" s="88">
        <v>2430.0000000000018</v>
      </c>
      <c r="BY6" s="88">
        <v>2430.0000000000018</v>
      </c>
      <c r="BZ6" s="88">
        <v>2430.0000000000018</v>
      </c>
      <c r="CA6" s="88">
        <v>0</v>
      </c>
      <c r="CB6" s="88">
        <v>0</v>
      </c>
      <c r="CC6" s="88">
        <v>0</v>
      </c>
      <c r="CD6" s="88">
        <v>0</v>
      </c>
      <c r="CE6" s="88">
        <v>0</v>
      </c>
      <c r="CF6" s="88">
        <v>0</v>
      </c>
      <c r="CG6" s="88">
        <v>0</v>
      </c>
      <c r="CH6" s="88">
        <v>0</v>
      </c>
      <c r="CI6" s="88">
        <v>40500</v>
      </c>
      <c r="CJ6" s="88">
        <v>40500</v>
      </c>
      <c r="CK6" s="88">
        <v>40500</v>
      </c>
      <c r="CL6" s="88">
        <v>40500</v>
      </c>
      <c r="CM6" s="88">
        <v>40500</v>
      </c>
      <c r="CN6" s="88">
        <v>40500</v>
      </c>
      <c r="CO6" s="88">
        <v>40500</v>
      </c>
      <c r="CP6" s="88">
        <v>40500</v>
      </c>
      <c r="CQ6" s="88">
        <v>40500</v>
      </c>
      <c r="CR6" s="88">
        <v>40500</v>
      </c>
      <c r="CS6" s="88">
        <v>40500</v>
      </c>
      <c r="CT6" s="88">
        <v>40500</v>
      </c>
      <c r="CU6" s="88">
        <v>583.49286546013877</v>
      </c>
      <c r="CV6" s="88">
        <v>582.81422488566943</v>
      </c>
      <c r="CW6" s="88">
        <v>582.13716108453207</v>
      </c>
      <c r="CX6" s="88">
        <v>581.43879798615569</v>
      </c>
      <c r="CY6" s="88">
        <v>580.74210846805272</v>
      </c>
      <c r="CZ6" s="88">
        <v>580.04708652148167</v>
      </c>
      <c r="DA6" s="88">
        <v>579.35372616645088</v>
      </c>
      <c r="DB6" s="88">
        <v>578.65069579003546</v>
      </c>
      <c r="DC6" s="88">
        <v>577.9606677874657</v>
      </c>
      <c r="DD6" s="88">
        <v>577.27228351068834</v>
      </c>
      <c r="DE6" s="88">
        <v>576.58553709337207</v>
      </c>
      <c r="DF6" s="88">
        <v>575.90042269708124</v>
      </c>
      <c r="DG6" s="93">
        <v>46143</v>
      </c>
      <c r="DH6" s="91">
        <v>0.06</v>
      </c>
      <c r="DI6" t="s">
        <v>301</v>
      </c>
      <c r="DJ6" s="93"/>
      <c r="DK6" s="91"/>
      <c r="DM6" s="93"/>
      <c r="DN6" s="91"/>
      <c r="DP6" s="93"/>
      <c r="DQ6" s="91"/>
    </row>
    <row r="7" spans="1:122" x14ac:dyDescent="0.3">
      <c r="A7" t="s">
        <v>22</v>
      </c>
      <c r="B7" t="s">
        <v>42</v>
      </c>
      <c r="C7" t="s">
        <v>58</v>
      </c>
      <c r="D7" t="s">
        <v>311</v>
      </c>
      <c r="E7" t="s">
        <v>312</v>
      </c>
      <c r="F7" s="86">
        <v>99000</v>
      </c>
      <c r="G7" s="87">
        <v>12</v>
      </c>
      <c r="H7" s="88">
        <v>1.0449999999999999</v>
      </c>
      <c r="I7" s="88">
        <v>1.0482055555555549</v>
      </c>
      <c r="J7" s="89">
        <v>0.83800949758575383</v>
      </c>
      <c r="K7" s="88">
        <v>0.99694186360817705</v>
      </c>
      <c r="L7" s="88">
        <v>1.0143083132694679</v>
      </c>
      <c r="M7" s="88">
        <v>1</v>
      </c>
      <c r="N7" s="90">
        <v>0.63800000000000001</v>
      </c>
      <c r="O7" s="90">
        <v>0.64514969602643479</v>
      </c>
      <c r="P7" s="90">
        <v>0.62544634962153212</v>
      </c>
      <c r="Q7" s="91">
        <v>0</v>
      </c>
      <c r="R7" s="88">
        <v>0.96475948010183565</v>
      </c>
      <c r="S7" s="88">
        <v>1.0161324684834321</v>
      </c>
      <c r="T7" s="91">
        <v>3.0675172780434412E-3</v>
      </c>
      <c r="U7" s="91">
        <v>3.3357934459420369E-2</v>
      </c>
      <c r="V7" s="87">
        <v>0</v>
      </c>
      <c r="W7" s="91">
        <v>0</v>
      </c>
      <c r="X7" s="87">
        <v>1</v>
      </c>
      <c r="Y7" s="90">
        <v>0.64514969602643479</v>
      </c>
      <c r="Z7" s="90">
        <v>0.62544634962153212</v>
      </c>
      <c r="AA7" s="92">
        <v>0</v>
      </c>
      <c r="AB7" s="88">
        <v>0</v>
      </c>
      <c r="AC7" s="87">
        <v>1</v>
      </c>
      <c r="AD7" s="87">
        <v>1</v>
      </c>
      <c r="AE7" s="88">
        <v>1.042083333333333</v>
      </c>
      <c r="AF7" s="88">
        <v>0.99994867237402973</v>
      </c>
      <c r="AG7" s="88">
        <v>1.042038929100944</v>
      </c>
      <c r="AH7" s="88">
        <v>103455</v>
      </c>
      <c r="AI7" s="88">
        <v>103772.35</v>
      </c>
      <c r="AJ7" s="88">
        <v>82962.940260989635</v>
      </c>
      <c r="AK7" s="88">
        <v>98697.244497209525</v>
      </c>
      <c r="AL7" s="88">
        <v>100416.5230136773</v>
      </c>
      <c r="AM7" s="88">
        <v>99000</v>
      </c>
      <c r="AN7" s="88">
        <v>63162</v>
      </c>
      <c r="AO7" s="88">
        <v>63869.819906617042</v>
      </c>
      <c r="AP7" s="88">
        <v>61919.188612531681</v>
      </c>
      <c r="AQ7" s="88">
        <v>0</v>
      </c>
      <c r="AR7" s="88">
        <v>95511.188530081723</v>
      </c>
      <c r="AS7" s="88">
        <v>100597.11437985981</v>
      </c>
      <c r="AT7" s="88">
        <v>63869.819906617042</v>
      </c>
      <c r="AU7" s="88">
        <v>61919.188612531681</v>
      </c>
      <c r="AV7" s="88">
        <v>84150</v>
      </c>
      <c r="AW7" s="88">
        <v>83160</v>
      </c>
      <c r="AX7" s="88">
        <v>82665</v>
      </c>
      <c r="AY7" s="88">
        <v>99000</v>
      </c>
      <c r="AZ7" s="88">
        <v>99000</v>
      </c>
      <c r="BA7" s="88">
        <v>99000</v>
      </c>
      <c r="BB7" s="88">
        <v>99000</v>
      </c>
      <c r="BC7" s="88">
        <v>99000</v>
      </c>
      <c r="BD7" s="88">
        <v>99000</v>
      </c>
      <c r="BE7" s="88">
        <v>99000</v>
      </c>
      <c r="BF7" s="88">
        <v>99000</v>
      </c>
      <c r="BG7" s="88">
        <v>99000</v>
      </c>
      <c r="BH7" s="88">
        <v>99000</v>
      </c>
      <c r="BI7" s="88">
        <v>99000</v>
      </c>
      <c r="BJ7" s="88">
        <v>99000</v>
      </c>
      <c r="BK7" s="88">
        <v>5185.1504221173873</v>
      </c>
      <c r="BL7" s="88">
        <v>5044.1071950132346</v>
      </c>
      <c r="BM7" s="88">
        <v>4903.3371504640936</v>
      </c>
      <c r="BN7" s="88">
        <v>4758.0816270709638</v>
      </c>
      <c r="BO7" s="88">
        <v>4613.1164005711607</v>
      </c>
      <c r="BP7" s="88">
        <v>3973.3762924862549</v>
      </c>
      <c r="BQ7" s="88">
        <v>3829.6799031270648</v>
      </c>
      <c r="BR7" s="88">
        <v>3683.921232244576</v>
      </c>
      <c r="BS7" s="88">
        <v>3540.8013058412562</v>
      </c>
      <c r="BT7" s="88">
        <v>3470.420072823907</v>
      </c>
      <c r="BU7" s="88">
        <v>3470.2254659194632</v>
      </c>
      <c r="BV7" s="88">
        <v>3470.0307042418858</v>
      </c>
      <c r="BW7" s="88">
        <v>4454.9999999999927</v>
      </c>
      <c r="BX7" s="88">
        <v>4454.9999999999927</v>
      </c>
      <c r="BY7" s="88">
        <v>4454.9999999999927</v>
      </c>
      <c r="BZ7" s="88">
        <v>4454.9999999999927</v>
      </c>
      <c r="CA7" s="88">
        <v>4454.9999999999927</v>
      </c>
      <c r="CB7" s="88">
        <v>3960.0000000000041</v>
      </c>
      <c r="CC7" s="88">
        <v>3960.0000000000041</v>
      </c>
      <c r="CD7" s="88">
        <v>3960.0000000000041</v>
      </c>
      <c r="CE7" s="88">
        <v>3960.0000000000041</v>
      </c>
      <c r="CF7" s="88">
        <v>3960.0000000000041</v>
      </c>
      <c r="CG7" s="88">
        <v>3960.0000000000041</v>
      </c>
      <c r="CH7" s="88">
        <v>3960.0000000000041</v>
      </c>
      <c r="CI7" s="88">
        <v>99000</v>
      </c>
      <c r="CJ7" s="88">
        <v>99000</v>
      </c>
      <c r="CK7" s="88">
        <v>99000</v>
      </c>
      <c r="CL7" s="88">
        <v>99000</v>
      </c>
      <c r="CM7" s="88">
        <v>99000</v>
      </c>
      <c r="CN7" s="88">
        <v>99000</v>
      </c>
      <c r="CO7" s="88">
        <v>99000</v>
      </c>
      <c r="CP7" s="88">
        <v>99000</v>
      </c>
      <c r="CQ7" s="88">
        <v>99000</v>
      </c>
      <c r="CR7" s="88">
        <v>99000</v>
      </c>
      <c r="CS7" s="88">
        <v>99000</v>
      </c>
      <c r="CT7" s="88">
        <v>99000</v>
      </c>
      <c r="CU7" s="88">
        <v>698.70853791139086</v>
      </c>
      <c r="CV7" s="88">
        <v>563.73894259640747</v>
      </c>
      <c r="CW7" s="88">
        <v>429.03076599436292</v>
      </c>
      <c r="CX7" s="88">
        <v>290.03026513968979</v>
      </c>
      <c r="CY7" s="88">
        <v>151.3075603551799</v>
      </c>
      <c r="CZ7" s="88">
        <v>12.861819698322339</v>
      </c>
      <c r="DA7" s="88">
        <v>-125.30778545474141</v>
      </c>
      <c r="DB7" s="88">
        <v>-265.46035361098399</v>
      </c>
      <c r="DC7" s="88">
        <v>-403.07566746032973</v>
      </c>
      <c r="DD7" s="88">
        <v>-470.74992997700701</v>
      </c>
      <c r="DE7" s="88">
        <v>-470.93705200051522</v>
      </c>
      <c r="DF7" s="88">
        <v>-471.12432284434129</v>
      </c>
      <c r="DG7" s="93">
        <v>46174</v>
      </c>
      <c r="DH7" s="91">
        <v>4.4999999999999998E-2</v>
      </c>
      <c r="DI7" t="s">
        <v>301</v>
      </c>
      <c r="DJ7" s="93">
        <v>46539</v>
      </c>
      <c r="DK7" s="91">
        <v>0.04</v>
      </c>
      <c r="DL7" t="s">
        <v>302</v>
      </c>
      <c r="DM7" s="93"/>
      <c r="DN7" s="91"/>
      <c r="DP7" s="93"/>
      <c r="DQ7" s="91"/>
    </row>
    <row r="8" spans="1:122" x14ac:dyDescent="0.3">
      <c r="A8" t="s">
        <v>22</v>
      </c>
      <c r="B8" t="s">
        <v>42</v>
      </c>
      <c r="C8" t="s">
        <v>65</v>
      </c>
      <c r="D8" t="s">
        <v>313</v>
      </c>
      <c r="E8" t="s">
        <v>314</v>
      </c>
      <c r="F8" s="86">
        <v>81000</v>
      </c>
      <c r="G8" s="87">
        <v>12</v>
      </c>
      <c r="H8" s="88">
        <v>1.03</v>
      </c>
      <c r="I8" s="88">
        <v>1.0262500000000001</v>
      </c>
      <c r="J8" s="89">
        <v>0.84199580598103541</v>
      </c>
      <c r="K8" s="88">
        <v>1.003654080389768</v>
      </c>
      <c r="L8" s="88">
        <v>1.0095062160192581</v>
      </c>
      <c r="M8" s="88">
        <v>1</v>
      </c>
      <c r="N8" s="90">
        <v>0.66600000000000004</v>
      </c>
      <c r="O8" s="90">
        <v>0.67478789190245081</v>
      </c>
      <c r="P8" s="90">
        <v>0.66705445113423401</v>
      </c>
      <c r="Q8" s="91">
        <v>0</v>
      </c>
      <c r="R8" s="88">
        <v>0.99999999999999978</v>
      </c>
      <c r="S8" s="88">
        <v>1.0015832599613119</v>
      </c>
      <c r="T8" s="91">
        <v>-3.640776699028847E-3</v>
      </c>
      <c r="U8" s="91">
        <v>3.6540803897684442E-3</v>
      </c>
      <c r="V8" s="87">
        <v>0</v>
      </c>
      <c r="W8" s="91">
        <v>0</v>
      </c>
      <c r="X8" s="87">
        <v>1</v>
      </c>
      <c r="Y8" s="90">
        <v>0.67478789190245081</v>
      </c>
      <c r="Z8" s="90">
        <v>0.66705445113423401</v>
      </c>
      <c r="AA8" s="92">
        <v>0</v>
      </c>
      <c r="AB8" s="88">
        <v>0</v>
      </c>
      <c r="AC8" s="87">
        <v>1</v>
      </c>
      <c r="AD8" s="87">
        <v>0</v>
      </c>
      <c r="AE8" s="88">
        <v>1.0149999999999999</v>
      </c>
      <c r="AF8" s="88">
        <v>1.009530917047716</v>
      </c>
      <c r="AG8" s="88">
        <v>1.024674222219943</v>
      </c>
      <c r="AH8" s="88">
        <v>83430</v>
      </c>
      <c r="AI8" s="88">
        <v>83126.250000000029</v>
      </c>
      <c r="AJ8" s="88">
        <v>68201.660284463869</v>
      </c>
      <c r="AK8" s="88">
        <v>81295.980511571222</v>
      </c>
      <c r="AL8" s="88">
        <v>81770.003497559868</v>
      </c>
      <c r="AM8" s="88">
        <v>81000</v>
      </c>
      <c r="AN8" s="88">
        <v>53946</v>
      </c>
      <c r="AO8" s="88">
        <v>54657.819244098508</v>
      </c>
      <c r="AP8" s="88">
        <v>54031.410541872952</v>
      </c>
      <c r="AQ8" s="88">
        <v>0</v>
      </c>
      <c r="AR8" s="88">
        <v>80999.999999999985</v>
      </c>
      <c r="AS8" s="88">
        <v>81128.244056866301</v>
      </c>
      <c r="AT8" s="88">
        <v>54657.819244098508</v>
      </c>
      <c r="AU8" s="88">
        <v>54031.410541872952</v>
      </c>
      <c r="AV8" s="88">
        <v>68850</v>
      </c>
      <c r="AW8" s="88">
        <v>68040</v>
      </c>
      <c r="AX8" s="88">
        <v>68850</v>
      </c>
      <c r="AY8" s="88">
        <v>81000</v>
      </c>
      <c r="AZ8" s="88">
        <v>81000</v>
      </c>
      <c r="BA8" s="88">
        <v>81000</v>
      </c>
      <c r="BB8" s="88">
        <v>81000</v>
      </c>
      <c r="BC8" s="88">
        <v>81000</v>
      </c>
      <c r="BD8" s="88">
        <v>81000</v>
      </c>
      <c r="BE8" s="88">
        <v>81000</v>
      </c>
      <c r="BF8" s="88">
        <v>81000</v>
      </c>
      <c r="BG8" s="88">
        <v>81000</v>
      </c>
      <c r="BH8" s="88">
        <v>81000</v>
      </c>
      <c r="BI8" s="88">
        <v>81000</v>
      </c>
      <c r="BJ8" s="88">
        <v>81000</v>
      </c>
      <c r="BK8" s="88">
        <v>3228.6244607335352</v>
      </c>
      <c r="BL8" s="88">
        <v>3228.0070754716971</v>
      </c>
      <c r="BM8" s="88">
        <v>3227.390644025189</v>
      </c>
      <c r="BN8" s="88">
        <v>3226.7543171114598</v>
      </c>
      <c r="BO8" s="88">
        <v>3226.1190049803331</v>
      </c>
      <c r="BP8" s="88">
        <v>3225.484705206251</v>
      </c>
      <c r="BQ8" s="88">
        <v>771.70040327316451</v>
      </c>
      <c r="BR8" s="88">
        <v>771.07648171091148</v>
      </c>
      <c r="BS8" s="88">
        <v>770.46360722383508</v>
      </c>
      <c r="BT8" s="88">
        <v>769.851706224699</v>
      </c>
      <c r="BU8" s="88">
        <v>769.24077639589507</v>
      </c>
      <c r="BV8" s="88">
        <v>768.63081542722523</v>
      </c>
      <c r="BW8" s="88">
        <v>2430.0000000000018</v>
      </c>
      <c r="BX8" s="88">
        <v>2430.0000000000018</v>
      </c>
      <c r="BY8" s="88">
        <v>2430.0000000000018</v>
      </c>
      <c r="BZ8" s="88">
        <v>2430.0000000000018</v>
      </c>
      <c r="CA8" s="88">
        <v>2430.0000000000018</v>
      </c>
      <c r="CB8" s="88">
        <v>2430.0000000000018</v>
      </c>
      <c r="CC8" s="88">
        <v>0</v>
      </c>
      <c r="CD8" s="88">
        <v>0</v>
      </c>
      <c r="CE8" s="88">
        <v>0</v>
      </c>
      <c r="CF8" s="88">
        <v>0</v>
      </c>
      <c r="CG8" s="88">
        <v>0</v>
      </c>
      <c r="CH8" s="88">
        <v>0</v>
      </c>
      <c r="CI8" s="88">
        <v>81000</v>
      </c>
      <c r="CJ8" s="88">
        <v>81000</v>
      </c>
      <c r="CK8" s="88">
        <v>81000</v>
      </c>
      <c r="CL8" s="88">
        <v>81000</v>
      </c>
      <c r="CM8" s="88">
        <v>81000</v>
      </c>
      <c r="CN8" s="88">
        <v>81000</v>
      </c>
      <c r="CO8" s="88">
        <v>81000</v>
      </c>
      <c r="CP8" s="88">
        <v>81000</v>
      </c>
      <c r="CQ8" s="88">
        <v>81000</v>
      </c>
      <c r="CR8" s="88">
        <v>81000</v>
      </c>
      <c r="CS8" s="88">
        <v>81000</v>
      </c>
      <c r="CT8" s="88">
        <v>81000</v>
      </c>
      <c r="CU8" s="88">
        <v>775.36355411022976</v>
      </c>
      <c r="CV8" s="88">
        <v>774.76415094338665</v>
      </c>
      <c r="CW8" s="88">
        <v>774.16567381086486</v>
      </c>
      <c r="CX8" s="88">
        <v>773.54788069073766</v>
      </c>
      <c r="CY8" s="88">
        <v>772.93107279642936</v>
      </c>
      <c r="CZ8" s="88">
        <v>772.31524777304776</v>
      </c>
      <c r="DA8" s="88">
        <v>771.70040327316451</v>
      </c>
      <c r="DB8" s="88">
        <v>771.07648171091148</v>
      </c>
      <c r="DC8" s="88">
        <v>770.46360722383508</v>
      </c>
      <c r="DD8" s="88">
        <v>769.851706224699</v>
      </c>
      <c r="DE8" s="88">
        <v>769.24077639589507</v>
      </c>
      <c r="DF8" s="88">
        <v>768.63081542722523</v>
      </c>
      <c r="DG8" s="93">
        <v>46204</v>
      </c>
      <c r="DH8" s="91">
        <v>0.03</v>
      </c>
      <c r="DI8" t="s">
        <v>301</v>
      </c>
      <c r="DJ8" s="93"/>
      <c r="DK8" s="91"/>
      <c r="DM8" s="93"/>
      <c r="DN8" s="91"/>
      <c r="DP8" s="93"/>
      <c r="DQ8" s="91"/>
    </row>
    <row r="9" spans="1:122" x14ac:dyDescent="0.3">
      <c r="A9" t="s">
        <v>22</v>
      </c>
      <c r="B9" t="s">
        <v>42</v>
      </c>
      <c r="C9" t="s">
        <v>66</v>
      </c>
      <c r="D9" t="s">
        <v>315</v>
      </c>
      <c r="E9" t="s">
        <v>316</v>
      </c>
      <c r="F9" s="86">
        <v>63000</v>
      </c>
      <c r="G9" s="87">
        <v>12</v>
      </c>
      <c r="H9" s="88">
        <v>1.04</v>
      </c>
      <c r="I9" s="88">
        <v>1.033194444444445</v>
      </c>
      <c r="J9" s="89">
        <v>0.8380041940189642</v>
      </c>
      <c r="K9" s="88">
        <v>1.006586906842317</v>
      </c>
      <c r="L9" s="88">
        <v>1.0143147326309969</v>
      </c>
      <c r="M9" s="88">
        <v>1</v>
      </c>
      <c r="N9" s="90">
        <v>0.65</v>
      </c>
      <c r="O9" s="90">
        <v>0.66364735403435804</v>
      </c>
      <c r="P9" s="90">
        <v>0.6645867857816059</v>
      </c>
      <c r="Q9" s="91">
        <v>0</v>
      </c>
      <c r="R9" s="88">
        <v>0.99999999999999978</v>
      </c>
      <c r="S9" s="88">
        <v>1.022441208894779</v>
      </c>
      <c r="T9" s="91">
        <v>-6.54380341880334E-3</v>
      </c>
      <c r="U9" s="91">
        <v>6.5869068423176644E-3</v>
      </c>
      <c r="V9" s="87">
        <v>0</v>
      </c>
      <c r="W9" s="91">
        <v>0</v>
      </c>
      <c r="X9" s="87">
        <v>1</v>
      </c>
      <c r="Y9" s="90">
        <v>0.66364735403435804</v>
      </c>
      <c r="Z9" s="90">
        <v>0.6645867857816059</v>
      </c>
      <c r="AA9" s="92">
        <v>0</v>
      </c>
      <c r="AB9" s="88">
        <v>0</v>
      </c>
      <c r="AC9" s="87">
        <v>1</v>
      </c>
      <c r="AD9" s="87">
        <v>0</v>
      </c>
      <c r="AE9" s="88">
        <v>1.023333333333333</v>
      </c>
      <c r="AF9" s="88">
        <v>0.99051430760215442</v>
      </c>
      <c r="AG9" s="88">
        <v>1.013626747112006</v>
      </c>
      <c r="AH9" s="88">
        <v>65520</v>
      </c>
      <c r="AI9" s="88">
        <v>65091.250000000007</v>
      </c>
      <c r="AJ9" s="88">
        <v>52794.264223194747</v>
      </c>
      <c r="AK9" s="88">
        <v>63414.975131065999</v>
      </c>
      <c r="AL9" s="88">
        <v>63901.828155752817</v>
      </c>
      <c r="AM9" s="88">
        <v>63000</v>
      </c>
      <c r="AN9" s="88">
        <v>40950</v>
      </c>
      <c r="AO9" s="88">
        <v>41809.783304164557</v>
      </c>
      <c r="AP9" s="88">
        <v>41868.967504241169</v>
      </c>
      <c r="AQ9" s="88">
        <v>0</v>
      </c>
      <c r="AR9" s="88">
        <v>62999.999999999993</v>
      </c>
      <c r="AS9" s="88">
        <v>64413.79616037105</v>
      </c>
      <c r="AT9" s="88">
        <v>41809.783304164557</v>
      </c>
      <c r="AU9" s="88">
        <v>41868.967504241169</v>
      </c>
      <c r="AV9" s="88">
        <v>53550</v>
      </c>
      <c r="AW9" s="88">
        <v>52920</v>
      </c>
      <c r="AX9" s="88">
        <v>52290</v>
      </c>
      <c r="AY9" s="88">
        <v>63000</v>
      </c>
      <c r="AZ9" s="88">
        <v>63000</v>
      </c>
      <c r="BA9" s="88">
        <v>63000</v>
      </c>
      <c r="BB9" s="88">
        <v>63000</v>
      </c>
      <c r="BC9" s="88">
        <v>63000</v>
      </c>
      <c r="BD9" s="88">
        <v>63000</v>
      </c>
      <c r="BE9" s="88">
        <v>63000</v>
      </c>
      <c r="BF9" s="88">
        <v>63000</v>
      </c>
      <c r="BG9" s="88">
        <v>63000</v>
      </c>
      <c r="BH9" s="88">
        <v>63000</v>
      </c>
      <c r="BI9" s="88">
        <v>63000</v>
      </c>
      <c r="BJ9" s="88">
        <v>63000</v>
      </c>
      <c r="BK9" s="88">
        <v>1901.175039784717</v>
      </c>
      <c r="BL9" s="88">
        <v>1900.7022995649561</v>
      </c>
      <c r="BM9" s="88">
        <v>1900.228836510182</v>
      </c>
      <c r="BN9" s="88">
        <v>1899.738562091509</v>
      </c>
      <c r="BO9" s="88">
        <v>1899.247511388565</v>
      </c>
      <c r="BP9" s="88">
        <v>1898.7556825561851</v>
      </c>
      <c r="BQ9" s="88">
        <v>1898.263073743326</v>
      </c>
      <c r="BR9" s="88">
        <v>-598.30616519443572</v>
      </c>
      <c r="BS9" s="88">
        <v>-598.78134520740036</v>
      </c>
      <c r="BT9" s="88">
        <v>-599.25728060460517</v>
      </c>
      <c r="BU9" s="88">
        <v>-599.73397318866921</v>
      </c>
      <c r="BV9" s="88">
        <v>-600.21142476802379</v>
      </c>
      <c r="BW9" s="88">
        <v>2520.0000000000018</v>
      </c>
      <c r="BX9" s="88">
        <v>2520.0000000000018</v>
      </c>
      <c r="BY9" s="88">
        <v>2520.0000000000018</v>
      </c>
      <c r="BZ9" s="88">
        <v>2520.0000000000018</v>
      </c>
      <c r="CA9" s="88">
        <v>2520.0000000000018</v>
      </c>
      <c r="CB9" s="88">
        <v>2520.0000000000018</v>
      </c>
      <c r="CC9" s="88">
        <v>2520.0000000000018</v>
      </c>
      <c r="CD9" s="88">
        <v>0</v>
      </c>
      <c r="CE9" s="88">
        <v>0</v>
      </c>
      <c r="CF9" s="88">
        <v>0</v>
      </c>
      <c r="CG9" s="88">
        <v>0</v>
      </c>
      <c r="CH9" s="88">
        <v>0</v>
      </c>
      <c r="CI9" s="88">
        <v>63000</v>
      </c>
      <c r="CJ9" s="88">
        <v>63000</v>
      </c>
      <c r="CK9" s="88">
        <v>63000</v>
      </c>
      <c r="CL9" s="88">
        <v>63000</v>
      </c>
      <c r="CM9" s="88">
        <v>63000</v>
      </c>
      <c r="CN9" s="88">
        <v>63000</v>
      </c>
      <c r="CO9" s="88">
        <v>63000</v>
      </c>
      <c r="CP9" s="88">
        <v>63000</v>
      </c>
      <c r="CQ9" s="88">
        <v>63000</v>
      </c>
      <c r="CR9" s="88">
        <v>63000</v>
      </c>
      <c r="CS9" s="88">
        <v>63000</v>
      </c>
      <c r="CT9" s="88">
        <v>63000</v>
      </c>
      <c r="CU9" s="88">
        <v>-595.02400020700986</v>
      </c>
      <c r="CV9" s="88">
        <v>-595.47855811062436</v>
      </c>
      <c r="CW9" s="88">
        <v>-595.93381104790546</v>
      </c>
      <c r="CX9" s="88">
        <v>-596.40522875816475</v>
      </c>
      <c r="CY9" s="88">
        <v>-596.877392895615</v>
      </c>
      <c r="CZ9" s="88">
        <v>-597.35030523444323</v>
      </c>
      <c r="DA9" s="88">
        <v>-597.82396755449452</v>
      </c>
      <c r="DB9" s="88">
        <v>-598.30616519443572</v>
      </c>
      <c r="DC9" s="88">
        <v>-598.78134520740036</v>
      </c>
      <c r="DD9" s="88">
        <v>-599.25728060460517</v>
      </c>
      <c r="DE9" s="88">
        <v>-599.73397318866921</v>
      </c>
      <c r="DF9" s="88">
        <v>-600.21142476802379</v>
      </c>
      <c r="DG9" s="93">
        <v>46235</v>
      </c>
      <c r="DH9" s="91">
        <v>0.04</v>
      </c>
      <c r="DI9" t="s">
        <v>301</v>
      </c>
      <c r="DJ9" s="93"/>
      <c r="DK9" s="91"/>
      <c r="DM9" s="93"/>
      <c r="DN9" s="91"/>
      <c r="DP9" s="93"/>
      <c r="DQ9" s="91"/>
    </row>
    <row r="10" spans="1:122" x14ac:dyDescent="0.3">
      <c r="A10" t="s">
        <v>22</v>
      </c>
      <c r="B10" t="s">
        <v>42</v>
      </c>
      <c r="C10" t="s">
        <v>67</v>
      </c>
      <c r="D10" t="s">
        <v>317</v>
      </c>
      <c r="E10" t="s">
        <v>318</v>
      </c>
      <c r="F10" s="86">
        <v>45000</v>
      </c>
      <c r="G10" s="87">
        <v>12</v>
      </c>
      <c r="H10" s="88">
        <v>1</v>
      </c>
      <c r="I10" s="88">
        <v>1</v>
      </c>
      <c r="J10" s="89">
        <v>0.84099790299051769</v>
      </c>
      <c r="K10" s="88">
        <v>1</v>
      </c>
      <c r="L10" s="88">
        <v>1.0107040659405591</v>
      </c>
      <c r="M10" s="88">
        <v>1</v>
      </c>
      <c r="N10" s="90">
        <v>0.63400000000000001</v>
      </c>
      <c r="O10" s="90">
        <v>0.64078637780631431</v>
      </c>
      <c r="P10" s="90">
        <v>0.63825893050072702</v>
      </c>
      <c r="Q10" s="91">
        <v>0</v>
      </c>
      <c r="R10" s="88">
        <v>1</v>
      </c>
      <c r="S10" s="88">
        <v>1.006717555994838</v>
      </c>
      <c r="T10" s="91">
        <v>0</v>
      </c>
      <c r="U10" s="91">
        <v>0</v>
      </c>
      <c r="V10" s="87">
        <v>0</v>
      </c>
      <c r="W10" s="91">
        <v>0</v>
      </c>
      <c r="X10" s="87">
        <v>1</v>
      </c>
      <c r="Y10" s="90">
        <v>0.64078637780631431</v>
      </c>
      <c r="Z10" s="90">
        <v>0.63825893050072702</v>
      </c>
      <c r="AA10" s="92">
        <v>0</v>
      </c>
      <c r="AB10" s="88">
        <v>0</v>
      </c>
      <c r="AC10" s="87">
        <v>0</v>
      </c>
      <c r="AD10" s="87">
        <v>0</v>
      </c>
      <c r="AE10" s="88">
        <v>1</v>
      </c>
      <c r="AF10" s="88">
        <v>1.00475975841704</v>
      </c>
      <c r="AG10" s="88">
        <v>1.00475975841704</v>
      </c>
      <c r="AH10" s="88">
        <v>45000</v>
      </c>
      <c r="AI10" s="88">
        <v>45000</v>
      </c>
      <c r="AJ10" s="88">
        <v>37844.905634573297</v>
      </c>
      <c r="AK10" s="88">
        <v>45000</v>
      </c>
      <c r="AL10" s="88">
        <v>45481.682967325149</v>
      </c>
      <c r="AM10" s="88">
        <v>45000</v>
      </c>
      <c r="AN10" s="88">
        <v>28530</v>
      </c>
      <c r="AO10" s="88">
        <v>28835.38700128414</v>
      </c>
      <c r="AP10" s="88">
        <v>28721.651872532719</v>
      </c>
      <c r="AQ10" s="88">
        <v>0</v>
      </c>
      <c r="AR10" s="88">
        <v>45000</v>
      </c>
      <c r="AS10" s="88">
        <v>45302.290019767694</v>
      </c>
      <c r="AT10" s="88">
        <v>28835.38700128414</v>
      </c>
      <c r="AU10" s="88">
        <v>28721.651872532719</v>
      </c>
      <c r="AV10" s="88">
        <v>38250</v>
      </c>
      <c r="AW10" s="88">
        <v>37800</v>
      </c>
      <c r="AX10" s="88">
        <v>38025</v>
      </c>
      <c r="AY10" s="88">
        <v>45000</v>
      </c>
      <c r="AZ10" s="88">
        <v>45000</v>
      </c>
      <c r="BA10" s="88">
        <v>45000</v>
      </c>
      <c r="BB10" s="88">
        <v>45000</v>
      </c>
      <c r="BC10" s="88">
        <v>45000</v>
      </c>
      <c r="BD10" s="88">
        <v>45000</v>
      </c>
      <c r="BE10" s="88">
        <v>45000</v>
      </c>
      <c r="BF10" s="88">
        <v>45000</v>
      </c>
      <c r="BG10" s="88">
        <v>45000</v>
      </c>
      <c r="BH10" s="88">
        <v>45000</v>
      </c>
      <c r="BI10" s="88">
        <v>45000</v>
      </c>
      <c r="BJ10" s="88">
        <v>45000</v>
      </c>
      <c r="BK10" s="88">
        <v>214.65397256872129</v>
      </c>
      <c r="BL10" s="88">
        <v>214.57124941213661</v>
      </c>
      <c r="BM10" s="88">
        <v>214.48858999052911</v>
      </c>
      <c r="BN10" s="88">
        <v>214.40319548871929</v>
      </c>
      <c r="BO10" s="88">
        <v>214.31786895619979</v>
      </c>
      <c r="BP10" s="88">
        <v>214.23261031185521</v>
      </c>
      <c r="BQ10" s="88">
        <v>214.1474194747006</v>
      </c>
      <c r="BR10" s="88">
        <v>214.06090146682271</v>
      </c>
      <c r="BS10" s="88">
        <v>213.97584710986521</v>
      </c>
      <c r="BT10" s="88">
        <v>213.89086031657229</v>
      </c>
      <c r="BU10" s="88">
        <v>213.80594100647849</v>
      </c>
      <c r="BV10" s="88">
        <v>213.72108909924799</v>
      </c>
      <c r="BW10" s="88">
        <v>0</v>
      </c>
      <c r="BX10" s="88">
        <v>0</v>
      </c>
      <c r="BY10" s="88">
        <v>0</v>
      </c>
      <c r="BZ10" s="88">
        <v>0</v>
      </c>
      <c r="CA10" s="88">
        <v>0</v>
      </c>
      <c r="CB10" s="88">
        <v>0</v>
      </c>
      <c r="CC10" s="88">
        <v>0</v>
      </c>
      <c r="CD10" s="88">
        <v>0</v>
      </c>
      <c r="CE10" s="88">
        <v>0</v>
      </c>
      <c r="CF10" s="88">
        <v>0</v>
      </c>
      <c r="CG10" s="88">
        <v>0</v>
      </c>
      <c r="CH10" s="88">
        <v>0</v>
      </c>
      <c r="CI10" s="88">
        <v>45000</v>
      </c>
      <c r="CJ10" s="88">
        <v>45000</v>
      </c>
      <c r="CK10" s="88">
        <v>45000</v>
      </c>
      <c r="CL10" s="88">
        <v>45000</v>
      </c>
      <c r="CM10" s="88">
        <v>45000</v>
      </c>
      <c r="CN10" s="88">
        <v>45000</v>
      </c>
      <c r="CO10" s="88">
        <v>45000</v>
      </c>
      <c r="CP10" s="88">
        <v>45000</v>
      </c>
      <c r="CQ10" s="88">
        <v>45000</v>
      </c>
      <c r="CR10" s="88">
        <v>45000</v>
      </c>
      <c r="CS10" s="88">
        <v>45000</v>
      </c>
      <c r="CT10" s="88">
        <v>45000</v>
      </c>
      <c r="CU10" s="88">
        <v>214.65397256872129</v>
      </c>
      <c r="CV10" s="88">
        <v>214.57124941213661</v>
      </c>
      <c r="CW10" s="88">
        <v>214.48858999052911</v>
      </c>
      <c r="CX10" s="88">
        <v>214.40319548871929</v>
      </c>
      <c r="CY10" s="88">
        <v>214.31786895619979</v>
      </c>
      <c r="CZ10" s="88">
        <v>214.23261031185521</v>
      </c>
      <c r="DA10" s="88">
        <v>214.1474194747006</v>
      </c>
      <c r="DB10" s="88">
        <v>214.06090146682271</v>
      </c>
      <c r="DC10" s="88">
        <v>213.97584710986521</v>
      </c>
      <c r="DD10" s="88">
        <v>213.89086031657229</v>
      </c>
      <c r="DE10" s="88">
        <v>213.80594100647849</v>
      </c>
      <c r="DF10" s="88">
        <v>213.72108909924799</v>
      </c>
      <c r="DG10" s="93"/>
      <c r="DH10" s="91"/>
      <c r="DJ10" s="93"/>
      <c r="DK10" s="91"/>
      <c r="DM10" s="93"/>
      <c r="DN10" s="91"/>
      <c r="DP10" s="93"/>
      <c r="DQ10" s="91"/>
    </row>
    <row r="11" spans="1:122" x14ac:dyDescent="0.3">
      <c r="A11" t="s">
        <v>22</v>
      </c>
      <c r="B11" t="s">
        <v>42</v>
      </c>
      <c r="C11" t="s">
        <v>73</v>
      </c>
      <c r="D11" t="s">
        <v>319</v>
      </c>
      <c r="E11" t="s">
        <v>320</v>
      </c>
      <c r="F11" s="86">
        <v>103500</v>
      </c>
      <c r="G11" s="87">
        <v>12</v>
      </c>
      <c r="H11" s="88">
        <v>1.06</v>
      </c>
      <c r="I11" s="88">
        <v>1.0444500000000001</v>
      </c>
      <c r="J11" s="89">
        <v>0.84399161196207151</v>
      </c>
      <c r="K11" s="88">
        <v>1.0148882186796879</v>
      </c>
      <c r="L11" s="88">
        <v>1.0071190139247479</v>
      </c>
      <c r="M11" s="88">
        <v>1</v>
      </c>
      <c r="N11" s="90">
        <v>0.66200000000000003</v>
      </c>
      <c r="O11" s="90">
        <v>0.67663895299083165</v>
      </c>
      <c r="P11" s="90">
        <v>0.63801046627244096</v>
      </c>
      <c r="Q11" s="91">
        <v>0</v>
      </c>
      <c r="R11" s="88">
        <v>0.97205346294046147</v>
      </c>
      <c r="S11" s="88">
        <v>0.99147019211144083</v>
      </c>
      <c r="T11" s="91">
        <v>-1.466981132075462E-2</v>
      </c>
      <c r="U11" s="91">
        <v>4.4066254966729002E-2</v>
      </c>
      <c r="V11" s="87">
        <v>0</v>
      </c>
      <c r="W11" s="91">
        <v>0</v>
      </c>
      <c r="X11" s="87">
        <v>1</v>
      </c>
      <c r="Y11" s="90">
        <v>0.67663895299083165</v>
      </c>
      <c r="Z11" s="90">
        <v>0.63801046627244096</v>
      </c>
      <c r="AA11" s="92">
        <v>0</v>
      </c>
      <c r="AB11" s="88">
        <v>0</v>
      </c>
      <c r="AC11" s="87">
        <v>1</v>
      </c>
      <c r="AD11" s="87">
        <v>1</v>
      </c>
      <c r="AE11" s="88">
        <v>1.0549999999999999</v>
      </c>
      <c r="AF11" s="88">
        <v>1.0191078169498311</v>
      </c>
      <c r="AG11" s="88">
        <v>1.0751594313380539</v>
      </c>
      <c r="AH11" s="88">
        <v>109710</v>
      </c>
      <c r="AI11" s="88">
        <v>108100.575</v>
      </c>
      <c r="AJ11" s="88">
        <v>87353.131838074405</v>
      </c>
      <c r="AK11" s="88">
        <v>105040.9306333477</v>
      </c>
      <c r="AL11" s="88">
        <v>104236.8179412114</v>
      </c>
      <c r="AM11" s="88">
        <v>103500</v>
      </c>
      <c r="AN11" s="88">
        <v>68517</v>
      </c>
      <c r="AO11" s="88">
        <v>70032.131634551071</v>
      </c>
      <c r="AP11" s="88">
        <v>66034.083259197636</v>
      </c>
      <c r="AQ11" s="88">
        <v>0</v>
      </c>
      <c r="AR11" s="88">
        <v>100607.5334143378</v>
      </c>
      <c r="AS11" s="88">
        <v>102617.1648835341</v>
      </c>
      <c r="AT11" s="88">
        <v>70032.131634551071</v>
      </c>
      <c r="AU11" s="88">
        <v>66034.083259197636</v>
      </c>
      <c r="AV11" s="88">
        <v>87975</v>
      </c>
      <c r="AW11" s="88">
        <v>86940</v>
      </c>
      <c r="AX11" s="88">
        <v>89010</v>
      </c>
      <c r="AY11" s="88">
        <v>103500</v>
      </c>
      <c r="AZ11" s="88">
        <v>103500</v>
      </c>
      <c r="BA11" s="88">
        <v>103500</v>
      </c>
      <c r="BB11" s="88">
        <v>103500</v>
      </c>
      <c r="BC11" s="88">
        <v>103500</v>
      </c>
      <c r="BD11" s="88">
        <v>103500</v>
      </c>
      <c r="BE11" s="88">
        <v>103500</v>
      </c>
      <c r="BF11" s="88">
        <v>103500</v>
      </c>
      <c r="BG11" s="88">
        <v>103500</v>
      </c>
      <c r="BH11" s="88">
        <v>103500</v>
      </c>
      <c r="BI11" s="88">
        <v>103500</v>
      </c>
      <c r="BJ11" s="88">
        <v>103500</v>
      </c>
      <c r="BK11" s="88">
        <v>8324.6542391677576</v>
      </c>
      <c r="BL11" s="88">
        <v>8321.3650743435737</v>
      </c>
      <c r="BM11" s="88">
        <v>8318.0861256613371</v>
      </c>
      <c r="BN11" s="88">
        <v>8314.706717123956</v>
      </c>
      <c r="BO11" s="88">
        <v>8311.3381260987135</v>
      </c>
      <c r="BP11" s="88">
        <v>8307.9803007282553</v>
      </c>
      <c r="BQ11" s="88">
        <v>8304.6331894860759</v>
      </c>
      <c r="BR11" s="88">
        <v>8301.2421338486201</v>
      </c>
      <c r="BS11" s="88">
        <v>8297.9164711403191</v>
      </c>
      <c r="BT11" s="88">
        <v>6185.2692678101894</v>
      </c>
      <c r="BU11" s="88">
        <v>6182.0270270270212</v>
      </c>
      <c r="BV11" s="88">
        <v>6178.7950494278839</v>
      </c>
      <c r="BW11" s="88">
        <v>6210.0000000000045</v>
      </c>
      <c r="BX11" s="88">
        <v>6210.0000000000045</v>
      </c>
      <c r="BY11" s="88">
        <v>6210.0000000000045</v>
      </c>
      <c r="BZ11" s="88">
        <v>6210.0000000000045</v>
      </c>
      <c r="CA11" s="88">
        <v>6210.0000000000045</v>
      </c>
      <c r="CB11" s="88">
        <v>6210.0000000000045</v>
      </c>
      <c r="CC11" s="88">
        <v>6210.0000000000045</v>
      </c>
      <c r="CD11" s="88">
        <v>6210.0000000000045</v>
      </c>
      <c r="CE11" s="88">
        <v>6210.0000000000045</v>
      </c>
      <c r="CF11" s="88">
        <v>4140.0000000000036</v>
      </c>
      <c r="CG11" s="88">
        <v>4140.0000000000036</v>
      </c>
      <c r="CH11" s="88">
        <v>4140.0000000000036</v>
      </c>
      <c r="CI11" s="88">
        <v>103500</v>
      </c>
      <c r="CJ11" s="88">
        <v>103500</v>
      </c>
      <c r="CK11" s="88">
        <v>103500</v>
      </c>
      <c r="CL11" s="88">
        <v>103500</v>
      </c>
      <c r="CM11" s="88">
        <v>103500</v>
      </c>
      <c r="CN11" s="88">
        <v>103500</v>
      </c>
      <c r="CO11" s="88">
        <v>103500</v>
      </c>
      <c r="CP11" s="88">
        <v>103500</v>
      </c>
      <c r="CQ11" s="88">
        <v>103500</v>
      </c>
      <c r="CR11" s="88">
        <v>103500</v>
      </c>
      <c r="CS11" s="88">
        <v>103500</v>
      </c>
      <c r="CT11" s="88">
        <v>103500</v>
      </c>
      <c r="CU11" s="88">
        <v>1994.95682940353</v>
      </c>
      <c r="CV11" s="88">
        <v>1991.8538437203499</v>
      </c>
      <c r="CW11" s="88">
        <v>1988.7604959069261</v>
      </c>
      <c r="CX11" s="88">
        <v>1985.57237464523</v>
      </c>
      <c r="CY11" s="88">
        <v>1982.3944585836821</v>
      </c>
      <c r="CZ11" s="88">
        <v>1979.2266988002341</v>
      </c>
      <c r="DA11" s="88">
        <v>1976.069046684976</v>
      </c>
      <c r="DB11" s="88">
        <v>1972.869937593026</v>
      </c>
      <c r="DC11" s="88">
        <v>1969.7325199437</v>
      </c>
      <c r="DD11" s="88">
        <v>1966.6050652020961</v>
      </c>
      <c r="DE11" s="88">
        <v>1963.48752598752</v>
      </c>
      <c r="DF11" s="88">
        <v>1960.3798552191199</v>
      </c>
      <c r="DG11" s="93">
        <v>46296</v>
      </c>
      <c r="DH11" s="91">
        <v>0.06</v>
      </c>
      <c r="DI11" t="s">
        <v>301</v>
      </c>
      <c r="DJ11" s="93">
        <v>46661</v>
      </c>
      <c r="DK11" s="91">
        <v>0.04</v>
      </c>
      <c r="DL11" t="s">
        <v>302</v>
      </c>
      <c r="DM11" s="93"/>
      <c r="DN11" s="91"/>
      <c r="DP11" s="93"/>
      <c r="DQ11" s="91"/>
    </row>
    <row r="12" spans="1:122" x14ac:dyDescent="0.3">
      <c r="A12" t="s">
        <v>22</v>
      </c>
      <c r="B12" t="s">
        <v>42</v>
      </c>
      <c r="C12" t="s">
        <v>78</v>
      </c>
      <c r="D12" t="s">
        <v>321</v>
      </c>
      <c r="E12" t="s">
        <v>322</v>
      </c>
      <c r="F12" s="86">
        <v>85500</v>
      </c>
      <c r="G12" s="87">
        <v>12</v>
      </c>
      <c r="H12" s="88">
        <v>1.02</v>
      </c>
      <c r="I12" s="88">
        <v>1.013055555555556</v>
      </c>
      <c r="J12" s="89">
        <v>0.84</v>
      </c>
      <c r="K12" s="88">
        <v>1.0068549492733749</v>
      </c>
      <c r="L12" s="88">
        <v>1.0119047619047621</v>
      </c>
      <c r="M12" s="88">
        <v>1</v>
      </c>
      <c r="N12" s="90">
        <v>0.64600000000000002</v>
      </c>
      <c r="O12" s="90">
        <v>0.65817149124525043</v>
      </c>
      <c r="P12" s="90">
        <v>0.65369047619047627</v>
      </c>
      <c r="Q12" s="91">
        <v>0</v>
      </c>
      <c r="R12" s="88">
        <v>1</v>
      </c>
      <c r="S12" s="88">
        <v>1.0119047619047621</v>
      </c>
      <c r="T12" s="91">
        <v>-6.8082788671023353E-3</v>
      </c>
      <c r="U12" s="91">
        <v>6.8549492733751549E-3</v>
      </c>
      <c r="V12" s="87">
        <v>0</v>
      </c>
      <c r="W12" s="91">
        <v>0</v>
      </c>
      <c r="X12" s="87">
        <v>1</v>
      </c>
      <c r="Y12" s="90">
        <v>0.65817149124525043</v>
      </c>
      <c r="Z12" s="90">
        <v>0.65369047619047627</v>
      </c>
      <c r="AA12" s="92">
        <v>0</v>
      </c>
      <c r="AB12" s="88">
        <v>0</v>
      </c>
      <c r="AC12" s="87">
        <v>1</v>
      </c>
      <c r="AD12" s="87">
        <v>0</v>
      </c>
      <c r="AE12" s="88">
        <v>1.0166666666666659</v>
      </c>
      <c r="AF12" s="88">
        <v>1</v>
      </c>
      <c r="AG12" s="88">
        <v>1.0166666666666659</v>
      </c>
      <c r="AH12" s="88">
        <v>87210</v>
      </c>
      <c r="AI12" s="88">
        <v>86616.25</v>
      </c>
      <c r="AJ12" s="88">
        <v>71820</v>
      </c>
      <c r="AK12" s="88">
        <v>86086.09816287359</v>
      </c>
      <c r="AL12" s="88">
        <v>86517.857142857145</v>
      </c>
      <c r="AM12" s="88">
        <v>85500</v>
      </c>
      <c r="AN12" s="88">
        <v>55233</v>
      </c>
      <c r="AO12" s="88">
        <v>56273.662501468913</v>
      </c>
      <c r="AP12" s="88">
        <v>55890.535714285717</v>
      </c>
      <c r="AQ12" s="88">
        <v>0</v>
      </c>
      <c r="AR12" s="88">
        <v>85500.000000000015</v>
      </c>
      <c r="AS12" s="88">
        <v>86517.857142857145</v>
      </c>
      <c r="AT12" s="88">
        <v>56273.662501468913</v>
      </c>
      <c r="AU12" s="88">
        <v>55890.535714285717</v>
      </c>
      <c r="AV12" s="88">
        <v>72675</v>
      </c>
      <c r="AW12" s="88">
        <v>71820</v>
      </c>
      <c r="AX12" s="88">
        <v>71820</v>
      </c>
      <c r="AY12" s="88">
        <v>85500</v>
      </c>
      <c r="AZ12" s="88">
        <v>85500</v>
      </c>
      <c r="BA12" s="88">
        <v>85500</v>
      </c>
      <c r="BB12" s="88">
        <v>85500</v>
      </c>
      <c r="BC12" s="88">
        <v>85500</v>
      </c>
      <c r="BD12" s="88">
        <v>85500</v>
      </c>
      <c r="BE12" s="88">
        <v>85500</v>
      </c>
      <c r="BF12" s="88">
        <v>85500</v>
      </c>
      <c r="BG12" s="88">
        <v>85500</v>
      </c>
      <c r="BH12" s="88">
        <v>85500</v>
      </c>
      <c r="BI12" s="88">
        <v>85500</v>
      </c>
      <c r="BJ12" s="88">
        <v>85500</v>
      </c>
      <c r="BK12" s="88">
        <v>1710.000000000002</v>
      </c>
      <c r="BL12" s="88">
        <v>1710.000000000002</v>
      </c>
      <c r="BM12" s="88">
        <v>1710.000000000002</v>
      </c>
      <c r="BN12" s="88">
        <v>1710.000000000002</v>
      </c>
      <c r="BO12" s="88">
        <v>1710.000000000002</v>
      </c>
      <c r="BP12" s="88">
        <v>1710.000000000002</v>
      </c>
      <c r="BQ12" s="88">
        <v>1710.000000000002</v>
      </c>
      <c r="BR12" s="88">
        <v>1710.000000000002</v>
      </c>
      <c r="BS12" s="88">
        <v>1710.000000000002</v>
      </c>
      <c r="BT12" s="88">
        <v>1710.000000000002</v>
      </c>
      <c r="BU12" s="88">
        <v>0</v>
      </c>
      <c r="BV12" s="88">
        <v>0</v>
      </c>
      <c r="BW12" s="88">
        <v>1710.000000000002</v>
      </c>
      <c r="BX12" s="88">
        <v>1710.000000000002</v>
      </c>
      <c r="BY12" s="88">
        <v>1710.000000000002</v>
      </c>
      <c r="BZ12" s="88">
        <v>1710.000000000002</v>
      </c>
      <c r="CA12" s="88">
        <v>1710.000000000002</v>
      </c>
      <c r="CB12" s="88">
        <v>1710.000000000002</v>
      </c>
      <c r="CC12" s="88">
        <v>1710.000000000002</v>
      </c>
      <c r="CD12" s="88">
        <v>1710.000000000002</v>
      </c>
      <c r="CE12" s="88">
        <v>1710.000000000002</v>
      </c>
      <c r="CF12" s="88">
        <v>1710.000000000002</v>
      </c>
      <c r="CG12" s="88">
        <v>0</v>
      </c>
      <c r="CH12" s="88">
        <v>0</v>
      </c>
      <c r="CI12" s="88">
        <v>85500</v>
      </c>
      <c r="CJ12" s="88">
        <v>85500</v>
      </c>
      <c r="CK12" s="88">
        <v>85500</v>
      </c>
      <c r="CL12" s="88">
        <v>85500</v>
      </c>
      <c r="CM12" s="88">
        <v>85500</v>
      </c>
      <c r="CN12" s="88">
        <v>85500</v>
      </c>
      <c r="CO12" s="88">
        <v>85500</v>
      </c>
      <c r="CP12" s="88">
        <v>85500</v>
      </c>
      <c r="CQ12" s="88">
        <v>85500</v>
      </c>
      <c r="CR12" s="88">
        <v>85500</v>
      </c>
      <c r="CS12" s="88">
        <v>85500</v>
      </c>
      <c r="CT12" s="88">
        <v>85500</v>
      </c>
      <c r="CU12" s="88">
        <v>0</v>
      </c>
      <c r="CV12" s="88">
        <v>0</v>
      </c>
      <c r="CW12" s="88">
        <v>0</v>
      </c>
      <c r="CX12" s="88">
        <v>0</v>
      </c>
      <c r="CY12" s="88">
        <v>0</v>
      </c>
      <c r="CZ12" s="88">
        <v>0</v>
      </c>
      <c r="DA12" s="88">
        <v>0</v>
      </c>
      <c r="DB12" s="88">
        <v>0</v>
      </c>
      <c r="DC12" s="88">
        <v>0</v>
      </c>
      <c r="DD12" s="88">
        <v>0</v>
      </c>
      <c r="DE12" s="88">
        <v>0</v>
      </c>
      <c r="DF12" s="88">
        <v>0</v>
      </c>
      <c r="DG12" s="93">
        <v>46327</v>
      </c>
      <c r="DH12" s="91">
        <v>0.02</v>
      </c>
      <c r="DI12" t="s">
        <v>301</v>
      </c>
      <c r="DJ12" s="93"/>
      <c r="DK12" s="91"/>
      <c r="DM12" s="93"/>
      <c r="DN12" s="91"/>
      <c r="DP12" s="93"/>
      <c r="DQ12" s="91"/>
    </row>
    <row r="13" spans="1:122" x14ac:dyDescent="0.3">
      <c r="A13" t="s">
        <v>22</v>
      </c>
      <c r="B13" t="s">
        <v>42</v>
      </c>
      <c r="C13" t="s">
        <v>80</v>
      </c>
      <c r="D13" t="s">
        <v>323</v>
      </c>
      <c r="E13" t="s">
        <v>324</v>
      </c>
      <c r="F13" s="86">
        <v>67500</v>
      </c>
      <c r="G13" s="87">
        <v>12</v>
      </c>
      <c r="H13" s="88">
        <v>1</v>
      </c>
      <c r="I13" s="88">
        <v>1</v>
      </c>
      <c r="J13" s="89">
        <v>0.84299370897155379</v>
      </c>
      <c r="K13" s="88">
        <v>1</v>
      </c>
      <c r="L13" s="88">
        <v>1.0083112020337539</v>
      </c>
      <c r="M13" s="88">
        <v>1</v>
      </c>
      <c r="N13" s="90">
        <v>0.63</v>
      </c>
      <c r="O13" s="90">
        <v>0.63523605728126498</v>
      </c>
      <c r="P13" s="90">
        <v>0.62779567308254369</v>
      </c>
      <c r="Q13" s="91">
        <v>0</v>
      </c>
      <c r="R13" s="88">
        <v>1</v>
      </c>
      <c r="S13" s="88">
        <v>0.99650106838498997</v>
      </c>
      <c r="T13" s="91">
        <v>0</v>
      </c>
      <c r="U13" s="91">
        <v>0</v>
      </c>
      <c r="V13" s="87">
        <v>0</v>
      </c>
      <c r="W13" s="91">
        <v>0</v>
      </c>
      <c r="X13" s="87">
        <v>1</v>
      </c>
      <c r="Y13" s="90">
        <v>0.63523605728126498</v>
      </c>
      <c r="Z13" s="90">
        <v>0.62779567308254369</v>
      </c>
      <c r="AA13" s="92">
        <v>0</v>
      </c>
      <c r="AB13" s="88">
        <v>0</v>
      </c>
      <c r="AC13" s="87">
        <v>0</v>
      </c>
      <c r="AD13" s="87">
        <v>0</v>
      </c>
      <c r="AE13" s="88">
        <v>1</v>
      </c>
      <c r="AF13" s="88">
        <v>1.014313571147019</v>
      </c>
      <c r="AG13" s="88">
        <v>1.014313571147019</v>
      </c>
      <c r="AH13" s="88">
        <v>67500</v>
      </c>
      <c r="AI13" s="88">
        <v>67500</v>
      </c>
      <c r="AJ13" s="88">
        <v>56902.07535557988</v>
      </c>
      <c r="AK13" s="88">
        <v>67500</v>
      </c>
      <c r="AL13" s="88">
        <v>68061.006137278382</v>
      </c>
      <c r="AM13" s="88">
        <v>67500</v>
      </c>
      <c r="AN13" s="88">
        <v>42525</v>
      </c>
      <c r="AO13" s="88">
        <v>42878.433866485393</v>
      </c>
      <c r="AP13" s="88">
        <v>42376.207933071702</v>
      </c>
      <c r="AQ13" s="88">
        <v>0</v>
      </c>
      <c r="AR13" s="88">
        <v>67500</v>
      </c>
      <c r="AS13" s="88">
        <v>67263.822115986826</v>
      </c>
      <c r="AT13" s="88">
        <v>42878.433866485393</v>
      </c>
      <c r="AU13" s="88">
        <v>42376.207933071702</v>
      </c>
      <c r="AV13" s="88">
        <v>57375</v>
      </c>
      <c r="AW13" s="88">
        <v>56700</v>
      </c>
      <c r="AX13" s="88">
        <v>57712.5</v>
      </c>
      <c r="AY13" s="88">
        <v>67500</v>
      </c>
      <c r="AZ13" s="88">
        <v>67500</v>
      </c>
      <c r="BA13" s="88">
        <v>67500</v>
      </c>
      <c r="BB13" s="88">
        <v>67500</v>
      </c>
      <c r="BC13" s="88">
        <v>67500</v>
      </c>
      <c r="BD13" s="88">
        <v>67500</v>
      </c>
      <c r="BE13" s="88">
        <v>67500</v>
      </c>
      <c r="BF13" s="88">
        <v>67500</v>
      </c>
      <c r="BG13" s="88">
        <v>67500</v>
      </c>
      <c r="BH13" s="88">
        <v>67500</v>
      </c>
      <c r="BI13" s="88">
        <v>67500</v>
      </c>
      <c r="BJ13" s="88">
        <v>67500</v>
      </c>
      <c r="BK13" s="88">
        <v>972.48810910023133</v>
      </c>
      <c r="BL13" s="88">
        <v>971.3570414761158</v>
      </c>
      <c r="BM13" s="88">
        <v>970.22860180755345</v>
      </c>
      <c r="BN13" s="88">
        <v>969.06466331025956</v>
      </c>
      <c r="BO13" s="88">
        <v>967.90351411342124</v>
      </c>
      <c r="BP13" s="88">
        <v>966.74514420246942</v>
      </c>
      <c r="BQ13" s="88">
        <v>965.58954361075143</v>
      </c>
      <c r="BR13" s="88">
        <v>964.41782631672584</v>
      </c>
      <c r="BS13" s="88">
        <v>963.26777964577616</v>
      </c>
      <c r="BT13" s="88">
        <v>962.12047251781394</v>
      </c>
      <c r="BU13" s="88">
        <v>960.97589515562026</v>
      </c>
      <c r="BV13" s="88">
        <v>959.83403782846869</v>
      </c>
      <c r="BW13" s="88">
        <v>0</v>
      </c>
      <c r="BX13" s="88">
        <v>0</v>
      </c>
      <c r="BY13" s="88">
        <v>0</v>
      </c>
      <c r="BZ13" s="88">
        <v>0</v>
      </c>
      <c r="CA13" s="88">
        <v>0</v>
      </c>
      <c r="CB13" s="88">
        <v>0</v>
      </c>
      <c r="CC13" s="88">
        <v>0</v>
      </c>
      <c r="CD13" s="88">
        <v>0</v>
      </c>
      <c r="CE13" s="88">
        <v>0</v>
      </c>
      <c r="CF13" s="88">
        <v>0</v>
      </c>
      <c r="CG13" s="88">
        <v>0</v>
      </c>
      <c r="CH13" s="88">
        <v>0</v>
      </c>
      <c r="CI13" s="88">
        <v>67500</v>
      </c>
      <c r="CJ13" s="88">
        <v>67500</v>
      </c>
      <c r="CK13" s="88">
        <v>67500</v>
      </c>
      <c r="CL13" s="88">
        <v>67500</v>
      </c>
      <c r="CM13" s="88">
        <v>67500</v>
      </c>
      <c r="CN13" s="88">
        <v>67500</v>
      </c>
      <c r="CO13" s="88">
        <v>67500</v>
      </c>
      <c r="CP13" s="88">
        <v>67500</v>
      </c>
      <c r="CQ13" s="88">
        <v>67500</v>
      </c>
      <c r="CR13" s="88">
        <v>67500</v>
      </c>
      <c r="CS13" s="88">
        <v>67500</v>
      </c>
      <c r="CT13" s="88">
        <v>67500</v>
      </c>
      <c r="CU13" s="88">
        <v>972.48810910023133</v>
      </c>
      <c r="CV13" s="88">
        <v>971.3570414761158</v>
      </c>
      <c r="CW13" s="88">
        <v>970.22860180755345</v>
      </c>
      <c r="CX13" s="88">
        <v>969.06466331025956</v>
      </c>
      <c r="CY13" s="88">
        <v>967.90351411342124</v>
      </c>
      <c r="CZ13" s="88">
        <v>966.74514420246942</v>
      </c>
      <c r="DA13" s="88">
        <v>965.58954361075143</v>
      </c>
      <c r="DB13" s="88">
        <v>964.41782631672584</v>
      </c>
      <c r="DC13" s="88">
        <v>963.26777964577616</v>
      </c>
      <c r="DD13" s="88">
        <v>962.12047251781394</v>
      </c>
      <c r="DE13" s="88">
        <v>960.97589515562026</v>
      </c>
      <c r="DF13" s="88">
        <v>959.83403782846869</v>
      </c>
      <c r="DG13" s="93"/>
      <c r="DH13" s="91"/>
      <c r="DJ13" s="93"/>
      <c r="DK13" s="91"/>
      <c r="DM13" s="93"/>
      <c r="DN13" s="91"/>
      <c r="DP13" s="93"/>
      <c r="DQ13" s="91"/>
    </row>
    <row r="14" spans="1:122" x14ac:dyDescent="0.3">
      <c r="A14" t="s">
        <v>22</v>
      </c>
      <c r="B14" t="s">
        <v>42</v>
      </c>
      <c r="C14" t="s">
        <v>82</v>
      </c>
      <c r="D14" t="s">
        <v>325</v>
      </c>
      <c r="E14" t="s">
        <v>326</v>
      </c>
      <c r="F14" s="86">
        <v>49500</v>
      </c>
      <c r="G14" s="87">
        <v>12</v>
      </c>
      <c r="H14" s="88">
        <v>1.04</v>
      </c>
      <c r="I14" s="88">
        <v>1.04</v>
      </c>
      <c r="J14" s="89">
        <v>0.83900209700948214</v>
      </c>
      <c r="K14" s="88">
        <v>0.99999999999999978</v>
      </c>
      <c r="L14" s="88">
        <v>1.0131083140670549</v>
      </c>
      <c r="M14" s="88">
        <v>1</v>
      </c>
      <c r="N14" s="90">
        <v>0.65800000000000003</v>
      </c>
      <c r="O14" s="90">
        <v>0.66662527065612187</v>
      </c>
      <c r="P14" s="90">
        <v>0.66928187046593102</v>
      </c>
      <c r="Q14" s="91">
        <v>0</v>
      </c>
      <c r="R14" s="88">
        <v>0.99999999999999978</v>
      </c>
      <c r="S14" s="88">
        <v>1.017145699796248</v>
      </c>
      <c r="T14" s="91">
        <v>0</v>
      </c>
      <c r="U14" s="91">
        <v>0</v>
      </c>
      <c r="V14" s="87">
        <v>0</v>
      </c>
      <c r="W14" s="91">
        <v>0</v>
      </c>
      <c r="X14" s="87">
        <v>1</v>
      </c>
      <c r="Y14" s="90">
        <v>0.66662527065612187</v>
      </c>
      <c r="Z14" s="90">
        <v>0.66928187046593102</v>
      </c>
      <c r="AA14" s="92">
        <v>0</v>
      </c>
      <c r="AB14" s="88">
        <v>0</v>
      </c>
      <c r="AC14" s="87">
        <v>1</v>
      </c>
      <c r="AD14" s="87">
        <v>0</v>
      </c>
      <c r="AE14" s="88">
        <v>1</v>
      </c>
      <c r="AF14" s="88">
        <v>0.99525154750742739</v>
      </c>
      <c r="AG14" s="88">
        <v>0.99525154750742739</v>
      </c>
      <c r="AH14" s="88">
        <v>51480</v>
      </c>
      <c r="AI14" s="88">
        <v>51480.000000000007</v>
      </c>
      <c r="AJ14" s="88">
        <v>41530.603801969373</v>
      </c>
      <c r="AK14" s="88">
        <v>49499.999999999993</v>
      </c>
      <c r="AL14" s="88">
        <v>50148.861546319211</v>
      </c>
      <c r="AM14" s="88">
        <v>49500</v>
      </c>
      <c r="AN14" s="88">
        <v>32571</v>
      </c>
      <c r="AO14" s="88">
        <v>32997.950897478033</v>
      </c>
      <c r="AP14" s="88">
        <v>33129.452588063577</v>
      </c>
      <c r="AQ14" s="88">
        <v>0</v>
      </c>
      <c r="AR14" s="88">
        <v>49499.999999999993</v>
      </c>
      <c r="AS14" s="88">
        <v>50348.712139914263</v>
      </c>
      <c r="AT14" s="88">
        <v>32997.950897478033</v>
      </c>
      <c r="AU14" s="88">
        <v>33129.452588063577</v>
      </c>
      <c r="AV14" s="88">
        <v>42075</v>
      </c>
      <c r="AW14" s="88">
        <v>41580</v>
      </c>
      <c r="AX14" s="88">
        <v>41332.5</v>
      </c>
      <c r="AY14" s="88">
        <v>49500</v>
      </c>
      <c r="AZ14" s="88">
        <v>49500</v>
      </c>
      <c r="BA14" s="88">
        <v>49500</v>
      </c>
      <c r="BB14" s="88">
        <v>49500</v>
      </c>
      <c r="BC14" s="88">
        <v>49500</v>
      </c>
      <c r="BD14" s="88">
        <v>49500</v>
      </c>
      <c r="BE14" s="88">
        <v>49500</v>
      </c>
      <c r="BF14" s="88">
        <v>49500</v>
      </c>
      <c r="BG14" s="88">
        <v>49500</v>
      </c>
      <c r="BH14" s="88">
        <v>49500</v>
      </c>
      <c r="BI14" s="88">
        <v>49500</v>
      </c>
      <c r="BJ14" s="88">
        <v>49500</v>
      </c>
      <c r="BK14" s="88">
        <v>-234.54081665768871</v>
      </c>
      <c r="BL14" s="88">
        <v>-234.63066853669881</v>
      </c>
      <c r="BM14" s="88">
        <v>-234.7205892860629</v>
      </c>
      <c r="BN14" s="88">
        <v>-234.8136306924512</v>
      </c>
      <c r="BO14" s="88">
        <v>-234.9067458898638</v>
      </c>
      <c r="BP14" s="88">
        <v>-234.99993496611501</v>
      </c>
      <c r="BQ14" s="88">
        <v>-235.0931980091728</v>
      </c>
      <c r="BR14" s="88">
        <v>-235.18806584094011</v>
      </c>
      <c r="BS14" s="88">
        <v>-235.2814782982424</v>
      </c>
      <c r="BT14" s="88">
        <v>-235.37496498850351</v>
      </c>
      <c r="BU14" s="88">
        <v>-235.46852600025761</v>
      </c>
      <c r="BV14" s="88">
        <v>-235.5621614221707</v>
      </c>
      <c r="BW14" s="88">
        <v>0</v>
      </c>
      <c r="BX14" s="88">
        <v>0</v>
      </c>
      <c r="BY14" s="88">
        <v>0</v>
      </c>
      <c r="BZ14" s="88">
        <v>0</v>
      </c>
      <c r="CA14" s="88">
        <v>0</v>
      </c>
      <c r="CB14" s="88">
        <v>0</v>
      </c>
      <c r="CC14" s="88">
        <v>0</v>
      </c>
      <c r="CD14" s="88">
        <v>0</v>
      </c>
      <c r="CE14" s="88">
        <v>0</v>
      </c>
      <c r="CF14" s="88">
        <v>0</v>
      </c>
      <c r="CG14" s="88">
        <v>0</v>
      </c>
      <c r="CH14" s="88">
        <v>0</v>
      </c>
      <c r="CI14" s="88">
        <v>49500</v>
      </c>
      <c r="CJ14" s="88">
        <v>49500</v>
      </c>
      <c r="CK14" s="88">
        <v>49500</v>
      </c>
      <c r="CL14" s="88">
        <v>49500</v>
      </c>
      <c r="CM14" s="88">
        <v>49500</v>
      </c>
      <c r="CN14" s="88">
        <v>49500</v>
      </c>
      <c r="CO14" s="88">
        <v>49500</v>
      </c>
      <c r="CP14" s="88">
        <v>49500</v>
      </c>
      <c r="CQ14" s="88">
        <v>49500</v>
      </c>
      <c r="CR14" s="88">
        <v>49500</v>
      </c>
      <c r="CS14" s="88">
        <v>49500</v>
      </c>
      <c r="CT14" s="88">
        <v>49500</v>
      </c>
      <c r="CU14" s="88">
        <v>-234.54081665768871</v>
      </c>
      <c r="CV14" s="88">
        <v>-234.63066853669881</v>
      </c>
      <c r="CW14" s="88">
        <v>-234.7205892860629</v>
      </c>
      <c r="CX14" s="88">
        <v>-234.8136306924512</v>
      </c>
      <c r="CY14" s="88">
        <v>-234.9067458898638</v>
      </c>
      <c r="CZ14" s="88">
        <v>-234.99993496611501</v>
      </c>
      <c r="DA14" s="88">
        <v>-235.0931980091728</v>
      </c>
      <c r="DB14" s="88">
        <v>-235.18806584094011</v>
      </c>
      <c r="DC14" s="88">
        <v>-235.2814782982424</v>
      </c>
      <c r="DD14" s="88">
        <v>-235.37496498850351</v>
      </c>
      <c r="DE14" s="88">
        <v>-235.46852600025761</v>
      </c>
      <c r="DF14" s="88">
        <v>-235.5621614221707</v>
      </c>
      <c r="DG14" s="93">
        <v>46023</v>
      </c>
      <c r="DH14" s="91">
        <v>0.04</v>
      </c>
      <c r="DI14" t="s">
        <v>301</v>
      </c>
      <c r="DJ14" s="93"/>
      <c r="DK14" s="91"/>
      <c r="DM14" s="93"/>
      <c r="DN14" s="91"/>
      <c r="DP14" s="93"/>
      <c r="DQ14" s="91"/>
    </row>
    <row r="15" spans="1:122" x14ac:dyDescent="0.3">
      <c r="A15" t="s">
        <v>22</v>
      </c>
      <c r="B15" t="s">
        <v>42</v>
      </c>
      <c r="C15" t="s">
        <v>85</v>
      </c>
      <c r="D15" t="s">
        <v>327</v>
      </c>
      <c r="E15" t="s">
        <v>328</v>
      </c>
      <c r="F15" s="86">
        <v>108000</v>
      </c>
      <c r="G15" s="87">
        <v>12</v>
      </c>
      <c r="H15" s="88">
        <v>1.05</v>
      </c>
      <c r="I15" s="88">
        <v>1.061638888888889</v>
      </c>
      <c r="J15" s="89">
        <v>0.84199580598103541</v>
      </c>
      <c r="K15" s="88">
        <v>0.9890368664800232</v>
      </c>
      <c r="L15" s="88">
        <v>1.0095062160192581</v>
      </c>
      <c r="M15" s="88">
        <v>1</v>
      </c>
      <c r="N15" s="90">
        <v>0.64200000000000002</v>
      </c>
      <c r="O15" s="90">
        <v>0.64099775106279444</v>
      </c>
      <c r="P15" s="90">
        <v>0.61902907619269565</v>
      </c>
      <c r="Q15" s="91">
        <v>0</v>
      </c>
      <c r="R15" s="88">
        <v>0.96269554753309272</v>
      </c>
      <c r="S15" s="88">
        <v>1.0015832599613119</v>
      </c>
      <c r="T15" s="91">
        <v>1.108465608465603E-2</v>
      </c>
      <c r="U15" s="91">
        <v>2.7362045056124051E-2</v>
      </c>
      <c r="V15" s="87">
        <v>0</v>
      </c>
      <c r="W15" s="91">
        <v>0</v>
      </c>
      <c r="X15" s="87">
        <v>1</v>
      </c>
      <c r="Y15" s="90">
        <v>0.64099775106279444</v>
      </c>
      <c r="Z15" s="90">
        <v>0.61902907619269565</v>
      </c>
      <c r="AA15" s="92">
        <v>0</v>
      </c>
      <c r="AB15" s="88">
        <v>0</v>
      </c>
      <c r="AC15" s="87">
        <v>1</v>
      </c>
      <c r="AD15" s="87">
        <v>1</v>
      </c>
      <c r="AE15" s="88">
        <v>1.034166666666666</v>
      </c>
      <c r="AF15" s="88">
        <v>1.009530917047716</v>
      </c>
      <c r="AG15" s="88">
        <v>1.044023055419492</v>
      </c>
      <c r="AH15" s="88">
        <v>113400</v>
      </c>
      <c r="AI15" s="88">
        <v>114657</v>
      </c>
      <c r="AJ15" s="88">
        <v>90935.547045951826</v>
      </c>
      <c r="AK15" s="88">
        <v>106815.9815798425</v>
      </c>
      <c r="AL15" s="88">
        <v>109026.6713300798</v>
      </c>
      <c r="AM15" s="88">
        <v>108000</v>
      </c>
      <c r="AN15" s="88">
        <v>69336</v>
      </c>
      <c r="AO15" s="88">
        <v>69227.757114781794</v>
      </c>
      <c r="AP15" s="88">
        <v>66855.140228811128</v>
      </c>
      <c r="AQ15" s="88">
        <v>0</v>
      </c>
      <c r="AR15" s="88">
        <v>103971.119133574</v>
      </c>
      <c r="AS15" s="88">
        <v>108170.9920758217</v>
      </c>
      <c r="AT15" s="88">
        <v>69227.757114781794</v>
      </c>
      <c r="AU15" s="88">
        <v>66855.140228811128</v>
      </c>
      <c r="AV15" s="88">
        <v>91800</v>
      </c>
      <c r="AW15" s="88">
        <v>90720</v>
      </c>
      <c r="AX15" s="88">
        <v>91800</v>
      </c>
      <c r="AY15" s="88">
        <v>108000</v>
      </c>
      <c r="AZ15" s="88">
        <v>108000</v>
      </c>
      <c r="BA15" s="88">
        <v>108000</v>
      </c>
      <c r="BB15" s="88">
        <v>108000</v>
      </c>
      <c r="BC15" s="88">
        <v>108000</v>
      </c>
      <c r="BD15" s="88">
        <v>108000</v>
      </c>
      <c r="BE15" s="88">
        <v>108000</v>
      </c>
      <c r="BF15" s="88">
        <v>108000</v>
      </c>
      <c r="BG15" s="88">
        <v>108000</v>
      </c>
      <c r="BH15" s="88">
        <v>108000</v>
      </c>
      <c r="BI15" s="88">
        <v>108000</v>
      </c>
      <c r="BJ15" s="88">
        <v>108000</v>
      </c>
      <c r="BK15" s="88">
        <v>6485.5089757543337</v>
      </c>
      <c r="BL15" s="88">
        <v>1033.0188679245159</v>
      </c>
      <c r="BM15" s="88">
        <v>1032.220898414487</v>
      </c>
      <c r="BN15" s="88">
        <v>5392.6530612244906</v>
      </c>
      <c r="BO15" s="88">
        <v>5391.7977542777271</v>
      </c>
      <c r="BP15" s="88">
        <v>5390.9438102452968</v>
      </c>
      <c r="BQ15" s="88">
        <v>5390.0912258721164</v>
      </c>
      <c r="BR15" s="88">
        <v>5389.2260546391399</v>
      </c>
      <c r="BS15" s="88">
        <v>5388.3762020170489</v>
      </c>
      <c r="BT15" s="88">
        <v>5387.5276992982581</v>
      </c>
      <c r="BU15" s="88">
        <v>5386.6805432689789</v>
      </c>
      <c r="BV15" s="88">
        <v>5385.8347307257591</v>
      </c>
      <c r="BW15" s="88">
        <v>5400.0000000000045</v>
      </c>
      <c r="BX15" s="88">
        <v>0</v>
      </c>
      <c r="BY15" s="88">
        <v>0</v>
      </c>
      <c r="BZ15" s="88">
        <v>4320.0000000000036</v>
      </c>
      <c r="CA15" s="88">
        <v>4320.0000000000036</v>
      </c>
      <c r="CB15" s="88">
        <v>4320.0000000000036</v>
      </c>
      <c r="CC15" s="88">
        <v>4320.0000000000036</v>
      </c>
      <c r="CD15" s="88">
        <v>4320.0000000000036</v>
      </c>
      <c r="CE15" s="88">
        <v>4320.0000000000036</v>
      </c>
      <c r="CF15" s="88">
        <v>4320.0000000000036</v>
      </c>
      <c r="CG15" s="88">
        <v>4320.0000000000036</v>
      </c>
      <c r="CH15" s="88">
        <v>4320.0000000000036</v>
      </c>
      <c r="CI15" s="88">
        <v>108000</v>
      </c>
      <c r="CJ15" s="88">
        <v>108000</v>
      </c>
      <c r="CK15" s="88">
        <v>108000</v>
      </c>
      <c r="CL15" s="88">
        <v>108000</v>
      </c>
      <c r="CM15" s="88">
        <v>108000</v>
      </c>
      <c r="CN15" s="88">
        <v>108000</v>
      </c>
      <c r="CO15" s="88">
        <v>108000</v>
      </c>
      <c r="CP15" s="88">
        <v>108000</v>
      </c>
      <c r="CQ15" s="88">
        <v>108000</v>
      </c>
      <c r="CR15" s="88">
        <v>108000</v>
      </c>
      <c r="CS15" s="88">
        <v>108000</v>
      </c>
      <c r="CT15" s="88">
        <v>108000</v>
      </c>
      <c r="CU15" s="88">
        <v>1033.818072146973</v>
      </c>
      <c r="CV15" s="88">
        <v>1033.0188679245159</v>
      </c>
      <c r="CW15" s="88">
        <v>1032.220898414487</v>
      </c>
      <c r="CX15" s="88">
        <v>1031.397174254317</v>
      </c>
      <c r="CY15" s="88">
        <v>1030.574763728572</v>
      </c>
      <c r="CZ15" s="88">
        <v>1029.7536636973971</v>
      </c>
      <c r="DA15" s="88">
        <v>1028.9338710308859</v>
      </c>
      <c r="DB15" s="88">
        <v>1028.101975614549</v>
      </c>
      <c r="DC15" s="88">
        <v>1027.28480963178</v>
      </c>
      <c r="DD15" s="88">
        <v>1026.468941632932</v>
      </c>
      <c r="DE15" s="88">
        <v>1025.65436852786</v>
      </c>
      <c r="DF15" s="88">
        <v>1024.8410872362999</v>
      </c>
      <c r="DG15" s="93">
        <v>46054</v>
      </c>
      <c r="DH15" s="91">
        <v>0.05</v>
      </c>
      <c r="DI15" t="s">
        <v>301</v>
      </c>
      <c r="DJ15" s="93">
        <v>46478</v>
      </c>
      <c r="DK15" s="91">
        <v>0.04</v>
      </c>
      <c r="DL15" t="s">
        <v>302</v>
      </c>
      <c r="DM15" s="93"/>
      <c r="DN15" s="91"/>
      <c r="DP15" s="93"/>
      <c r="DQ15" s="91"/>
    </row>
    <row r="16" spans="1:122" x14ac:dyDescent="0.3">
      <c r="A16" t="s">
        <v>22</v>
      </c>
      <c r="B16" t="s">
        <v>42</v>
      </c>
      <c r="C16" t="s">
        <v>87</v>
      </c>
      <c r="D16" t="s">
        <v>329</v>
      </c>
      <c r="E16" t="s">
        <v>330</v>
      </c>
      <c r="F16" s="86">
        <v>90000</v>
      </c>
      <c r="G16" s="87">
        <v>12</v>
      </c>
      <c r="H16" s="88">
        <v>1</v>
      </c>
      <c r="I16" s="88">
        <v>1</v>
      </c>
      <c r="J16" s="89">
        <v>0.8380041940189642</v>
      </c>
      <c r="K16" s="88">
        <v>1</v>
      </c>
      <c r="L16" s="88">
        <v>1.0143147326309969</v>
      </c>
      <c r="M16" s="88">
        <v>1</v>
      </c>
      <c r="N16" s="90">
        <v>0.67</v>
      </c>
      <c r="O16" s="90">
        <v>0.67959087086276815</v>
      </c>
      <c r="P16" s="90">
        <v>0.68503560995950163</v>
      </c>
      <c r="Q16" s="91">
        <v>0</v>
      </c>
      <c r="R16" s="88">
        <v>1</v>
      </c>
      <c r="S16" s="88">
        <v>1.022441208894779</v>
      </c>
      <c r="T16" s="91">
        <v>0</v>
      </c>
      <c r="U16" s="91">
        <v>0</v>
      </c>
      <c r="V16" s="87">
        <v>0</v>
      </c>
      <c r="W16" s="91">
        <v>0</v>
      </c>
      <c r="X16" s="87">
        <v>1</v>
      </c>
      <c r="Y16" s="90">
        <v>0.67959087086276815</v>
      </c>
      <c r="Z16" s="90">
        <v>0.68503560995950163</v>
      </c>
      <c r="AA16" s="92">
        <v>0</v>
      </c>
      <c r="AB16" s="88">
        <v>0</v>
      </c>
      <c r="AC16" s="87">
        <v>0</v>
      </c>
      <c r="AD16" s="87">
        <v>0</v>
      </c>
      <c r="AE16" s="88">
        <v>1</v>
      </c>
      <c r="AF16" s="88">
        <v>0.99051430760215442</v>
      </c>
      <c r="AG16" s="88">
        <v>0.99051430760215442</v>
      </c>
      <c r="AH16" s="88">
        <v>90000</v>
      </c>
      <c r="AI16" s="88">
        <v>90000</v>
      </c>
      <c r="AJ16" s="88">
        <v>75420.377461706783</v>
      </c>
      <c r="AK16" s="88">
        <v>90000</v>
      </c>
      <c r="AL16" s="88">
        <v>91288.325936789741</v>
      </c>
      <c r="AM16" s="88">
        <v>90000</v>
      </c>
      <c r="AN16" s="88">
        <v>60300</v>
      </c>
      <c r="AO16" s="88">
        <v>61163.178377649143</v>
      </c>
      <c r="AP16" s="88">
        <v>61653.20489635515</v>
      </c>
      <c r="AQ16" s="88">
        <v>0</v>
      </c>
      <c r="AR16" s="88">
        <v>90000</v>
      </c>
      <c r="AS16" s="88">
        <v>92019.708800530061</v>
      </c>
      <c r="AT16" s="88">
        <v>61163.178377649143</v>
      </c>
      <c r="AU16" s="88">
        <v>61653.20489635515</v>
      </c>
      <c r="AV16" s="88">
        <v>76500</v>
      </c>
      <c r="AW16" s="88">
        <v>75600</v>
      </c>
      <c r="AX16" s="88">
        <v>74700</v>
      </c>
      <c r="AY16" s="88">
        <v>90000</v>
      </c>
      <c r="AZ16" s="88">
        <v>90000</v>
      </c>
      <c r="BA16" s="88">
        <v>90000</v>
      </c>
      <c r="BB16" s="88">
        <v>90000</v>
      </c>
      <c r="BC16" s="88">
        <v>90000</v>
      </c>
      <c r="BD16" s="88">
        <v>90000</v>
      </c>
      <c r="BE16" s="88">
        <v>90000</v>
      </c>
      <c r="BF16" s="88">
        <v>90000</v>
      </c>
      <c r="BG16" s="88">
        <v>90000</v>
      </c>
      <c r="BH16" s="88">
        <v>90000</v>
      </c>
      <c r="BI16" s="88">
        <v>90000</v>
      </c>
      <c r="BJ16" s="88">
        <v>90000</v>
      </c>
      <c r="BK16" s="88">
        <v>-850.03428601001406</v>
      </c>
      <c r="BL16" s="88">
        <v>-850.68365444374899</v>
      </c>
      <c r="BM16" s="88">
        <v>-851.33401578272208</v>
      </c>
      <c r="BN16" s="88">
        <v>-852.00746965452106</v>
      </c>
      <c r="BO16" s="88">
        <v>-852.68198985087861</v>
      </c>
      <c r="BP16" s="88">
        <v>-853.3575789063475</v>
      </c>
      <c r="BQ16" s="88">
        <v>-854.03423936356364</v>
      </c>
      <c r="BR16" s="88">
        <v>-854.72309313490814</v>
      </c>
      <c r="BS16" s="88">
        <v>-855.40192172485763</v>
      </c>
      <c r="BT16" s="88">
        <v>-856.08182943515021</v>
      </c>
      <c r="BU16" s="88">
        <v>-856.7628188409559</v>
      </c>
      <c r="BV16" s="88">
        <v>-857.44489252574829</v>
      </c>
      <c r="BW16" s="88">
        <v>0</v>
      </c>
      <c r="BX16" s="88">
        <v>0</v>
      </c>
      <c r="BY16" s="88">
        <v>0</v>
      </c>
      <c r="BZ16" s="88">
        <v>0</v>
      </c>
      <c r="CA16" s="88">
        <v>0</v>
      </c>
      <c r="CB16" s="88">
        <v>0</v>
      </c>
      <c r="CC16" s="88">
        <v>0</v>
      </c>
      <c r="CD16" s="88">
        <v>0</v>
      </c>
      <c r="CE16" s="88">
        <v>0</v>
      </c>
      <c r="CF16" s="88">
        <v>0</v>
      </c>
      <c r="CG16" s="88">
        <v>0</v>
      </c>
      <c r="CH16" s="88">
        <v>0</v>
      </c>
      <c r="CI16" s="88">
        <v>90000</v>
      </c>
      <c r="CJ16" s="88">
        <v>90000</v>
      </c>
      <c r="CK16" s="88">
        <v>90000</v>
      </c>
      <c r="CL16" s="88">
        <v>90000</v>
      </c>
      <c r="CM16" s="88">
        <v>90000</v>
      </c>
      <c r="CN16" s="88">
        <v>90000</v>
      </c>
      <c r="CO16" s="88">
        <v>90000</v>
      </c>
      <c r="CP16" s="88">
        <v>90000</v>
      </c>
      <c r="CQ16" s="88">
        <v>90000</v>
      </c>
      <c r="CR16" s="88">
        <v>90000</v>
      </c>
      <c r="CS16" s="88">
        <v>90000</v>
      </c>
      <c r="CT16" s="88">
        <v>90000</v>
      </c>
      <c r="CU16" s="88">
        <v>-850.03428601001406</v>
      </c>
      <c r="CV16" s="88">
        <v>-850.68365444374899</v>
      </c>
      <c r="CW16" s="88">
        <v>-851.33401578272208</v>
      </c>
      <c r="CX16" s="88">
        <v>-852.00746965452106</v>
      </c>
      <c r="CY16" s="88">
        <v>-852.68198985087861</v>
      </c>
      <c r="CZ16" s="88">
        <v>-853.3575789063475</v>
      </c>
      <c r="DA16" s="88">
        <v>-854.03423936356364</v>
      </c>
      <c r="DB16" s="88">
        <v>-854.72309313490814</v>
      </c>
      <c r="DC16" s="88">
        <v>-855.40192172485763</v>
      </c>
      <c r="DD16" s="88">
        <v>-856.08182943515021</v>
      </c>
      <c r="DE16" s="88">
        <v>-856.7628188409559</v>
      </c>
      <c r="DF16" s="88">
        <v>-857.44489252574829</v>
      </c>
      <c r="DG16" s="93"/>
      <c r="DH16" s="91"/>
      <c r="DJ16" s="93"/>
      <c r="DK16" s="91"/>
      <c r="DM16" s="93"/>
      <c r="DN16" s="91"/>
      <c r="DP16" s="93"/>
      <c r="DQ16" s="91"/>
    </row>
    <row r="17" spans="1:121" x14ac:dyDescent="0.3">
      <c r="A17" t="s">
        <v>22</v>
      </c>
      <c r="B17" t="s">
        <v>42</v>
      </c>
      <c r="C17" t="s">
        <v>89</v>
      </c>
      <c r="D17" t="s">
        <v>331</v>
      </c>
      <c r="E17" t="s">
        <v>332</v>
      </c>
      <c r="F17" s="86">
        <v>72000</v>
      </c>
      <c r="G17" s="87">
        <v>12</v>
      </c>
      <c r="H17" s="88">
        <v>1.02</v>
      </c>
      <c r="I17" s="88">
        <v>1.0193749999999999</v>
      </c>
      <c r="J17" s="89">
        <v>0.84099790299051769</v>
      </c>
      <c r="K17" s="88">
        <v>1.000613120784795</v>
      </c>
      <c r="L17" s="88">
        <v>1.0107040659405591</v>
      </c>
      <c r="M17" s="88">
        <v>1</v>
      </c>
      <c r="N17" s="90">
        <v>0.65400000000000003</v>
      </c>
      <c r="O17" s="90">
        <v>0.66140573224537402</v>
      </c>
      <c r="P17" s="90">
        <v>0.65839328162062394</v>
      </c>
      <c r="Q17" s="91">
        <v>0</v>
      </c>
      <c r="R17" s="88">
        <v>1</v>
      </c>
      <c r="S17" s="88">
        <v>1.006717555994838</v>
      </c>
      <c r="T17" s="91">
        <v>-6.1274509803932453E-4</v>
      </c>
      <c r="U17" s="91">
        <v>6.1312078479458521E-4</v>
      </c>
      <c r="V17" s="87">
        <v>0</v>
      </c>
      <c r="W17" s="91">
        <v>0</v>
      </c>
      <c r="X17" s="87">
        <v>1</v>
      </c>
      <c r="Y17" s="90">
        <v>0.66140573224537402</v>
      </c>
      <c r="Z17" s="90">
        <v>0.65839328162062394</v>
      </c>
      <c r="AA17" s="92">
        <v>0</v>
      </c>
      <c r="AB17" s="88">
        <v>0</v>
      </c>
      <c r="AC17" s="87">
        <v>1</v>
      </c>
      <c r="AD17" s="87">
        <v>0</v>
      </c>
      <c r="AE17" s="88">
        <v>1.0049999999999999</v>
      </c>
      <c r="AF17" s="88">
        <v>1.00475975841704</v>
      </c>
      <c r="AG17" s="88">
        <v>1.0097835996693361</v>
      </c>
      <c r="AH17" s="88">
        <v>73440</v>
      </c>
      <c r="AI17" s="88">
        <v>73395</v>
      </c>
      <c r="AJ17" s="88">
        <v>60551.849015317282</v>
      </c>
      <c r="AK17" s="88">
        <v>72044.144696505231</v>
      </c>
      <c r="AL17" s="88">
        <v>72770.692747720241</v>
      </c>
      <c r="AM17" s="88">
        <v>72000</v>
      </c>
      <c r="AN17" s="88">
        <v>47088</v>
      </c>
      <c r="AO17" s="88">
        <v>47621.212721666932</v>
      </c>
      <c r="AP17" s="88">
        <v>47404.31627668492</v>
      </c>
      <c r="AQ17" s="88">
        <v>0</v>
      </c>
      <c r="AR17" s="88">
        <v>72000.000000000015</v>
      </c>
      <c r="AS17" s="88">
        <v>72483.664031628301</v>
      </c>
      <c r="AT17" s="88">
        <v>47621.212721666932</v>
      </c>
      <c r="AU17" s="88">
        <v>47404.31627668492</v>
      </c>
      <c r="AV17" s="88">
        <v>61200</v>
      </c>
      <c r="AW17" s="88">
        <v>60480</v>
      </c>
      <c r="AX17" s="88">
        <v>60840</v>
      </c>
      <c r="AY17" s="88">
        <v>72000</v>
      </c>
      <c r="AZ17" s="88">
        <v>72000</v>
      </c>
      <c r="BA17" s="88">
        <v>72000</v>
      </c>
      <c r="BB17" s="88">
        <v>72000</v>
      </c>
      <c r="BC17" s="88">
        <v>72000</v>
      </c>
      <c r="BD17" s="88">
        <v>72000</v>
      </c>
      <c r="BE17" s="88">
        <v>72000</v>
      </c>
      <c r="BF17" s="88">
        <v>72000</v>
      </c>
      <c r="BG17" s="88">
        <v>72000</v>
      </c>
      <c r="BH17" s="88">
        <v>72000</v>
      </c>
      <c r="BI17" s="88">
        <v>72000</v>
      </c>
      <c r="BJ17" s="88">
        <v>72000</v>
      </c>
      <c r="BK17" s="88">
        <v>1790.3152832321539</v>
      </c>
      <c r="BL17" s="88">
        <v>1790.1802790406159</v>
      </c>
      <c r="BM17" s="88">
        <v>1790.0453788645459</v>
      </c>
      <c r="BN17" s="88">
        <v>343.04511278195088</v>
      </c>
      <c r="BO17" s="88">
        <v>342.9085903299196</v>
      </c>
      <c r="BP17" s="88">
        <v>342.77217649896841</v>
      </c>
      <c r="BQ17" s="88">
        <v>342.635871159521</v>
      </c>
      <c r="BR17" s="88">
        <v>342.49744234691627</v>
      </c>
      <c r="BS17" s="88">
        <v>342.36135537578429</v>
      </c>
      <c r="BT17" s="88">
        <v>342.22537650651577</v>
      </c>
      <c r="BU17" s="88">
        <v>342.08950561036568</v>
      </c>
      <c r="BV17" s="88">
        <v>341.95374255879688</v>
      </c>
      <c r="BW17" s="88">
        <v>1440.0000000000009</v>
      </c>
      <c r="BX17" s="88">
        <v>1440.0000000000009</v>
      </c>
      <c r="BY17" s="88">
        <v>1440.0000000000009</v>
      </c>
      <c r="BZ17" s="88">
        <v>0</v>
      </c>
      <c r="CA17" s="88">
        <v>0</v>
      </c>
      <c r="CB17" s="88">
        <v>0</v>
      </c>
      <c r="CC17" s="88">
        <v>0</v>
      </c>
      <c r="CD17" s="88">
        <v>0</v>
      </c>
      <c r="CE17" s="88">
        <v>0</v>
      </c>
      <c r="CF17" s="88">
        <v>0</v>
      </c>
      <c r="CG17" s="88">
        <v>0</v>
      </c>
      <c r="CH17" s="88">
        <v>0</v>
      </c>
      <c r="CI17" s="88">
        <v>72000</v>
      </c>
      <c r="CJ17" s="88">
        <v>72000</v>
      </c>
      <c r="CK17" s="88">
        <v>72000</v>
      </c>
      <c r="CL17" s="88">
        <v>72000</v>
      </c>
      <c r="CM17" s="88">
        <v>72000</v>
      </c>
      <c r="CN17" s="88">
        <v>72000</v>
      </c>
      <c r="CO17" s="88">
        <v>72000</v>
      </c>
      <c r="CP17" s="88">
        <v>72000</v>
      </c>
      <c r="CQ17" s="88">
        <v>72000</v>
      </c>
      <c r="CR17" s="88">
        <v>72000</v>
      </c>
      <c r="CS17" s="88">
        <v>72000</v>
      </c>
      <c r="CT17" s="88">
        <v>72000</v>
      </c>
      <c r="CU17" s="88">
        <v>343.44635610995408</v>
      </c>
      <c r="CV17" s="88">
        <v>343.31399905941851</v>
      </c>
      <c r="CW17" s="88">
        <v>343.18174398484649</v>
      </c>
      <c r="CX17" s="88">
        <v>343.04511278195088</v>
      </c>
      <c r="CY17" s="88">
        <v>342.9085903299196</v>
      </c>
      <c r="CZ17" s="88">
        <v>342.77217649896841</v>
      </c>
      <c r="DA17" s="88">
        <v>342.635871159521</v>
      </c>
      <c r="DB17" s="88">
        <v>342.49744234691627</v>
      </c>
      <c r="DC17" s="88">
        <v>342.36135537578429</v>
      </c>
      <c r="DD17" s="88">
        <v>342.22537650651577</v>
      </c>
      <c r="DE17" s="88">
        <v>342.08950561036568</v>
      </c>
      <c r="DF17" s="88">
        <v>341.95374255879688</v>
      </c>
      <c r="DG17" s="93">
        <v>46113</v>
      </c>
      <c r="DH17" s="91">
        <v>0.02</v>
      </c>
      <c r="DI17" t="s">
        <v>301</v>
      </c>
      <c r="DJ17" s="93"/>
      <c r="DK17" s="91"/>
      <c r="DM17" s="93"/>
      <c r="DN17" s="91"/>
      <c r="DP17" s="93"/>
      <c r="DQ17" s="91"/>
    </row>
    <row r="18" spans="1:121" x14ac:dyDescent="0.3">
      <c r="A18" t="s">
        <v>22</v>
      </c>
      <c r="B18" t="s">
        <v>42</v>
      </c>
      <c r="C18" t="s">
        <v>91</v>
      </c>
      <c r="D18" t="s">
        <v>333</v>
      </c>
      <c r="E18" t="s">
        <v>334</v>
      </c>
      <c r="F18" s="86">
        <v>54000</v>
      </c>
      <c r="G18" s="87">
        <v>12</v>
      </c>
      <c r="H18" s="88">
        <v>1.03</v>
      </c>
      <c r="I18" s="88">
        <v>1.028333333333334</v>
      </c>
      <c r="J18" s="89">
        <v>0.84399161196207151</v>
      </c>
      <c r="K18" s="88">
        <v>1.00162074554295</v>
      </c>
      <c r="L18" s="88">
        <v>1.0071190139247479</v>
      </c>
      <c r="M18" s="88">
        <v>1</v>
      </c>
      <c r="N18" s="90">
        <v>0.63800000000000001</v>
      </c>
      <c r="O18" s="90">
        <v>0.64358332785462757</v>
      </c>
      <c r="P18" s="90">
        <v>0.63255798256709916</v>
      </c>
      <c r="Q18" s="91">
        <v>0</v>
      </c>
      <c r="R18" s="88">
        <v>0.99999999999999978</v>
      </c>
      <c r="S18" s="88">
        <v>0.99147019211144083</v>
      </c>
      <c r="T18" s="91">
        <v>-1.618122977346093E-3</v>
      </c>
      <c r="U18" s="91">
        <v>1.620745542949775E-3</v>
      </c>
      <c r="V18" s="87">
        <v>0</v>
      </c>
      <c r="W18" s="91">
        <v>0</v>
      </c>
      <c r="X18" s="87">
        <v>1</v>
      </c>
      <c r="Y18" s="90">
        <v>0.64358332785462757</v>
      </c>
      <c r="Z18" s="90">
        <v>0.63255798256709916</v>
      </c>
      <c r="AA18" s="92">
        <v>0</v>
      </c>
      <c r="AB18" s="88">
        <v>0</v>
      </c>
      <c r="AC18" s="87">
        <v>1</v>
      </c>
      <c r="AD18" s="87">
        <v>0</v>
      </c>
      <c r="AE18" s="88">
        <v>1.01</v>
      </c>
      <c r="AF18" s="88">
        <v>1.0191078169498311</v>
      </c>
      <c r="AG18" s="88">
        <v>1.0293001151030601</v>
      </c>
      <c r="AH18" s="88">
        <v>55620</v>
      </c>
      <c r="AI18" s="88">
        <v>55530.000000000007</v>
      </c>
      <c r="AJ18" s="88">
        <v>45575.547045951862</v>
      </c>
      <c r="AK18" s="88">
        <v>54087.520259319273</v>
      </c>
      <c r="AL18" s="88">
        <v>54384.426751936393</v>
      </c>
      <c r="AM18" s="88">
        <v>54000</v>
      </c>
      <c r="AN18" s="88">
        <v>34452</v>
      </c>
      <c r="AO18" s="88">
        <v>34753.499704149886</v>
      </c>
      <c r="AP18" s="88">
        <v>34158.131058623352</v>
      </c>
      <c r="AQ18" s="88">
        <v>0</v>
      </c>
      <c r="AR18" s="88">
        <v>53999.999999999993</v>
      </c>
      <c r="AS18" s="88">
        <v>53539.390374017807</v>
      </c>
      <c r="AT18" s="88">
        <v>34753.499704149886</v>
      </c>
      <c r="AU18" s="88">
        <v>34158.131058623352</v>
      </c>
      <c r="AV18" s="88">
        <v>45900</v>
      </c>
      <c r="AW18" s="88">
        <v>45360</v>
      </c>
      <c r="AX18" s="88">
        <v>46440</v>
      </c>
      <c r="AY18" s="88">
        <v>54000</v>
      </c>
      <c r="AZ18" s="88">
        <v>54000</v>
      </c>
      <c r="BA18" s="88">
        <v>54000</v>
      </c>
      <c r="BB18" s="88">
        <v>54000</v>
      </c>
      <c r="BC18" s="88">
        <v>54000</v>
      </c>
      <c r="BD18" s="88">
        <v>54000</v>
      </c>
      <c r="BE18" s="88">
        <v>54000</v>
      </c>
      <c r="BF18" s="88">
        <v>54000</v>
      </c>
      <c r="BG18" s="88">
        <v>54000</v>
      </c>
      <c r="BH18" s="88">
        <v>54000</v>
      </c>
      <c r="BI18" s="88">
        <v>54000</v>
      </c>
      <c r="BJ18" s="88">
        <v>54000</v>
      </c>
      <c r="BK18" s="88">
        <v>2692.072452670765</v>
      </c>
      <c r="BL18" s="88">
        <v>2690.4049351471099</v>
      </c>
      <c r="BM18" s="88">
        <v>2688.7425969308511</v>
      </c>
      <c r="BN18" s="88">
        <v>2687.0293282876082</v>
      </c>
      <c r="BO18" s="88">
        <v>1034.2927610001821</v>
      </c>
      <c r="BP18" s="88">
        <v>1032.6400167653401</v>
      </c>
      <c r="BQ18" s="88">
        <v>1030.9925460965089</v>
      </c>
      <c r="BR18" s="88">
        <v>1029.323445700709</v>
      </c>
      <c r="BS18" s="88">
        <v>1027.6865321445389</v>
      </c>
      <c r="BT18" s="88">
        <v>1026.0548166271799</v>
      </c>
      <c r="BU18" s="88">
        <v>1024.4282744282709</v>
      </c>
      <c r="BV18" s="88">
        <v>1022.806880983889</v>
      </c>
      <c r="BW18" s="88">
        <v>1620.0000000000009</v>
      </c>
      <c r="BX18" s="88">
        <v>1620.0000000000009</v>
      </c>
      <c r="BY18" s="88">
        <v>1620.0000000000009</v>
      </c>
      <c r="BZ18" s="88">
        <v>1620.0000000000009</v>
      </c>
      <c r="CA18" s="88">
        <v>0</v>
      </c>
      <c r="CB18" s="88">
        <v>0</v>
      </c>
      <c r="CC18" s="88">
        <v>0</v>
      </c>
      <c r="CD18" s="88">
        <v>0</v>
      </c>
      <c r="CE18" s="88">
        <v>0</v>
      </c>
      <c r="CF18" s="88">
        <v>0</v>
      </c>
      <c r="CG18" s="88">
        <v>0</v>
      </c>
      <c r="CH18" s="88">
        <v>0</v>
      </c>
      <c r="CI18" s="88">
        <v>54000</v>
      </c>
      <c r="CJ18" s="88">
        <v>54000</v>
      </c>
      <c r="CK18" s="88">
        <v>54000</v>
      </c>
      <c r="CL18" s="88">
        <v>54000</v>
      </c>
      <c r="CM18" s="88">
        <v>54000</v>
      </c>
      <c r="CN18" s="88">
        <v>54000</v>
      </c>
      <c r="CO18" s="88">
        <v>54000</v>
      </c>
      <c r="CP18" s="88">
        <v>54000</v>
      </c>
      <c r="CQ18" s="88">
        <v>54000</v>
      </c>
      <c r="CR18" s="88">
        <v>54000</v>
      </c>
      <c r="CS18" s="88">
        <v>54000</v>
      </c>
      <c r="CT18" s="88">
        <v>54000</v>
      </c>
      <c r="CU18" s="88">
        <v>1040.8470414279291</v>
      </c>
      <c r="CV18" s="88">
        <v>1039.2280923758351</v>
      </c>
      <c r="CW18" s="88">
        <v>1037.614171777527</v>
      </c>
      <c r="CX18" s="88">
        <v>1035.950804162728</v>
      </c>
      <c r="CY18" s="88">
        <v>1034.2927610001821</v>
      </c>
      <c r="CZ18" s="88">
        <v>1032.6400167653401</v>
      </c>
      <c r="DA18" s="88">
        <v>1030.9925460965089</v>
      </c>
      <c r="DB18" s="88">
        <v>1029.323445700709</v>
      </c>
      <c r="DC18" s="88">
        <v>1027.6865321445389</v>
      </c>
      <c r="DD18" s="88">
        <v>1026.0548166271799</v>
      </c>
      <c r="DE18" s="88">
        <v>1024.4282744282709</v>
      </c>
      <c r="DF18" s="88">
        <v>1022.806880983889</v>
      </c>
      <c r="DG18" s="93">
        <v>46143</v>
      </c>
      <c r="DH18" s="91">
        <v>0.03</v>
      </c>
      <c r="DI18" t="s">
        <v>301</v>
      </c>
      <c r="DJ18" s="93"/>
      <c r="DK18" s="91"/>
      <c r="DM18" s="93"/>
      <c r="DN18" s="91"/>
      <c r="DP18" s="93"/>
      <c r="DQ18" s="91"/>
    </row>
    <row r="19" spans="1:121" x14ac:dyDescent="0.3">
      <c r="A19" t="s">
        <v>22</v>
      </c>
      <c r="B19" t="s">
        <v>42</v>
      </c>
      <c r="C19" t="s">
        <v>92</v>
      </c>
      <c r="D19" t="s">
        <v>335</v>
      </c>
      <c r="E19" t="s">
        <v>336</v>
      </c>
      <c r="F19" s="86">
        <v>36000</v>
      </c>
      <c r="G19" s="87">
        <v>12</v>
      </c>
      <c r="H19" s="88">
        <v>1</v>
      </c>
      <c r="I19" s="88">
        <v>1.0034722222222221</v>
      </c>
      <c r="J19" s="89">
        <v>0.84</v>
      </c>
      <c r="K19" s="88">
        <v>0.9965397923875432</v>
      </c>
      <c r="L19" s="88">
        <v>1.0119047619047621</v>
      </c>
      <c r="M19" s="88">
        <v>1</v>
      </c>
      <c r="N19" s="90">
        <v>0.66600000000000004</v>
      </c>
      <c r="O19" s="90">
        <v>0.67159663865546215</v>
      </c>
      <c r="P19" s="90">
        <v>0.65227661167975726</v>
      </c>
      <c r="Q19" s="91">
        <v>0</v>
      </c>
      <c r="R19" s="88">
        <v>0.9678720258099206</v>
      </c>
      <c r="S19" s="88">
        <v>1.0119047619047621</v>
      </c>
      <c r="T19" s="91">
        <v>3.4722222222223209E-3</v>
      </c>
      <c r="U19" s="91">
        <v>2.9619377162629631E-2</v>
      </c>
      <c r="V19" s="87">
        <v>0</v>
      </c>
      <c r="W19" s="91">
        <v>0</v>
      </c>
      <c r="X19" s="87">
        <v>1</v>
      </c>
      <c r="Y19" s="90">
        <v>0.67159663865546215</v>
      </c>
      <c r="Z19" s="90">
        <v>0.65227661167975726</v>
      </c>
      <c r="AA19" s="92">
        <v>0</v>
      </c>
      <c r="AB19" s="88">
        <v>0</v>
      </c>
      <c r="AC19" s="87">
        <v>0</v>
      </c>
      <c r="AD19" s="87">
        <v>1</v>
      </c>
      <c r="AE19" s="88">
        <v>1.0166666666666659</v>
      </c>
      <c r="AF19" s="88">
        <v>1</v>
      </c>
      <c r="AG19" s="88">
        <v>1.0166666666666659</v>
      </c>
      <c r="AH19" s="88">
        <v>36000</v>
      </c>
      <c r="AI19" s="88">
        <v>36125</v>
      </c>
      <c r="AJ19" s="88">
        <v>30240</v>
      </c>
      <c r="AK19" s="88">
        <v>35875.432525951554</v>
      </c>
      <c r="AL19" s="88">
        <v>36428.571428571428</v>
      </c>
      <c r="AM19" s="88">
        <v>36000</v>
      </c>
      <c r="AN19" s="88">
        <v>23976</v>
      </c>
      <c r="AO19" s="88">
        <v>24177.478991596639</v>
      </c>
      <c r="AP19" s="88">
        <v>23481.958020471258</v>
      </c>
      <c r="AQ19" s="88">
        <v>0</v>
      </c>
      <c r="AR19" s="88">
        <v>34843.39292915714</v>
      </c>
      <c r="AS19" s="88">
        <v>36428.571428571428</v>
      </c>
      <c r="AT19" s="88">
        <v>24177.478991596639</v>
      </c>
      <c r="AU19" s="88">
        <v>23481.958020471258</v>
      </c>
      <c r="AV19" s="88">
        <v>30600</v>
      </c>
      <c r="AW19" s="88">
        <v>30240</v>
      </c>
      <c r="AX19" s="88">
        <v>30240</v>
      </c>
      <c r="AY19" s="88">
        <v>36000</v>
      </c>
      <c r="AZ19" s="88">
        <v>36000</v>
      </c>
      <c r="BA19" s="88">
        <v>36000</v>
      </c>
      <c r="BB19" s="88">
        <v>36000</v>
      </c>
      <c r="BC19" s="88">
        <v>36000</v>
      </c>
      <c r="BD19" s="88">
        <v>36000</v>
      </c>
      <c r="BE19" s="88">
        <v>36000</v>
      </c>
      <c r="BF19" s="88">
        <v>36000</v>
      </c>
      <c r="BG19" s="88">
        <v>36000</v>
      </c>
      <c r="BH19" s="88">
        <v>36000</v>
      </c>
      <c r="BI19" s="88">
        <v>36000</v>
      </c>
      <c r="BJ19" s="88">
        <v>36000</v>
      </c>
      <c r="BK19" s="88">
        <v>0</v>
      </c>
      <c r="BL19" s="88">
        <v>0</v>
      </c>
      <c r="BM19" s="88">
        <v>0</v>
      </c>
      <c r="BN19" s="88">
        <v>0</v>
      </c>
      <c r="BO19" s="88">
        <v>0</v>
      </c>
      <c r="BP19" s="88">
        <v>0</v>
      </c>
      <c r="BQ19" s="88">
        <v>0</v>
      </c>
      <c r="BR19" s="88">
        <v>1440.0000000000009</v>
      </c>
      <c r="BS19" s="88">
        <v>1440.0000000000009</v>
      </c>
      <c r="BT19" s="88">
        <v>1440.0000000000009</v>
      </c>
      <c r="BU19" s="88">
        <v>1440.0000000000009</v>
      </c>
      <c r="BV19" s="88">
        <v>1440.0000000000009</v>
      </c>
      <c r="BW19" s="88">
        <v>0</v>
      </c>
      <c r="BX19" s="88">
        <v>0</v>
      </c>
      <c r="BY19" s="88">
        <v>0</v>
      </c>
      <c r="BZ19" s="88">
        <v>0</v>
      </c>
      <c r="CA19" s="88">
        <v>0</v>
      </c>
      <c r="CB19" s="88">
        <v>0</v>
      </c>
      <c r="CC19" s="88">
        <v>0</v>
      </c>
      <c r="CD19" s="88">
        <v>1440.0000000000009</v>
      </c>
      <c r="CE19" s="88">
        <v>1440.0000000000009</v>
      </c>
      <c r="CF19" s="88">
        <v>1440.0000000000009</v>
      </c>
      <c r="CG19" s="88">
        <v>1440.0000000000009</v>
      </c>
      <c r="CH19" s="88">
        <v>1440.0000000000009</v>
      </c>
      <c r="CI19" s="88">
        <v>36000</v>
      </c>
      <c r="CJ19" s="88">
        <v>36000</v>
      </c>
      <c r="CK19" s="88">
        <v>36000</v>
      </c>
      <c r="CL19" s="88">
        <v>36000</v>
      </c>
      <c r="CM19" s="88">
        <v>36000</v>
      </c>
      <c r="CN19" s="88">
        <v>36000</v>
      </c>
      <c r="CO19" s="88">
        <v>36000</v>
      </c>
      <c r="CP19" s="88">
        <v>36000</v>
      </c>
      <c r="CQ19" s="88">
        <v>36000</v>
      </c>
      <c r="CR19" s="88">
        <v>36000</v>
      </c>
      <c r="CS19" s="88">
        <v>36000</v>
      </c>
      <c r="CT19" s="88">
        <v>36000</v>
      </c>
      <c r="CU19" s="88">
        <v>0</v>
      </c>
      <c r="CV19" s="88">
        <v>0</v>
      </c>
      <c r="CW19" s="88">
        <v>0</v>
      </c>
      <c r="CX19" s="88">
        <v>0</v>
      </c>
      <c r="CY19" s="88">
        <v>0</v>
      </c>
      <c r="CZ19" s="88">
        <v>0</v>
      </c>
      <c r="DA19" s="88">
        <v>0</v>
      </c>
      <c r="DB19" s="88">
        <v>0</v>
      </c>
      <c r="DC19" s="88">
        <v>0</v>
      </c>
      <c r="DD19" s="88">
        <v>0</v>
      </c>
      <c r="DE19" s="88">
        <v>0</v>
      </c>
      <c r="DF19" s="88">
        <v>0</v>
      </c>
      <c r="DG19" s="93">
        <v>46600</v>
      </c>
      <c r="DH19" s="91">
        <v>0.04</v>
      </c>
      <c r="DI19" t="s">
        <v>302</v>
      </c>
      <c r="DJ19" s="93"/>
      <c r="DK19" s="91"/>
      <c r="DM19" s="93"/>
      <c r="DN19" s="91"/>
      <c r="DP19" s="93"/>
      <c r="DQ19" s="91"/>
    </row>
    <row r="20" spans="1:121" x14ac:dyDescent="0.3">
      <c r="A20" t="s">
        <v>22</v>
      </c>
      <c r="B20" t="s">
        <v>42</v>
      </c>
      <c r="C20" t="s">
        <v>94</v>
      </c>
      <c r="D20" t="s">
        <v>337</v>
      </c>
      <c r="E20" t="s">
        <v>338</v>
      </c>
      <c r="F20" s="86">
        <v>94500</v>
      </c>
      <c r="G20" s="87">
        <v>12</v>
      </c>
      <c r="H20" s="88">
        <v>1.05</v>
      </c>
      <c r="I20" s="88">
        <v>1.04375</v>
      </c>
      <c r="J20" s="89">
        <v>0.84299370897155379</v>
      </c>
      <c r="K20" s="88">
        <v>1.005988023952096</v>
      </c>
      <c r="L20" s="88">
        <v>1.0083112020337539</v>
      </c>
      <c r="M20" s="88">
        <v>1</v>
      </c>
      <c r="N20" s="90">
        <v>0.65</v>
      </c>
      <c r="O20" s="90">
        <v>0.65932684588075419</v>
      </c>
      <c r="P20" s="90">
        <v>0.64772569445024353</v>
      </c>
      <c r="Q20" s="91">
        <v>0</v>
      </c>
      <c r="R20" s="88">
        <v>1</v>
      </c>
      <c r="S20" s="88">
        <v>0.99650106838498997</v>
      </c>
      <c r="T20" s="91">
        <v>-5.9523809523810423E-3</v>
      </c>
      <c r="U20" s="91">
        <v>5.9880239520959666E-3</v>
      </c>
      <c r="V20" s="87">
        <v>0</v>
      </c>
      <c r="W20" s="91">
        <v>0</v>
      </c>
      <c r="X20" s="87">
        <v>1</v>
      </c>
      <c r="Y20" s="90">
        <v>0.65932684588075419</v>
      </c>
      <c r="Z20" s="90">
        <v>0.64772569445024353</v>
      </c>
      <c r="AA20" s="92">
        <v>0</v>
      </c>
      <c r="AB20" s="88">
        <v>0</v>
      </c>
      <c r="AC20" s="87">
        <v>1</v>
      </c>
      <c r="AD20" s="87">
        <v>0</v>
      </c>
      <c r="AE20" s="88">
        <v>1.0249999999999999</v>
      </c>
      <c r="AF20" s="88">
        <v>1.014313571147019</v>
      </c>
      <c r="AG20" s="88">
        <v>1.039672693805908</v>
      </c>
      <c r="AH20" s="88">
        <v>99225</v>
      </c>
      <c r="AI20" s="88">
        <v>98634.375</v>
      </c>
      <c r="AJ20" s="88">
        <v>79662.905497811837</v>
      </c>
      <c r="AK20" s="88">
        <v>95065.868263473065</v>
      </c>
      <c r="AL20" s="88">
        <v>95285.408592189749</v>
      </c>
      <c r="AM20" s="88">
        <v>94500</v>
      </c>
      <c r="AN20" s="88">
        <v>61425</v>
      </c>
      <c r="AO20" s="88">
        <v>62306.386935731272</v>
      </c>
      <c r="AP20" s="88">
        <v>61210.078125548011</v>
      </c>
      <c r="AQ20" s="88">
        <v>0</v>
      </c>
      <c r="AR20" s="88">
        <v>94500</v>
      </c>
      <c r="AS20" s="88">
        <v>94169.350962381548</v>
      </c>
      <c r="AT20" s="88">
        <v>62306.386935731272</v>
      </c>
      <c r="AU20" s="88">
        <v>61210.078125548011</v>
      </c>
      <c r="AV20" s="88">
        <v>80325</v>
      </c>
      <c r="AW20" s="88">
        <v>79380</v>
      </c>
      <c r="AX20" s="88">
        <v>80797.5</v>
      </c>
      <c r="AY20" s="88">
        <v>94500</v>
      </c>
      <c r="AZ20" s="88">
        <v>94500</v>
      </c>
      <c r="BA20" s="88">
        <v>94500</v>
      </c>
      <c r="BB20" s="88">
        <v>94500</v>
      </c>
      <c r="BC20" s="88">
        <v>94500</v>
      </c>
      <c r="BD20" s="88">
        <v>94500</v>
      </c>
      <c r="BE20" s="88">
        <v>94500</v>
      </c>
      <c r="BF20" s="88">
        <v>94500</v>
      </c>
      <c r="BG20" s="88">
        <v>94500</v>
      </c>
      <c r="BH20" s="88">
        <v>94500</v>
      </c>
      <c r="BI20" s="88">
        <v>94500</v>
      </c>
      <c r="BJ20" s="88">
        <v>94500</v>
      </c>
      <c r="BK20" s="88">
        <v>6154.557520377336</v>
      </c>
      <c r="BL20" s="88">
        <v>6152.8948509699039</v>
      </c>
      <c r="BM20" s="88">
        <v>6151.2360446571138</v>
      </c>
      <c r="BN20" s="88">
        <v>6149.5250550660858</v>
      </c>
      <c r="BO20" s="88">
        <v>6147.8181657467367</v>
      </c>
      <c r="BP20" s="88">
        <v>6146.1153619776414</v>
      </c>
      <c r="BQ20" s="88">
        <v>1351.8253610550521</v>
      </c>
      <c r="BR20" s="88">
        <v>1350.1849568434161</v>
      </c>
      <c r="BS20" s="88">
        <v>1348.574891504087</v>
      </c>
      <c r="BT20" s="88">
        <v>1346.96866152494</v>
      </c>
      <c r="BU20" s="88">
        <v>1345.366253217868</v>
      </c>
      <c r="BV20" s="88">
        <v>1343.7676529598559</v>
      </c>
      <c r="BW20" s="88">
        <v>4725.0000000000045</v>
      </c>
      <c r="BX20" s="88">
        <v>4725.0000000000045</v>
      </c>
      <c r="BY20" s="88">
        <v>4725.0000000000045</v>
      </c>
      <c r="BZ20" s="88">
        <v>4725.0000000000045</v>
      </c>
      <c r="CA20" s="88">
        <v>4725.0000000000045</v>
      </c>
      <c r="CB20" s="88">
        <v>4725.0000000000045</v>
      </c>
      <c r="CC20" s="88">
        <v>0</v>
      </c>
      <c r="CD20" s="88">
        <v>0</v>
      </c>
      <c r="CE20" s="88">
        <v>0</v>
      </c>
      <c r="CF20" s="88">
        <v>0</v>
      </c>
      <c r="CG20" s="88">
        <v>0</v>
      </c>
      <c r="CH20" s="88">
        <v>0</v>
      </c>
      <c r="CI20" s="88">
        <v>94500</v>
      </c>
      <c r="CJ20" s="88">
        <v>94500</v>
      </c>
      <c r="CK20" s="88">
        <v>94500</v>
      </c>
      <c r="CL20" s="88">
        <v>94500</v>
      </c>
      <c r="CM20" s="88">
        <v>94500</v>
      </c>
      <c r="CN20" s="88">
        <v>94500</v>
      </c>
      <c r="CO20" s="88">
        <v>94500</v>
      </c>
      <c r="CP20" s="88">
        <v>94500</v>
      </c>
      <c r="CQ20" s="88">
        <v>94500</v>
      </c>
      <c r="CR20" s="88">
        <v>94500</v>
      </c>
      <c r="CS20" s="88">
        <v>94500</v>
      </c>
      <c r="CT20" s="88">
        <v>94500</v>
      </c>
      <c r="CU20" s="88">
        <v>1361.4833527403241</v>
      </c>
      <c r="CV20" s="88">
        <v>1359.899858066562</v>
      </c>
      <c r="CW20" s="88">
        <v>1358.3200425305749</v>
      </c>
      <c r="CX20" s="88">
        <v>1356.6905286343631</v>
      </c>
      <c r="CY20" s="88">
        <v>1355.06491975879</v>
      </c>
      <c r="CZ20" s="88">
        <v>1353.443201883457</v>
      </c>
      <c r="DA20" s="88">
        <v>1351.8253610550521</v>
      </c>
      <c r="DB20" s="88">
        <v>1350.1849568434161</v>
      </c>
      <c r="DC20" s="88">
        <v>1348.574891504087</v>
      </c>
      <c r="DD20" s="88">
        <v>1346.96866152494</v>
      </c>
      <c r="DE20" s="88">
        <v>1345.366253217868</v>
      </c>
      <c r="DF20" s="88">
        <v>1343.7676529598559</v>
      </c>
      <c r="DG20" s="93">
        <v>46204</v>
      </c>
      <c r="DH20" s="91">
        <v>0.05</v>
      </c>
      <c r="DI20" t="s">
        <v>301</v>
      </c>
      <c r="DJ20" s="93"/>
      <c r="DK20" s="91"/>
      <c r="DM20" s="93"/>
      <c r="DN20" s="91"/>
      <c r="DP20" s="93"/>
      <c r="DQ20" s="91"/>
    </row>
    <row r="21" spans="1:121" x14ac:dyDescent="0.3">
      <c r="A21" t="s">
        <v>22</v>
      </c>
      <c r="B21" t="s">
        <v>42</v>
      </c>
      <c r="C21" t="s">
        <v>95</v>
      </c>
      <c r="D21" t="s">
        <v>339</v>
      </c>
      <c r="E21" t="s">
        <v>340</v>
      </c>
      <c r="F21" s="86">
        <v>76500</v>
      </c>
      <c r="G21" s="87">
        <v>12</v>
      </c>
      <c r="H21" s="88">
        <v>1.06</v>
      </c>
      <c r="I21" s="88">
        <v>1.0497916666666669</v>
      </c>
      <c r="J21" s="89">
        <v>0.83900209700948214</v>
      </c>
      <c r="K21" s="88">
        <v>1.009724151617384</v>
      </c>
      <c r="L21" s="88">
        <v>1.0131083140670549</v>
      </c>
      <c r="M21" s="88">
        <v>1</v>
      </c>
      <c r="N21" s="90">
        <v>0.63400000000000001</v>
      </c>
      <c r="O21" s="90">
        <v>0.6485565974699331</v>
      </c>
      <c r="P21" s="90">
        <v>0.64487037367082101</v>
      </c>
      <c r="Q21" s="91">
        <v>0</v>
      </c>
      <c r="R21" s="88">
        <v>0.99999999999999978</v>
      </c>
      <c r="S21" s="88">
        <v>1.017145699796248</v>
      </c>
      <c r="T21" s="91">
        <v>-9.630503144654079E-3</v>
      </c>
      <c r="U21" s="91">
        <v>9.7241516173847131E-3</v>
      </c>
      <c r="V21" s="87">
        <v>0</v>
      </c>
      <c r="W21" s="91">
        <v>0</v>
      </c>
      <c r="X21" s="87">
        <v>1</v>
      </c>
      <c r="Y21" s="90">
        <v>0.6485565974699331</v>
      </c>
      <c r="Z21" s="90">
        <v>0.64487037367082101</v>
      </c>
      <c r="AA21" s="92">
        <v>0</v>
      </c>
      <c r="AB21" s="88">
        <v>0</v>
      </c>
      <c r="AC21" s="87">
        <v>1</v>
      </c>
      <c r="AD21" s="87">
        <v>0</v>
      </c>
      <c r="AE21" s="88">
        <v>1.0349999999999999</v>
      </c>
      <c r="AF21" s="88">
        <v>0.99525154750742739</v>
      </c>
      <c r="AG21" s="88">
        <v>1.0300855166403531</v>
      </c>
      <c r="AH21" s="88">
        <v>81090</v>
      </c>
      <c r="AI21" s="88">
        <v>80309.0625</v>
      </c>
      <c r="AJ21" s="88">
        <v>64183.660421225381</v>
      </c>
      <c r="AK21" s="88">
        <v>77243.89759872992</v>
      </c>
      <c r="AL21" s="88">
        <v>77502.786026129688</v>
      </c>
      <c r="AM21" s="88">
        <v>76500</v>
      </c>
      <c r="AN21" s="88">
        <v>48501</v>
      </c>
      <c r="AO21" s="88">
        <v>49614.579706449877</v>
      </c>
      <c r="AP21" s="88">
        <v>49332.583585817803</v>
      </c>
      <c r="AQ21" s="88">
        <v>0</v>
      </c>
      <c r="AR21" s="88">
        <v>76499.999999999985</v>
      </c>
      <c r="AS21" s="88">
        <v>77811.646034412959</v>
      </c>
      <c r="AT21" s="88">
        <v>49614.579706449877</v>
      </c>
      <c r="AU21" s="88">
        <v>49332.583585817803</v>
      </c>
      <c r="AV21" s="88">
        <v>65025</v>
      </c>
      <c r="AW21" s="88">
        <v>64260</v>
      </c>
      <c r="AX21" s="88">
        <v>63877.5</v>
      </c>
      <c r="AY21" s="88">
        <v>76500</v>
      </c>
      <c r="AZ21" s="88">
        <v>76500</v>
      </c>
      <c r="BA21" s="88">
        <v>76500</v>
      </c>
      <c r="BB21" s="88">
        <v>76500</v>
      </c>
      <c r="BC21" s="88">
        <v>76500</v>
      </c>
      <c r="BD21" s="88">
        <v>76500</v>
      </c>
      <c r="BE21" s="88">
        <v>76500</v>
      </c>
      <c r="BF21" s="88">
        <v>76500</v>
      </c>
      <c r="BG21" s="88">
        <v>76500</v>
      </c>
      <c r="BH21" s="88">
        <v>76500</v>
      </c>
      <c r="BI21" s="88">
        <v>76500</v>
      </c>
      <c r="BJ21" s="88">
        <v>76500</v>
      </c>
      <c r="BK21" s="88">
        <v>4205.7794985298606</v>
      </c>
      <c r="BL21" s="88">
        <v>4205.6323048153463</v>
      </c>
      <c r="BM21" s="88">
        <v>4205.4849982786618</v>
      </c>
      <c r="BN21" s="88">
        <v>4205.3325795383644</v>
      </c>
      <c r="BO21" s="88">
        <v>4205.1800399149761</v>
      </c>
      <c r="BP21" s="88">
        <v>4205.0273792646076</v>
      </c>
      <c r="BQ21" s="88">
        <v>4204.8745974431613</v>
      </c>
      <c r="BR21" s="88">
        <v>-363.47246539054379</v>
      </c>
      <c r="BS21" s="88">
        <v>-363.61683009728381</v>
      </c>
      <c r="BT21" s="88">
        <v>-363.76130952768727</v>
      </c>
      <c r="BU21" s="88">
        <v>-363.90590381857987</v>
      </c>
      <c r="BV21" s="88">
        <v>-364.05061310699102</v>
      </c>
      <c r="BW21" s="88">
        <v>4590.0000000000036</v>
      </c>
      <c r="BX21" s="88">
        <v>4590.0000000000036</v>
      </c>
      <c r="BY21" s="88">
        <v>4590.0000000000036</v>
      </c>
      <c r="BZ21" s="88">
        <v>4590.0000000000036</v>
      </c>
      <c r="CA21" s="88">
        <v>4590.0000000000036</v>
      </c>
      <c r="CB21" s="88">
        <v>4590.0000000000036</v>
      </c>
      <c r="CC21" s="88">
        <v>4590.0000000000036</v>
      </c>
      <c r="CD21" s="88">
        <v>0</v>
      </c>
      <c r="CE21" s="88">
        <v>0</v>
      </c>
      <c r="CF21" s="88">
        <v>0</v>
      </c>
      <c r="CG21" s="88">
        <v>0</v>
      </c>
      <c r="CH21" s="88">
        <v>0</v>
      </c>
      <c r="CI21" s="88">
        <v>76500</v>
      </c>
      <c r="CJ21" s="88">
        <v>76500</v>
      </c>
      <c r="CK21" s="88">
        <v>76500</v>
      </c>
      <c r="CL21" s="88">
        <v>76500</v>
      </c>
      <c r="CM21" s="88">
        <v>76500</v>
      </c>
      <c r="CN21" s="88">
        <v>76500</v>
      </c>
      <c r="CO21" s="88">
        <v>76500</v>
      </c>
      <c r="CP21" s="88">
        <v>76500</v>
      </c>
      <c r="CQ21" s="88">
        <v>76500</v>
      </c>
      <c r="CR21" s="88">
        <v>76500</v>
      </c>
      <c r="CS21" s="88">
        <v>76500</v>
      </c>
      <c r="CT21" s="88">
        <v>76500</v>
      </c>
      <c r="CU21" s="88">
        <v>-362.4721711982462</v>
      </c>
      <c r="CV21" s="88">
        <v>-362.61103319308</v>
      </c>
      <c r="CW21" s="88">
        <v>-362.75000162391541</v>
      </c>
      <c r="CX21" s="88">
        <v>-362.89379288833368</v>
      </c>
      <c r="CY21" s="88">
        <v>-363.03769819342591</v>
      </c>
      <c r="CZ21" s="88">
        <v>-363.18171767490497</v>
      </c>
      <c r="DA21" s="88">
        <v>-363.32585146872162</v>
      </c>
      <c r="DB21" s="88">
        <v>-363.47246539054379</v>
      </c>
      <c r="DC21" s="88">
        <v>-363.61683009728381</v>
      </c>
      <c r="DD21" s="88">
        <v>-363.76130952768727</v>
      </c>
      <c r="DE21" s="88">
        <v>-363.90590381857987</v>
      </c>
      <c r="DF21" s="88">
        <v>-364.05061310699102</v>
      </c>
      <c r="DG21" s="93">
        <v>46235</v>
      </c>
      <c r="DH21" s="91">
        <v>0.06</v>
      </c>
      <c r="DI21" t="s">
        <v>301</v>
      </c>
      <c r="DJ21" s="93"/>
      <c r="DK21" s="91"/>
      <c r="DM21" s="93"/>
      <c r="DN21" s="91"/>
      <c r="DP21" s="93"/>
      <c r="DQ21" s="91"/>
    </row>
    <row r="22" spans="1:121" x14ac:dyDescent="0.3">
      <c r="A22" t="s">
        <v>22</v>
      </c>
      <c r="B22" t="s">
        <v>42</v>
      </c>
      <c r="C22" t="s">
        <v>96</v>
      </c>
      <c r="D22" t="s">
        <v>341</v>
      </c>
      <c r="E22" t="s">
        <v>342</v>
      </c>
      <c r="F22" s="86">
        <v>58500</v>
      </c>
      <c r="G22" s="87">
        <v>12</v>
      </c>
      <c r="H22" s="88">
        <v>1</v>
      </c>
      <c r="I22" s="88">
        <v>1</v>
      </c>
      <c r="J22" s="89">
        <v>0.84199580598103541</v>
      </c>
      <c r="K22" s="88">
        <v>1</v>
      </c>
      <c r="L22" s="88">
        <v>1.0095062160192581</v>
      </c>
      <c r="M22" s="88">
        <v>1</v>
      </c>
      <c r="N22" s="90">
        <v>0.66200000000000003</v>
      </c>
      <c r="O22" s="90">
        <v>0.66829311500474853</v>
      </c>
      <c r="P22" s="90">
        <v>0.66304811809438879</v>
      </c>
      <c r="Q22" s="91">
        <v>0</v>
      </c>
      <c r="R22" s="88">
        <v>1</v>
      </c>
      <c r="S22" s="88">
        <v>1.0015832599613119</v>
      </c>
      <c r="T22" s="91">
        <v>0</v>
      </c>
      <c r="U22" s="91">
        <v>0</v>
      </c>
      <c r="V22" s="87">
        <v>0</v>
      </c>
      <c r="W22" s="91">
        <v>0</v>
      </c>
      <c r="X22" s="87">
        <v>1</v>
      </c>
      <c r="Y22" s="90">
        <v>0.66829311500474853</v>
      </c>
      <c r="Z22" s="90">
        <v>0.66304811809438879</v>
      </c>
      <c r="AA22" s="92">
        <v>0</v>
      </c>
      <c r="AB22" s="88">
        <v>0</v>
      </c>
      <c r="AC22" s="87">
        <v>0</v>
      </c>
      <c r="AD22" s="87">
        <v>0</v>
      </c>
      <c r="AE22" s="88">
        <v>1</v>
      </c>
      <c r="AF22" s="88">
        <v>1.009530917047716</v>
      </c>
      <c r="AG22" s="88">
        <v>1.009530917047716</v>
      </c>
      <c r="AH22" s="88">
        <v>58500</v>
      </c>
      <c r="AI22" s="88">
        <v>58500</v>
      </c>
      <c r="AJ22" s="88">
        <v>49256.754649890572</v>
      </c>
      <c r="AK22" s="88">
        <v>58500</v>
      </c>
      <c r="AL22" s="88">
        <v>59056.113637126567</v>
      </c>
      <c r="AM22" s="88">
        <v>58500</v>
      </c>
      <c r="AN22" s="88">
        <v>38727</v>
      </c>
      <c r="AO22" s="88">
        <v>39095.147227777787</v>
      </c>
      <c r="AP22" s="88">
        <v>38788.314908521737</v>
      </c>
      <c r="AQ22" s="88">
        <v>0</v>
      </c>
      <c r="AR22" s="88">
        <v>58500</v>
      </c>
      <c r="AS22" s="88">
        <v>58592.620707736773</v>
      </c>
      <c r="AT22" s="88">
        <v>39095.147227777787</v>
      </c>
      <c r="AU22" s="88">
        <v>38788.314908521737</v>
      </c>
      <c r="AV22" s="88">
        <v>49725</v>
      </c>
      <c r="AW22" s="88">
        <v>49140</v>
      </c>
      <c r="AX22" s="88">
        <v>49725</v>
      </c>
      <c r="AY22" s="88">
        <v>58500</v>
      </c>
      <c r="AZ22" s="88">
        <v>58500</v>
      </c>
      <c r="BA22" s="88">
        <v>58500</v>
      </c>
      <c r="BB22" s="88">
        <v>58500</v>
      </c>
      <c r="BC22" s="88">
        <v>58500</v>
      </c>
      <c r="BD22" s="88">
        <v>58500</v>
      </c>
      <c r="BE22" s="88">
        <v>58500</v>
      </c>
      <c r="BF22" s="88">
        <v>58500</v>
      </c>
      <c r="BG22" s="88">
        <v>58500</v>
      </c>
      <c r="BH22" s="88">
        <v>58500</v>
      </c>
      <c r="BI22" s="88">
        <v>58500</v>
      </c>
      <c r="BJ22" s="88">
        <v>58500</v>
      </c>
      <c r="BK22" s="88">
        <v>559.98478907961032</v>
      </c>
      <c r="BL22" s="88">
        <v>559.55188679244588</v>
      </c>
      <c r="BM22" s="88">
        <v>559.11965330784687</v>
      </c>
      <c r="BN22" s="88">
        <v>558.67346938775495</v>
      </c>
      <c r="BO22" s="88">
        <v>558.22799701964345</v>
      </c>
      <c r="BP22" s="88">
        <v>557.78323450275673</v>
      </c>
      <c r="BQ22" s="88">
        <v>557.33918014172991</v>
      </c>
      <c r="BR22" s="88">
        <v>556.88857012454719</v>
      </c>
      <c r="BS22" s="88">
        <v>556.44593855054757</v>
      </c>
      <c r="BT22" s="88">
        <v>556.00401005117146</v>
      </c>
      <c r="BU22" s="88">
        <v>555.56278295259085</v>
      </c>
      <c r="BV22" s="88">
        <v>555.12225558632929</v>
      </c>
      <c r="BW22" s="88">
        <v>0</v>
      </c>
      <c r="BX22" s="88">
        <v>0</v>
      </c>
      <c r="BY22" s="88">
        <v>0</v>
      </c>
      <c r="BZ22" s="88">
        <v>0</v>
      </c>
      <c r="CA22" s="88">
        <v>0</v>
      </c>
      <c r="CB22" s="88">
        <v>0</v>
      </c>
      <c r="CC22" s="88">
        <v>0</v>
      </c>
      <c r="CD22" s="88">
        <v>0</v>
      </c>
      <c r="CE22" s="88">
        <v>0</v>
      </c>
      <c r="CF22" s="88">
        <v>0</v>
      </c>
      <c r="CG22" s="88">
        <v>0</v>
      </c>
      <c r="CH22" s="88">
        <v>0</v>
      </c>
      <c r="CI22" s="88">
        <v>58500</v>
      </c>
      <c r="CJ22" s="88">
        <v>58500</v>
      </c>
      <c r="CK22" s="88">
        <v>58500</v>
      </c>
      <c r="CL22" s="88">
        <v>58500</v>
      </c>
      <c r="CM22" s="88">
        <v>58500</v>
      </c>
      <c r="CN22" s="88">
        <v>58500</v>
      </c>
      <c r="CO22" s="88">
        <v>58500</v>
      </c>
      <c r="CP22" s="88">
        <v>58500</v>
      </c>
      <c r="CQ22" s="88">
        <v>58500</v>
      </c>
      <c r="CR22" s="88">
        <v>58500</v>
      </c>
      <c r="CS22" s="88">
        <v>58500</v>
      </c>
      <c r="CT22" s="88">
        <v>58500</v>
      </c>
      <c r="CU22" s="88">
        <v>559.98478907961032</v>
      </c>
      <c r="CV22" s="88">
        <v>559.55188679244588</v>
      </c>
      <c r="CW22" s="88">
        <v>559.11965330784687</v>
      </c>
      <c r="CX22" s="88">
        <v>558.67346938775495</v>
      </c>
      <c r="CY22" s="88">
        <v>558.22799701964345</v>
      </c>
      <c r="CZ22" s="88">
        <v>557.78323450275673</v>
      </c>
      <c r="DA22" s="88">
        <v>557.33918014172991</v>
      </c>
      <c r="DB22" s="88">
        <v>556.88857012454719</v>
      </c>
      <c r="DC22" s="88">
        <v>556.44593855054757</v>
      </c>
      <c r="DD22" s="88">
        <v>556.00401005117146</v>
      </c>
      <c r="DE22" s="88">
        <v>555.56278295259085</v>
      </c>
      <c r="DF22" s="88">
        <v>555.12225558632929</v>
      </c>
      <c r="DG22" s="93"/>
      <c r="DH22" s="91"/>
      <c r="DJ22" s="93"/>
      <c r="DK22" s="91"/>
      <c r="DM22" s="93"/>
      <c r="DN22" s="91"/>
      <c r="DP22" s="93"/>
      <c r="DQ22" s="91"/>
    </row>
    <row r="23" spans="1:121" x14ac:dyDescent="0.3">
      <c r="A23" t="s">
        <v>22</v>
      </c>
      <c r="B23" t="s">
        <v>45</v>
      </c>
      <c r="C23" t="s">
        <v>43</v>
      </c>
      <c r="D23" t="s">
        <v>343</v>
      </c>
      <c r="E23" t="s">
        <v>344</v>
      </c>
      <c r="F23" s="86">
        <v>40500</v>
      </c>
      <c r="G23" s="87">
        <v>12</v>
      </c>
      <c r="H23" s="88">
        <v>1.03</v>
      </c>
      <c r="I23" s="88">
        <v>1.038872222222222</v>
      </c>
      <c r="J23" s="89">
        <v>0.8380041940189642</v>
      </c>
      <c r="K23" s="88">
        <v>0.99145975603886694</v>
      </c>
      <c r="L23" s="88">
        <v>1.0143147326309969</v>
      </c>
      <c r="M23" s="88">
        <v>1</v>
      </c>
      <c r="N23" s="90">
        <v>0.64600000000000002</v>
      </c>
      <c r="O23" s="90">
        <v>0.64965134533517821</v>
      </c>
      <c r="P23" s="90">
        <v>0.63517811550840031</v>
      </c>
      <c r="Q23" s="91">
        <v>0</v>
      </c>
      <c r="R23" s="88">
        <v>0.96166688927474275</v>
      </c>
      <c r="S23" s="88">
        <v>1.022441208894779</v>
      </c>
      <c r="T23" s="91">
        <v>8.6138079827400293E-3</v>
      </c>
      <c r="U23" s="91">
        <v>3.098044353652751E-2</v>
      </c>
      <c r="V23" s="87">
        <v>0</v>
      </c>
      <c r="W23" s="91">
        <v>0</v>
      </c>
      <c r="X23" s="87">
        <v>1</v>
      </c>
      <c r="Y23" s="90">
        <v>0.64965134533517821</v>
      </c>
      <c r="Z23" s="90">
        <v>0.63517811550840031</v>
      </c>
      <c r="AA23" s="92">
        <v>0</v>
      </c>
      <c r="AB23" s="88">
        <v>0</v>
      </c>
      <c r="AC23" s="87">
        <v>1</v>
      </c>
      <c r="AD23" s="87">
        <v>1</v>
      </c>
      <c r="AE23" s="88">
        <v>1.0599666666666669</v>
      </c>
      <c r="AF23" s="88">
        <v>0.99051430760215442</v>
      </c>
      <c r="AG23" s="88">
        <v>1.0499122730129249</v>
      </c>
      <c r="AH23" s="88">
        <v>41715</v>
      </c>
      <c r="AI23" s="88">
        <v>42074.324999999997</v>
      </c>
      <c r="AJ23" s="88">
        <v>33939.169857768051</v>
      </c>
      <c r="AK23" s="88">
        <v>40154.120119574109</v>
      </c>
      <c r="AL23" s="88">
        <v>41079.746671555382</v>
      </c>
      <c r="AM23" s="88">
        <v>40500</v>
      </c>
      <c r="AN23" s="88">
        <v>26163</v>
      </c>
      <c r="AO23" s="88">
        <v>26310.879486074718</v>
      </c>
      <c r="AP23" s="88">
        <v>25724.713678090211</v>
      </c>
      <c r="AQ23" s="88">
        <v>0</v>
      </c>
      <c r="AR23" s="88">
        <v>38947.509015627082</v>
      </c>
      <c r="AS23" s="88">
        <v>41408.868960238528</v>
      </c>
      <c r="AT23" s="88">
        <v>26310.879486074718</v>
      </c>
      <c r="AU23" s="88">
        <v>25724.713678090211</v>
      </c>
      <c r="AV23" s="88">
        <v>34425</v>
      </c>
      <c r="AW23" s="88">
        <v>34020</v>
      </c>
      <c r="AX23" s="88">
        <v>33615</v>
      </c>
      <c r="AY23" s="88">
        <v>40500</v>
      </c>
      <c r="AZ23" s="88">
        <v>40500</v>
      </c>
      <c r="BA23" s="88">
        <v>40500</v>
      </c>
      <c r="BB23" s="88">
        <v>40500</v>
      </c>
      <c r="BC23" s="88">
        <v>40500</v>
      </c>
      <c r="BD23" s="88">
        <v>40500</v>
      </c>
      <c r="BE23" s="88">
        <v>40500</v>
      </c>
      <c r="BF23" s="88">
        <v>40500</v>
      </c>
      <c r="BG23" s="88">
        <v>40500</v>
      </c>
      <c r="BH23" s="88">
        <v>40500</v>
      </c>
      <c r="BI23" s="88">
        <v>40500</v>
      </c>
      <c r="BJ23" s="88">
        <v>40500</v>
      </c>
      <c r="BK23" s="88">
        <v>821.00910843436054</v>
      </c>
      <c r="BL23" s="88">
        <v>2473.536451211945</v>
      </c>
      <c r="BM23" s="88">
        <v>2473.2229510321031</v>
      </c>
      <c r="BN23" s="88">
        <v>2472.8983193277431</v>
      </c>
      <c r="BO23" s="88">
        <v>2472.573173612288</v>
      </c>
      <c r="BP23" s="88">
        <v>2472.2475126639938</v>
      </c>
      <c r="BQ23" s="88">
        <v>2471.9213352571951</v>
      </c>
      <c r="BR23" s="88">
        <v>2471.589280185251</v>
      </c>
      <c r="BS23" s="88">
        <v>2471.2620576517561</v>
      </c>
      <c r="BT23" s="88">
        <v>1219.3537038243469</v>
      </c>
      <c r="BU23" s="88">
        <v>1219.0350007824379</v>
      </c>
      <c r="BV23" s="88">
        <v>1218.71579029795</v>
      </c>
      <c r="BW23" s="88">
        <v>1215.0000000000009</v>
      </c>
      <c r="BX23" s="88">
        <v>2883.6000000000058</v>
      </c>
      <c r="BY23" s="88">
        <v>2883.6000000000058</v>
      </c>
      <c r="BZ23" s="88">
        <v>2883.6000000000058</v>
      </c>
      <c r="CA23" s="88">
        <v>2883.6000000000058</v>
      </c>
      <c r="CB23" s="88">
        <v>2883.6000000000058</v>
      </c>
      <c r="CC23" s="88">
        <v>2883.6000000000058</v>
      </c>
      <c r="CD23" s="88">
        <v>2883.6000000000058</v>
      </c>
      <c r="CE23" s="88">
        <v>2883.6000000000058</v>
      </c>
      <c r="CF23" s="88">
        <v>1620.0000000000009</v>
      </c>
      <c r="CG23" s="88">
        <v>1620.0000000000009</v>
      </c>
      <c r="CH23" s="88">
        <v>1620.0000000000009</v>
      </c>
      <c r="CI23" s="88">
        <v>40500</v>
      </c>
      <c r="CJ23" s="88">
        <v>40500</v>
      </c>
      <c r="CK23" s="88">
        <v>40500</v>
      </c>
      <c r="CL23" s="88">
        <v>40500</v>
      </c>
      <c r="CM23" s="88">
        <v>40500</v>
      </c>
      <c r="CN23" s="88">
        <v>40500</v>
      </c>
      <c r="CO23" s="88">
        <v>40500</v>
      </c>
      <c r="CP23" s="88">
        <v>40500</v>
      </c>
      <c r="CQ23" s="88">
        <v>40500</v>
      </c>
      <c r="CR23" s="88">
        <v>40500</v>
      </c>
      <c r="CS23" s="88">
        <v>40500</v>
      </c>
      <c r="CT23" s="88">
        <v>40500</v>
      </c>
      <c r="CU23" s="88">
        <v>-382.51542870450629</v>
      </c>
      <c r="CV23" s="88">
        <v>-382.80764449968711</v>
      </c>
      <c r="CW23" s="88">
        <v>-383.10030710222492</v>
      </c>
      <c r="CX23" s="88">
        <v>-383.40336134453452</v>
      </c>
      <c r="CY23" s="88">
        <v>-383.70689543289541</v>
      </c>
      <c r="CZ23" s="88">
        <v>-384.01091050785641</v>
      </c>
      <c r="DA23" s="88">
        <v>-384.31540771360358</v>
      </c>
      <c r="DB23" s="88">
        <v>-384.62539191070869</v>
      </c>
      <c r="DC23" s="88">
        <v>-384.93086477618601</v>
      </c>
      <c r="DD23" s="88">
        <v>-385.23682324581762</v>
      </c>
      <c r="DE23" s="88">
        <v>-385.54326847843021</v>
      </c>
      <c r="DF23" s="88">
        <v>-385.85020163658669</v>
      </c>
      <c r="DG23" s="93">
        <v>46296</v>
      </c>
      <c r="DH23" s="91">
        <v>0.03</v>
      </c>
      <c r="DI23" t="s">
        <v>301</v>
      </c>
      <c r="DJ23" s="93">
        <v>46419</v>
      </c>
      <c r="DK23" s="91">
        <v>0.04</v>
      </c>
      <c r="DL23" t="s">
        <v>302</v>
      </c>
      <c r="DM23" s="93"/>
      <c r="DN23" s="91"/>
      <c r="DP23" s="93"/>
      <c r="DQ23" s="91"/>
    </row>
    <row r="24" spans="1:121" x14ac:dyDescent="0.3">
      <c r="A24" t="s">
        <v>22</v>
      </c>
      <c r="B24" t="s">
        <v>45</v>
      </c>
      <c r="C24" t="s">
        <v>46</v>
      </c>
      <c r="D24" t="s">
        <v>345</v>
      </c>
      <c r="E24" t="s">
        <v>346</v>
      </c>
      <c r="F24" s="86">
        <v>99000</v>
      </c>
      <c r="G24" s="87">
        <v>12</v>
      </c>
      <c r="H24" s="88">
        <v>1.04</v>
      </c>
      <c r="I24" s="88">
        <v>1.026111111111111</v>
      </c>
      <c r="J24" s="89">
        <v>0.84099790299051769</v>
      </c>
      <c r="K24" s="88">
        <v>1.013535462912831</v>
      </c>
      <c r="L24" s="88">
        <v>1.0107040659405591</v>
      </c>
      <c r="M24" s="88">
        <v>1</v>
      </c>
      <c r="N24" s="90">
        <v>0.6804</v>
      </c>
      <c r="O24" s="90">
        <v>0.69699115483717922</v>
      </c>
      <c r="P24" s="90">
        <v>0.69182033134987631</v>
      </c>
      <c r="Q24" s="91">
        <v>0.01</v>
      </c>
      <c r="R24" s="88">
        <v>0.99999999999999978</v>
      </c>
      <c r="S24" s="88">
        <v>1.006717555994838</v>
      </c>
      <c r="T24" s="91">
        <v>-1.3354700854700811E-2</v>
      </c>
      <c r="U24" s="91">
        <v>1.3535462912831701E-2</v>
      </c>
      <c r="V24" s="87">
        <v>0</v>
      </c>
      <c r="W24" s="91">
        <v>0</v>
      </c>
      <c r="X24" s="87">
        <v>1</v>
      </c>
      <c r="Y24" s="90">
        <v>0.69699115483717922</v>
      </c>
      <c r="Z24" s="90">
        <v>0.69182033134987631</v>
      </c>
      <c r="AA24" s="92">
        <v>0</v>
      </c>
      <c r="AB24" s="88">
        <v>0</v>
      </c>
      <c r="AC24" s="87">
        <v>1</v>
      </c>
      <c r="AD24" s="87">
        <v>0</v>
      </c>
      <c r="AE24" s="88">
        <v>1.033333333333333</v>
      </c>
      <c r="AF24" s="88">
        <v>1.00475975841704</v>
      </c>
      <c r="AG24" s="88">
        <v>1.0382518134181591</v>
      </c>
      <c r="AH24" s="88">
        <v>102960</v>
      </c>
      <c r="AI24" s="88">
        <v>101585</v>
      </c>
      <c r="AJ24" s="88">
        <v>83258.792396061253</v>
      </c>
      <c r="AK24" s="88">
        <v>100340.0108283703</v>
      </c>
      <c r="AL24" s="88">
        <v>100059.7025281153</v>
      </c>
      <c r="AM24" s="88">
        <v>99000</v>
      </c>
      <c r="AN24" s="88">
        <v>67359.600000000006</v>
      </c>
      <c r="AO24" s="88">
        <v>69002.124328880745</v>
      </c>
      <c r="AP24" s="88">
        <v>68490.212803637754</v>
      </c>
      <c r="AQ24" s="88">
        <v>990</v>
      </c>
      <c r="AR24" s="88">
        <v>98999.999999999971</v>
      </c>
      <c r="AS24" s="88">
        <v>99665.038043488923</v>
      </c>
      <c r="AT24" s="88">
        <v>69002.124328880745</v>
      </c>
      <c r="AU24" s="88">
        <v>68490.212803637754</v>
      </c>
      <c r="AV24" s="88">
        <v>84150</v>
      </c>
      <c r="AW24" s="88">
        <v>83160</v>
      </c>
      <c r="AX24" s="88">
        <v>83655</v>
      </c>
      <c r="AY24" s="88">
        <v>99000</v>
      </c>
      <c r="AZ24" s="88">
        <v>99000</v>
      </c>
      <c r="BA24" s="88">
        <v>99000</v>
      </c>
      <c r="BB24" s="88">
        <v>99000</v>
      </c>
      <c r="BC24" s="88">
        <v>99000</v>
      </c>
      <c r="BD24" s="88">
        <v>99000</v>
      </c>
      <c r="BE24" s="88">
        <v>99000</v>
      </c>
      <c r="BF24" s="88">
        <v>99000</v>
      </c>
      <c r="BG24" s="88">
        <v>99000</v>
      </c>
      <c r="BH24" s="88">
        <v>99000</v>
      </c>
      <c r="BI24" s="88">
        <v>99000</v>
      </c>
      <c r="BJ24" s="88">
        <v>99000</v>
      </c>
      <c r="BK24" s="88">
        <v>4451.1282892372355</v>
      </c>
      <c r="BL24" s="88">
        <v>4450.9390186549708</v>
      </c>
      <c r="BM24" s="88">
        <v>4450.7498938983381</v>
      </c>
      <c r="BN24" s="88">
        <v>4450.5545112781829</v>
      </c>
      <c r="BO24" s="88">
        <v>4450.3592841717937</v>
      </c>
      <c r="BP24" s="88">
        <v>4450.1642123935289</v>
      </c>
      <c r="BQ24" s="88">
        <v>4449.969295758121</v>
      </c>
      <c r="BR24" s="88">
        <v>4449.7713425560851</v>
      </c>
      <c r="BS24" s="88">
        <v>4449.5767381873793</v>
      </c>
      <c r="BT24" s="88">
        <v>4449.3822884043202</v>
      </c>
      <c r="BU24" s="88">
        <v>470.37307021425278</v>
      </c>
      <c r="BV24" s="88">
        <v>470.18639601834559</v>
      </c>
      <c r="BW24" s="88">
        <v>3960.0000000000041</v>
      </c>
      <c r="BX24" s="88">
        <v>3960.0000000000041</v>
      </c>
      <c r="BY24" s="88">
        <v>3960.0000000000041</v>
      </c>
      <c r="BZ24" s="88">
        <v>3960.0000000000041</v>
      </c>
      <c r="CA24" s="88">
        <v>3960.0000000000041</v>
      </c>
      <c r="CB24" s="88">
        <v>3960.0000000000041</v>
      </c>
      <c r="CC24" s="88">
        <v>3960.0000000000041</v>
      </c>
      <c r="CD24" s="88">
        <v>3960.0000000000041</v>
      </c>
      <c r="CE24" s="88">
        <v>3960.0000000000041</v>
      </c>
      <c r="CF24" s="88">
        <v>3960.0000000000041</v>
      </c>
      <c r="CG24" s="88">
        <v>0</v>
      </c>
      <c r="CH24" s="88">
        <v>0</v>
      </c>
      <c r="CI24" s="88">
        <v>99000</v>
      </c>
      <c r="CJ24" s="88">
        <v>99000</v>
      </c>
      <c r="CK24" s="88">
        <v>99000</v>
      </c>
      <c r="CL24" s="88">
        <v>99000</v>
      </c>
      <c r="CM24" s="88">
        <v>99000</v>
      </c>
      <c r="CN24" s="88">
        <v>99000</v>
      </c>
      <c r="CO24" s="88">
        <v>99000</v>
      </c>
      <c r="CP24" s="88">
        <v>99000</v>
      </c>
      <c r="CQ24" s="88">
        <v>99000</v>
      </c>
      <c r="CR24" s="88">
        <v>99000</v>
      </c>
      <c r="CS24" s="88">
        <v>99000</v>
      </c>
      <c r="CT24" s="88">
        <v>99000</v>
      </c>
      <c r="CU24" s="88">
        <v>472.2387396511869</v>
      </c>
      <c r="CV24" s="88">
        <v>472.05674870670038</v>
      </c>
      <c r="CW24" s="88">
        <v>471.87489797916402</v>
      </c>
      <c r="CX24" s="88">
        <v>471.68703007518252</v>
      </c>
      <c r="CY24" s="88">
        <v>471.49931170363948</v>
      </c>
      <c r="CZ24" s="88">
        <v>471.31174268608157</v>
      </c>
      <c r="DA24" s="88">
        <v>471.12432284434129</v>
      </c>
      <c r="DB24" s="88">
        <v>470.93398322700978</v>
      </c>
      <c r="DC24" s="88">
        <v>470.74686364170338</v>
      </c>
      <c r="DD24" s="88">
        <v>470.55989269645909</v>
      </c>
      <c r="DE24" s="88">
        <v>470.37307021425278</v>
      </c>
      <c r="DF24" s="88">
        <v>470.18639601834559</v>
      </c>
      <c r="DG24" s="93">
        <v>46327</v>
      </c>
      <c r="DH24" s="91">
        <v>0.04</v>
      </c>
      <c r="DI24" t="s">
        <v>301</v>
      </c>
      <c r="DJ24" s="93"/>
      <c r="DK24" s="91"/>
      <c r="DM24" s="93"/>
      <c r="DN24" s="91"/>
      <c r="DP24" s="93"/>
      <c r="DQ24" s="91"/>
    </row>
    <row r="25" spans="1:121" x14ac:dyDescent="0.3">
      <c r="A25" t="s">
        <v>22</v>
      </c>
      <c r="B25" t="s">
        <v>45</v>
      </c>
      <c r="C25" t="s">
        <v>48</v>
      </c>
      <c r="D25" t="s">
        <v>347</v>
      </c>
      <c r="E25" t="s">
        <v>348</v>
      </c>
      <c r="F25" s="86">
        <v>81000</v>
      </c>
      <c r="G25" s="87">
        <v>12</v>
      </c>
      <c r="H25" s="88">
        <v>1.05</v>
      </c>
      <c r="I25" s="88">
        <v>1.054696572580645</v>
      </c>
      <c r="J25" s="89">
        <v>0.84973412409420279</v>
      </c>
      <c r="K25" s="88">
        <v>0.99554699171046557</v>
      </c>
      <c r="L25" s="88">
        <v>1.0003128930547309</v>
      </c>
      <c r="M25" s="88">
        <v>1.02</v>
      </c>
      <c r="N25" s="90">
        <v>0.65800000000000003</v>
      </c>
      <c r="O25" s="90">
        <v>0.66838038512146825</v>
      </c>
      <c r="P25" s="90">
        <v>0.63512004660274513</v>
      </c>
      <c r="Q25" s="91">
        <v>0</v>
      </c>
      <c r="R25" s="88">
        <v>0.97284786829941206</v>
      </c>
      <c r="S25" s="88">
        <v>0.97271323225041539</v>
      </c>
      <c r="T25" s="91">
        <v>4.4729262672811299E-3</v>
      </c>
      <c r="U25" s="91">
        <v>2.3332654725072951E-2</v>
      </c>
      <c r="V25" s="87">
        <v>0</v>
      </c>
      <c r="W25" s="91">
        <v>0</v>
      </c>
      <c r="X25" s="87">
        <v>1</v>
      </c>
      <c r="Y25" s="90">
        <v>0.66838038512146825</v>
      </c>
      <c r="Z25" s="90">
        <v>0.63512004660274513</v>
      </c>
      <c r="AA25" s="92">
        <v>0</v>
      </c>
      <c r="AB25" s="88">
        <v>0</v>
      </c>
      <c r="AC25" s="87">
        <v>1</v>
      </c>
      <c r="AD25" s="87">
        <v>1</v>
      </c>
      <c r="AE25" s="88">
        <v>1.0313709677419349</v>
      </c>
      <c r="AF25" s="88">
        <v>1.044795226843638</v>
      </c>
      <c r="AG25" s="88">
        <v>1.077562959620743</v>
      </c>
      <c r="AH25" s="88">
        <v>85050</v>
      </c>
      <c r="AI25" s="88">
        <v>85430.422379032258</v>
      </c>
      <c r="AJ25" s="88">
        <v>68828.464051630421</v>
      </c>
      <c r="AK25" s="88">
        <v>80639.306328547711</v>
      </c>
      <c r="AL25" s="88">
        <v>81025.344337433227</v>
      </c>
      <c r="AM25" s="88">
        <v>82620</v>
      </c>
      <c r="AN25" s="88">
        <v>53298</v>
      </c>
      <c r="AO25" s="88">
        <v>54138.811194838927</v>
      </c>
      <c r="AP25" s="88">
        <v>51444.723774822363</v>
      </c>
      <c r="AQ25" s="88">
        <v>0</v>
      </c>
      <c r="AR25" s="88">
        <v>78800.67733225238</v>
      </c>
      <c r="AS25" s="88">
        <v>78789.771812283652</v>
      </c>
      <c r="AT25" s="88">
        <v>54138.811194838927</v>
      </c>
      <c r="AU25" s="88">
        <v>51444.723774822363</v>
      </c>
      <c r="AV25" s="88">
        <v>68850</v>
      </c>
      <c r="AW25" s="88">
        <v>68040</v>
      </c>
      <c r="AX25" s="88">
        <v>69660</v>
      </c>
      <c r="AY25" s="88">
        <v>81000</v>
      </c>
      <c r="AZ25" s="88">
        <v>81000</v>
      </c>
      <c r="BA25" s="88">
        <v>81000</v>
      </c>
      <c r="BB25" s="88">
        <v>81000</v>
      </c>
      <c r="BC25" s="88">
        <v>81000</v>
      </c>
      <c r="BD25" s="88">
        <v>81000</v>
      </c>
      <c r="BE25" s="88">
        <v>81000</v>
      </c>
      <c r="BF25" s="88">
        <v>81000</v>
      </c>
      <c r="BG25" s="88">
        <v>81000</v>
      </c>
      <c r="BH25" s="88">
        <v>81000</v>
      </c>
      <c r="BI25" s="88">
        <v>81000</v>
      </c>
      <c r="BJ25" s="88">
        <v>81000</v>
      </c>
      <c r="BK25" s="88">
        <v>8028.9806572518801</v>
      </c>
      <c r="BL25" s="88">
        <v>7678.7999999999993</v>
      </c>
      <c r="BM25" s="88">
        <v>9097.9905704230132</v>
      </c>
      <c r="BN25" s="88">
        <v>4461.4285714285879</v>
      </c>
      <c r="BO25" s="88">
        <v>5518.3579814326386</v>
      </c>
      <c r="BP25" s="88">
        <v>6320.6996457157857</v>
      </c>
      <c r="BQ25" s="88">
        <v>5972.6265438149567</v>
      </c>
      <c r="BR25" s="88">
        <v>5621.6794012365817</v>
      </c>
      <c r="BS25" s="88">
        <v>6185.0768891481939</v>
      </c>
      <c r="BT25" s="88">
        <v>5841.6734094401709</v>
      </c>
      <c r="BU25" s="88">
        <v>5500.9645029585863</v>
      </c>
      <c r="BV25" s="88">
        <v>5162.9185785124109</v>
      </c>
      <c r="BW25" s="88">
        <v>4050.0000000000041</v>
      </c>
      <c r="BX25" s="88">
        <v>4050.0000000000041</v>
      </c>
      <c r="BY25" s="88">
        <v>4050.0000000000041</v>
      </c>
      <c r="BZ25" s="88">
        <v>0</v>
      </c>
      <c r="CA25" s="88">
        <v>1332.580645161283</v>
      </c>
      <c r="CB25" s="88">
        <v>2430.0000000000018</v>
      </c>
      <c r="CC25" s="88">
        <v>2430.0000000000018</v>
      </c>
      <c r="CD25" s="88">
        <v>2430.0000000000018</v>
      </c>
      <c r="CE25" s="88">
        <v>2430.0000000000018</v>
      </c>
      <c r="CF25" s="88">
        <v>2430.0000000000018</v>
      </c>
      <c r="CG25" s="88">
        <v>2430.0000000000018</v>
      </c>
      <c r="CH25" s="88">
        <v>2430.0000000000018</v>
      </c>
      <c r="CI25" s="88">
        <v>81000</v>
      </c>
      <c r="CJ25" s="88">
        <v>81000</v>
      </c>
      <c r="CK25" s="88">
        <v>81000</v>
      </c>
      <c r="CL25" s="88">
        <v>81000</v>
      </c>
      <c r="CM25" s="88">
        <v>81000</v>
      </c>
      <c r="CN25" s="88">
        <v>81000</v>
      </c>
      <c r="CO25" s="88">
        <v>81000</v>
      </c>
      <c r="CP25" s="88">
        <v>81000</v>
      </c>
      <c r="CQ25" s="88">
        <v>81000</v>
      </c>
      <c r="CR25" s="88">
        <v>81000</v>
      </c>
      <c r="CS25" s="88">
        <v>81000</v>
      </c>
      <c r="CT25" s="88">
        <v>81000</v>
      </c>
      <c r="CU25" s="88">
        <v>3789.5053878589229</v>
      </c>
      <c r="CV25" s="88">
        <v>3455.9999999999968</v>
      </c>
      <c r="CW25" s="88">
        <v>4807.6100670695396</v>
      </c>
      <c r="CX25" s="88">
        <v>4461.4285714285879</v>
      </c>
      <c r="CY25" s="88">
        <v>4118.0291153415455</v>
      </c>
      <c r="CZ25" s="88">
        <v>3777.3782968114401</v>
      </c>
      <c r="DA25" s="88">
        <v>3439.44324642228</v>
      </c>
      <c r="DB25" s="88">
        <v>3098.717865278235</v>
      </c>
      <c r="DC25" s="88">
        <v>3645.705717619609</v>
      </c>
      <c r="DD25" s="88">
        <v>3312.3042810098768</v>
      </c>
      <c r="DE25" s="88">
        <v>2981.5189349112429</v>
      </c>
      <c r="DF25" s="88">
        <v>2653.319008264476</v>
      </c>
      <c r="DG25" s="93">
        <v>46113</v>
      </c>
      <c r="DH25" s="91">
        <v>0.05</v>
      </c>
      <c r="DI25" t="s">
        <v>301</v>
      </c>
      <c r="DJ25" s="93">
        <v>46522</v>
      </c>
      <c r="DK25" s="91">
        <v>0.03</v>
      </c>
      <c r="DL25" t="s">
        <v>302</v>
      </c>
      <c r="DM25" s="93"/>
      <c r="DN25" s="91"/>
      <c r="DP25" s="93"/>
      <c r="DQ25" s="91"/>
    </row>
    <row r="26" spans="1:121" x14ac:dyDescent="0.3">
      <c r="A26" t="s">
        <v>22</v>
      </c>
      <c r="B26" t="s">
        <v>45</v>
      </c>
      <c r="C26" t="s">
        <v>50</v>
      </c>
      <c r="D26" t="s">
        <v>349</v>
      </c>
      <c r="E26" t="s">
        <v>350</v>
      </c>
      <c r="F26" s="86">
        <v>63000</v>
      </c>
      <c r="G26" s="87">
        <v>12</v>
      </c>
      <c r="H26" s="88">
        <v>1.08</v>
      </c>
      <c r="I26" s="88">
        <v>1.0754999999999999</v>
      </c>
      <c r="J26" s="89">
        <v>0.84</v>
      </c>
      <c r="K26" s="88">
        <v>1.00418410041841</v>
      </c>
      <c r="L26" s="88">
        <v>1.0119047619047621</v>
      </c>
      <c r="M26" s="88">
        <v>1</v>
      </c>
      <c r="N26" s="90">
        <v>0.64200000000000002</v>
      </c>
      <c r="O26" s="90">
        <v>0.65236102809324559</v>
      </c>
      <c r="P26" s="90">
        <v>0.62028280440120032</v>
      </c>
      <c r="Q26" s="91">
        <v>0</v>
      </c>
      <c r="R26" s="88">
        <v>0.95480585614258429</v>
      </c>
      <c r="S26" s="88">
        <v>1.0119047619047621</v>
      </c>
      <c r="T26" s="91">
        <v>-4.1666666666666519E-3</v>
      </c>
      <c r="U26" s="91">
        <v>5.1715481171548117E-2</v>
      </c>
      <c r="V26" s="87">
        <v>0</v>
      </c>
      <c r="W26" s="91">
        <v>0</v>
      </c>
      <c r="X26" s="87">
        <v>1</v>
      </c>
      <c r="Y26" s="90">
        <v>0.65236102809324559</v>
      </c>
      <c r="Z26" s="90">
        <v>0.62028280440120032</v>
      </c>
      <c r="AA26" s="92">
        <v>0</v>
      </c>
      <c r="AB26" s="88">
        <v>0</v>
      </c>
      <c r="AC26" s="87">
        <v>1</v>
      </c>
      <c r="AD26" s="87">
        <v>1</v>
      </c>
      <c r="AE26" s="88">
        <v>1.1022400000000001</v>
      </c>
      <c r="AF26" s="88">
        <v>1</v>
      </c>
      <c r="AG26" s="88">
        <v>1.1022400000000001</v>
      </c>
      <c r="AH26" s="88">
        <v>68040</v>
      </c>
      <c r="AI26" s="88">
        <v>67756.500000000015</v>
      </c>
      <c r="AJ26" s="88">
        <v>52920</v>
      </c>
      <c r="AK26" s="88">
        <v>63263.598326359832</v>
      </c>
      <c r="AL26" s="88">
        <v>63750</v>
      </c>
      <c r="AM26" s="88">
        <v>63000</v>
      </c>
      <c r="AN26" s="88">
        <v>40446</v>
      </c>
      <c r="AO26" s="88">
        <v>41098.744769874473</v>
      </c>
      <c r="AP26" s="88">
        <v>39077.816677275623</v>
      </c>
      <c r="AQ26" s="88">
        <v>0</v>
      </c>
      <c r="AR26" s="88">
        <v>60152.768936982808</v>
      </c>
      <c r="AS26" s="88">
        <v>63750</v>
      </c>
      <c r="AT26" s="88">
        <v>41098.744769874473</v>
      </c>
      <c r="AU26" s="88">
        <v>39077.816677275623</v>
      </c>
      <c r="AV26" s="88">
        <v>53550</v>
      </c>
      <c r="AW26" s="88">
        <v>52920</v>
      </c>
      <c r="AX26" s="88">
        <v>52920</v>
      </c>
      <c r="AY26" s="88">
        <v>63000</v>
      </c>
      <c r="AZ26" s="88">
        <v>63000</v>
      </c>
      <c r="BA26" s="88">
        <v>63000</v>
      </c>
      <c r="BB26" s="88">
        <v>63000</v>
      </c>
      <c r="BC26" s="88">
        <v>63000</v>
      </c>
      <c r="BD26" s="88">
        <v>63000</v>
      </c>
      <c r="BE26" s="88">
        <v>63000</v>
      </c>
      <c r="BF26" s="88">
        <v>63000</v>
      </c>
      <c r="BG26" s="88">
        <v>63000</v>
      </c>
      <c r="BH26" s="88">
        <v>63000</v>
      </c>
      <c r="BI26" s="88">
        <v>63000</v>
      </c>
      <c r="BJ26" s="88">
        <v>63000</v>
      </c>
      <c r="BK26" s="88">
        <v>5040.0000000000045</v>
      </c>
      <c r="BL26" s="88">
        <v>5040.0000000000045</v>
      </c>
      <c r="BM26" s="88">
        <v>8305.920000000011</v>
      </c>
      <c r="BN26" s="88">
        <v>8305.920000000011</v>
      </c>
      <c r="BO26" s="88">
        <v>8305.920000000011</v>
      </c>
      <c r="BP26" s="88">
        <v>8305.920000000011</v>
      </c>
      <c r="BQ26" s="88">
        <v>8305.920000000011</v>
      </c>
      <c r="BR26" s="88">
        <v>8305.920000000011</v>
      </c>
      <c r="BS26" s="88">
        <v>8305.920000000011</v>
      </c>
      <c r="BT26" s="88">
        <v>3024.0000000000032</v>
      </c>
      <c r="BU26" s="88">
        <v>3024.0000000000032</v>
      </c>
      <c r="BV26" s="88">
        <v>3024.0000000000032</v>
      </c>
      <c r="BW26" s="88">
        <v>5040.0000000000045</v>
      </c>
      <c r="BX26" s="88">
        <v>5040.0000000000045</v>
      </c>
      <c r="BY26" s="88">
        <v>8305.920000000011</v>
      </c>
      <c r="BZ26" s="88">
        <v>8305.920000000011</v>
      </c>
      <c r="CA26" s="88">
        <v>8305.920000000011</v>
      </c>
      <c r="CB26" s="88">
        <v>8305.920000000011</v>
      </c>
      <c r="CC26" s="88">
        <v>8305.920000000011</v>
      </c>
      <c r="CD26" s="88">
        <v>8305.920000000011</v>
      </c>
      <c r="CE26" s="88">
        <v>8305.920000000011</v>
      </c>
      <c r="CF26" s="88">
        <v>3024.0000000000032</v>
      </c>
      <c r="CG26" s="88">
        <v>3024.0000000000032</v>
      </c>
      <c r="CH26" s="88">
        <v>3024.0000000000032</v>
      </c>
      <c r="CI26" s="88">
        <v>63000</v>
      </c>
      <c r="CJ26" s="88">
        <v>63000</v>
      </c>
      <c r="CK26" s="88">
        <v>63000</v>
      </c>
      <c r="CL26" s="88">
        <v>63000</v>
      </c>
      <c r="CM26" s="88">
        <v>63000</v>
      </c>
      <c r="CN26" s="88">
        <v>63000</v>
      </c>
      <c r="CO26" s="88">
        <v>63000</v>
      </c>
      <c r="CP26" s="88">
        <v>63000</v>
      </c>
      <c r="CQ26" s="88">
        <v>63000</v>
      </c>
      <c r="CR26" s="88">
        <v>63000</v>
      </c>
      <c r="CS26" s="88">
        <v>63000</v>
      </c>
      <c r="CT26" s="88">
        <v>63000</v>
      </c>
      <c r="CU26" s="88">
        <v>0</v>
      </c>
      <c r="CV26" s="88">
        <v>0</v>
      </c>
      <c r="CW26" s="88">
        <v>0</v>
      </c>
      <c r="CX26" s="88">
        <v>0</v>
      </c>
      <c r="CY26" s="88">
        <v>0</v>
      </c>
      <c r="CZ26" s="88">
        <v>0</v>
      </c>
      <c r="DA26" s="88">
        <v>0</v>
      </c>
      <c r="DB26" s="88">
        <v>0</v>
      </c>
      <c r="DC26" s="88">
        <v>0</v>
      </c>
      <c r="DD26" s="88">
        <v>0</v>
      </c>
      <c r="DE26" s="88">
        <v>0</v>
      </c>
      <c r="DF26" s="88">
        <v>0</v>
      </c>
      <c r="DG26" s="93">
        <v>46296</v>
      </c>
      <c r="DH26" s="91">
        <v>0.08</v>
      </c>
      <c r="DI26" t="s">
        <v>301</v>
      </c>
      <c r="DJ26" s="93">
        <v>46447</v>
      </c>
      <c r="DK26" s="91">
        <v>4.8000000000000001E-2</v>
      </c>
      <c r="DL26" t="s">
        <v>302</v>
      </c>
      <c r="DM26" s="93"/>
      <c r="DN26" s="91"/>
      <c r="DP26" s="93"/>
      <c r="DQ26" s="91"/>
    </row>
    <row r="27" spans="1:121" x14ac:dyDescent="0.3">
      <c r="A27" t="s">
        <v>22</v>
      </c>
      <c r="B27" t="s">
        <v>45</v>
      </c>
      <c r="C27" t="s">
        <v>57</v>
      </c>
      <c r="D27" t="s">
        <v>351</v>
      </c>
      <c r="E27" t="s">
        <v>352</v>
      </c>
      <c r="F27" s="86">
        <v>45000</v>
      </c>
      <c r="G27" s="87">
        <v>12</v>
      </c>
      <c r="H27" s="88">
        <v>1.02</v>
      </c>
      <c r="I27" s="88">
        <v>1.026872222222222</v>
      </c>
      <c r="J27" s="89">
        <v>0.84299370897155379</v>
      </c>
      <c r="K27" s="88">
        <v>0.99330761698144854</v>
      </c>
      <c r="L27" s="88">
        <v>1.0083112020337539</v>
      </c>
      <c r="M27" s="88">
        <v>1</v>
      </c>
      <c r="N27" s="90">
        <v>0.67</v>
      </c>
      <c r="O27" s="90">
        <v>0.67104734216945827</v>
      </c>
      <c r="P27" s="90">
        <v>0.64412718127953783</v>
      </c>
      <c r="Q27" s="91">
        <v>0</v>
      </c>
      <c r="R27" s="88">
        <v>0.96475948010183543</v>
      </c>
      <c r="S27" s="88">
        <v>0.99650106838498997</v>
      </c>
      <c r="T27" s="91">
        <v>6.7374727668845216E-3</v>
      </c>
      <c r="U27" s="91">
        <v>2.9590936879521301E-2</v>
      </c>
      <c r="V27" s="87">
        <v>0</v>
      </c>
      <c r="W27" s="91">
        <v>0</v>
      </c>
      <c r="X27" s="87">
        <v>1</v>
      </c>
      <c r="Y27" s="90">
        <v>0.67104734216945827</v>
      </c>
      <c r="Z27" s="90">
        <v>0.64412718127953783</v>
      </c>
      <c r="AA27" s="92">
        <v>0</v>
      </c>
      <c r="AB27" s="88">
        <v>0</v>
      </c>
      <c r="AC27" s="87">
        <v>1</v>
      </c>
      <c r="AD27" s="87">
        <v>1</v>
      </c>
      <c r="AE27" s="88">
        <v>1.0249999999999999</v>
      </c>
      <c r="AF27" s="88">
        <v>1.014313571147019</v>
      </c>
      <c r="AG27" s="88">
        <v>1.039670568418813</v>
      </c>
      <c r="AH27" s="88">
        <v>45900</v>
      </c>
      <c r="AI27" s="88">
        <v>46209.25</v>
      </c>
      <c r="AJ27" s="88">
        <v>37934.71690371992</v>
      </c>
      <c r="AK27" s="88">
        <v>44698.842764165187</v>
      </c>
      <c r="AL27" s="88">
        <v>45374.004091518917</v>
      </c>
      <c r="AM27" s="88">
        <v>45000</v>
      </c>
      <c r="AN27" s="88">
        <v>30150</v>
      </c>
      <c r="AO27" s="88">
        <v>30197.13039762562</v>
      </c>
      <c r="AP27" s="88">
        <v>28985.723157579199</v>
      </c>
      <c r="AQ27" s="88">
        <v>0</v>
      </c>
      <c r="AR27" s="88">
        <v>43414.176604582593</v>
      </c>
      <c r="AS27" s="88">
        <v>44842.548077324551</v>
      </c>
      <c r="AT27" s="88">
        <v>30197.13039762562</v>
      </c>
      <c r="AU27" s="88">
        <v>28985.723157579199</v>
      </c>
      <c r="AV27" s="88">
        <v>38250</v>
      </c>
      <c r="AW27" s="88">
        <v>37800</v>
      </c>
      <c r="AX27" s="88">
        <v>38475</v>
      </c>
      <c r="AY27" s="88">
        <v>45000</v>
      </c>
      <c r="AZ27" s="88">
        <v>45000</v>
      </c>
      <c r="BA27" s="88">
        <v>45000</v>
      </c>
      <c r="BB27" s="88">
        <v>45000</v>
      </c>
      <c r="BC27" s="88">
        <v>45000</v>
      </c>
      <c r="BD27" s="88">
        <v>45000</v>
      </c>
      <c r="BE27" s="88">
        <v>45000</v>
      </c>
      <c r="BF27" s="88">
        <v>45000</v>
      </c>
      <c r="BG27" s="88">
        <v>45000</v>
      </c>
      <c r="BH27" s="88">
        <v>45000</v>
      </c>
      <c r="BI27" s="88">
        <v>45000</v>
      </c>
      <c r="BJ27" s="88">
        <v>45000</v>
      </c>
      <c r="BK27" s="88">
        <v>1561.2919141881559</v>
      </c>
      <c r="BL27" s="88">
        <v>647.57136098407716</v>
      </c>
      <c r="BM27" s="88">
        <v>646.81906787170226</v>
      </c>
      <c r="BN27" s="88">
        <v>646.0431088735063</v>
      </c>
      <c r="BO27" s="88">
        <v>645.26900940894745</v>
      </c>
      <c r="BP27" s="88">
        <v>2470.276633313711</v>
      </c>
      <c r="BQ27" s="88">
        <v>2469.4754169034532</v>
      </c>
      <c r="BR27" s="88">
        <v>2468.6630262462668</v>
      </c>
      <c r="BS27" s="88">
        <v>2467.8656605544038</v>
      </c>
      <c r="BT27" s="88">
        <v>2467.0701942790238</v>
      </c>
      <c r="BU27" s="88">
        <v>2466.2766206412311</v>
      </c>
      <c r="BV27" s="88">
        <v>2465.4849328944019</v>
      </c>
      <c r="BW27" s="88">
        <v>900.0000000000008</v>
      </c>
      <c r="BX27" s="88">
        <v>0</v>
      </c>
      <c r="BY27" s="88">
        <v>0</v>
      </c>
      <c r="BZ27" s="88">
        <v>0</v>
      </c>
      <c r="CA27" s="88">
        <v>0</v>
      </c>
      <c r="CB27" s="88">
        <v>1800.000000000002</v>
      </c>
      <c r="CC27" s="88">
        <v>1800.000000000002</v>
      </c>
      <c r="CD27" s="88">
        <v>1800.000000000002</v>
      </c>
      <c r="CE27" s="88">
        <v>1800.000000000002</v>
      </c>
      <c r="CF27" s="88">
        <v>1800.000000000002</v>
      </c>
      <c r="CG27" s="88">
        <v>1800.000000000002</v>
      </c>
      <c r="CH27" s="88">
        <v>1800.000000000002</v>
      </c>
      <c r="CI27" s="88">
        <v>45000</v>
      </c>
      <c r="CJ27" s="88">
        <v>45000</v>
      </c>
      <c r="CK27" s="88">
        <v>45000</v>
      </c>
      <c r="CL27" s="88">
        <v>45000</v>
      </c>
      <c r="CM27" s="88">
        <v>45000</v>
      </c>
      <c r="CN27" s="88">
        <v>45000</v>
      </c>
      <c r="CO27" s="88">
        <v>45000</v>
      </c>
      <c r="CP27" s="88">
        <v>45000</v>
      </c>
      <c r="CQ27" s="88">
        <v>45000</v>
      </c>
      <c r="CR27" s="88">
        <v>45000</v>
      </c>
      <c r="CS27" s="88">
        <v>45000</v>
      </c>
      <c r="CT27" s="88">
        <v>45000</v>
      </c>
      <c r="CU27" s="88">
        <v>648.32540606682085</v>
      </c>
      <c r="CV27" s="88">
        <v>647.57136098407716</v>
      </c>
      <c r="CW27" s="88">
        <v>646.81906787170226</v>
      </c>
      <c r="CX27" s="88">
        <v>646.0431088735063</v>
      </c>
      <c r="CY27" s="88">
        <v>645.26900940894745</v>
      </c>
      <c r="CZ27" s="88">
        <v>644.49676280164624</v>
      </c>
      <c r="DA27" s="88">
        <v>643.72636240716758</v>
      </c>
      <c r="DB27" s="88">
        <v>642.94521754448385</v>
      </c>
      <c r="DC27" s="88">
        <v>642.17851976385077</v>
      </c>
      <c r="DD27" s="88">
        <v>641.41364834520925</v>
      </c>
      <c r="DE27" s="88">
        <v>640.65059677041347</v>
      </c>
      <c r="DF27" s="88">
        <v>639.88935855231239</v>
      </c>
      <c r="DG27" s="93">
        <v>46054</v>
      </c>
      <c r="DH27" s="91">
        <v>0.02</v>
      </c>
      <c r="DI27" t="s">
        <v>301</v>
      </c>
      <c r="DJ27" s="93">
        <v>46539</v>
      </c>
      <c r="DK27" s="91">
        <v>0.04</v>
      </c>
      <c r="DL27" t="s">
        <v>302</v>
      </c>
      <c r="DM27" s="93"/>
      <c r="DN27" s="91"/>
      <c r="DP27" s="93"/>
      <c r="DQ27" s="91"/>
    </row>
    <row r="28" spans="1:121" x14ac:dyDescent="0.3">
      <c r="A28" t="s">
        <v>22</v>
      </c>
      <c r="B28" t="s">
        <v>45</v>
      </c>
      <c r="C28" t="s">
        <v>58</v>
      </c>
      <c r="D28" t="s">
        <v>353</v>
      </c>
      <c r="E28" t="s">
        <v>354</v>
      </c>
      <c r="F28" s="86">
        <v>103500</v>
      </c>
      <c r="G28" s="87">
        <v>12</v>
      </c>
      <c r="H28" s="88">
        <v>1</v>
      </c>
      <c r="I28" s="88">
        <v>1</v>
      </c>
      <c r="J28" s="89">
        <v>0.83900209700948214</v>
      </c>
      <c r="K28" s="88">
        <v>1</v>
      </c>
      <c r="L28" s="88">
        <v>1.0131083140670549</v>
      </c>
      <c r="M28" s="88">
        <v>1</v>
      </c>
      <c r="N28" s="90">
        <v>0.65400000000000003</v>
      </c>
      <c r="O28" s="90">
        <v>0.66257283739985384</v>
      </c>
      <c r="P28" s="90">
        <v>0.66521328766674614</v>
      </c>
      <c r="Q28" s="91">
        <v>0</v>
      </c>
      <c r="R28" s="88">
        <v>1</v>
      </c>
      <c r="S28" s="88">
        <v>1.017145699796248</v>
      </c>
      <c r="T28" s="91">
        <v>0</v>
      </c>
      <c r="U28" s="91">
        <v>0</v>
      </c>
      <c r="V28" s="87">
        <v>0</v>
      </c>
      <c r="W28" s="91">
        <v>0</v>
      </c>
      <c r="X28" s="87">
        <v>1</v>
      </c>
      <c r="Y28" s="90">
        <v>0.66257283739985384</v>
      </c>
      <c r="Z28" s="90">
        <v>0.66521328766674614</v>
      </c>
      <c r="AA28" s="92">
        <v>0</v>
      </c>
      <c r="AB28" s="88">
        <v>0</v>
      </c>
      <c r="AC28" s="87">
        <v>0</v>
      </c>
      <c r="AD28" s="87">
        <v>0</v>
      </c>
      <c r="AE28" s="88">
        <v>1</v>
      </c>
      <c r="AF28" s="88">
        <v>0.99525154750742739</v>
      </c>
      <c r="AG28" s="88">
        <v>0.99525154750742739</v>
      </c>
      <c r="AH28" s="88">
        <v>103500</v>
      </c>
      <c r="AI28" s="88">
        <v>103500</v>
      </c>
      <c r="AJ28" s="88">
        <v>86836.717040481395</v>
      </c>
      <c r="AK28" s="88">
        <v>103500</v>
      </c>
      <c r="AL28" s="88">
        <v>104856.71050594019</v>
      </c>
      <c r="AM28" s="88">
        <v>103500</v>
      </c>
      <c r="AN28" s="88">
        <v>67689</v>
      </c>
      <c r="AO28" s="88">
        <v>68576.288670884867</v>
      </c>
      <c r="AP28" s="88">
        <v>68849.575273508221</v>
      </c>
      <c r="AQ28" s="88">
        <v>0</v>
      </c>
      <c r="AR28" s="88">
        <v>103500</v>
      </c>
      <c r="AS28" s="88">
        <v>105274.5799289117</v>
      </c>
      <c r="AT28" s="88">
        <v>68576.288670884867</v>
      </c>
      <c r="AU28" s="88">
        <v>68849.575273508221</v>
      </c>
      <c r="AV28" s="88">
        <v>87975</v>
      </c>
      <c r="AW28" s="88">
        <v>86940</v>
      </c>
      <c r="AX28" s="88">
        <v>86422.5</v>
      </c>
      <c r="AY28" s="88">
        <v>103500</v>
      </c>
      <c r="AZ28" s="88">
        <v>103500</v>
      </c>
      <c r="BA28" s="88">
        <v>103500</v>
      </c>
      <c r="BB28" s="88">
        <v>103500</v>
      </c>
      <c r="BC28" s="88">
        <v>103500</v>
      </c>
      <c r="BD28" s="88">
        <v>103500</v>
      </c>
      <c r="BE28" s="88">
        <v>103500</v>
      </c>
      <c r="BF28" s="88">
        <v>103500</v>
      </c>
      <c r="BG28" s="88">
        <v>103500</v>
      </c>
      <c r="BH28" s="88">
        <v>103500</v>
      </c>
      <c r="BI28" s="88">
        <v>103500</v>
      </c>
      <c r="BJ28" s="88">
        <v>103500</v>
      </c>
      <c r="BK28" s="88">
        <v>-490.40352573880369</v>
      </c>
      <c r="BL28" s="88">
        <v>-490.5913978494612</v>
      </c>
      <c r="BM28" s="88">
        <v>-490.77941396176777</v>
      </c>
      <c r="BN28" s="88">
        <v>-490.97395508421607</v>
      </c>
      <c r="BO28" s="88">
        <v>-491.16865049698799</v>
      </c>
      <c r="BP28" s="88">
        <v>-491.363500383695</v>
      </c>
      <c r="BQ28" s="88">
        <v>-491.55850492827051</v>
      </c>
      <c r="BR28" s="88">
        <v>-491.75686494014752</v>
      </c>
      <c r="BS28" s="88">
        <v>-491.95218189632499</v>
      </c>
      <c r="BT28" s="88">
        <v>-492.14765406687098</v>
      </c>
      <c r="BU28" s="88">
        <v>-492.34328163690219</v>
      </c>
      <c r="BV28" s="88">
        <v>-492.53906479181143</v>
      </c>
      <c r="BW28" s="88">
        <v>0</v>
      </c>
      <c r="BX28" s="88">
        <v>0</v>
      </c>
      <c r="BY28" s="88">
        <v>0</v>
      </c>
      <c r="BZ28" s="88">
        <v>0</v>
      </c>
      <c r="CA28" s="88">
        <v>0</v>
      </c>
      <c r="CB28" s="88">
        <v>0</v>
      </c>
      <c r="CC28" s="88">
        <v>0</v>
      </c>
      <c r="CD28" s="88">
        <v>0</v>
      </c>
      <c r="CE28" s="88">
        <v>0</v>
      </c>
      <c r="CF28" s="88">
        <v>0</v>
      </c>
      <c r="CG28" s="88">
        <v>0</v>
      </c>
      <c r="CH28" s="88">
        <v>0</v>
      </c>
      <c r="CI28" s="88">
        <v>103500</v>
      </c>
      <c r="CJ28" s="88">
        <v>103500</v>
      </c>
      <c r="CK28" s="88">
        <v>103500</v>
      </c>
      <c r="CL28" s="88">
        <v>103500</v>
      </c>
      <c r="CM28" s="88">
        <v>103500</v>
      </c>
      <c r="CN28" s="88">
        <v>103500</v>
      </c>
      <c r="CO28" s="88">
        <v>103500</v>
      </c>
      <c r="CP28" s="88">
        <v>103500</v>
      </c>
      <c r="CQ28" s="88">
        <v>103500</v>
      </c>
      <c r="CR28" s="88">
        <v>103500</v>
      </c>
      <c r="CS28" s="88">
        <v>103500</v>
      </c>
      <c r="CT28" s="88">
        <v>103500</v>
      </c>
      <c r="CU28" s="88">
        <v>-490.40352573880369</v>
      </c>
      <c r="CV28" s="88">
        <v>-490.5913978494612</v>
      </c>
      <c r="CW28" s="88">
        <v>-490.77941396176777</v>
      </c>
      <c r="CX28" s="88">
        <v>-490.97395508421607</v>
      </c>
      <c r="CY28" s="88">
        <v>-491.16865049698799</v>
      </c>
      <c r="CZ28" s="88">
        <v>-491.363500383695</v>
      </c>
      <c r="DA28" s="88">
        <v>-491.55850492827051</v>
      </c>
      <c r="DB28" s="88">
        <v>-491.75686494014752</v>
      </c>
      <c r="DC28" s="88">
        <v>-491.95218189632499</v>
      </c>
      <c r="DD28" s="88">
        <v>-492.14765406687098</v>
      </c>
      <c r="DE28" s="88">
        <v>-492.34328163690219</v>
      </c>
      <c r="DF28" s="88">
        <v>-492.53906479181143</v>
      </c>
      <c r="DG28" s="93"/>
      <c r="DH28" s="91"/>
      <c r="DJ28" s="93"/>
      <c r="DK28" s="91"/>
      <c r="DM28" s="93"/>
      <c r="DN28" s="91"/>
      <c r="DP28" s="93"/>
      <c r="DQ28" s="91"/>
    </row>
    <row r="29" spans="1:121" x14ac:dyDescent="0.3">
      <c r="A29" t="s">
        <v>22</v>
      </c>
      <c r="B29" t="s">
        <v>45</v>
      </c>
      <c r="C29" t="s">
        <v>65</v>
      </c>
      <c r="D29" t="s">
        <v>355</v>
      </c>
      <c r="E29" t="s">
        <v>356</v>
      </c>
      <c r="F29" s="86">
        <v>85500</v>
      </c>
      <c r="G29" s="87">
        <v>12</v>
      </c>
      <c r="H29" s="88">
        <v>1.04</v>
      </c>
      <c r="I29" s="88">
        <v>1.0387500000000001</v>
      </c>
      <c r="J29" s="89">
        <v>0.84199580598103541</v>
      </c>
      <c r="K29" s="88">
        <v>1.001203369434416</v>
      </c>
      <c r="L29" s="88">
        <v>1.0095062160192581</v>
      </c>
      <c r="M29" s="88">
        <v>1</v>
      </c>
      <c r="N29" s="90">
        <v>0.63800000000000001</v>
      </c>
      <c r="O29" s="90">
        <v>0.64484001391393286</v>
      </c>
      <c r="P29" s="90">
        <v>0.63901011985531719</v>
      </c>
      <c r="Q29" s="91">
        <v>0</v>
      </c>
      <c r="R29" s="88">
        <v>0.99999999999999978</v>
      </c>
      <c r="S29" s="88">
        <v>1.0015832599613119</v>
      </c>
      <c r="T29" s="91">
        <v>-1.2019230769230169E-3</v>
      </c>
      <c r="U29" s="91">
        <v>1.2033694344164569E-3</v>
      </c>
      <c r="V29" s="87">
        <v>0</v>
      </c>
      <c r="W29" s="91">
        <v>0</v>
      </c>
      <c r="X29" s="87">
        <v>1</v>
      </c>
      <c r="Y29" s="90">
        <v>0.64484001391393286</v>
      </c>
      <c r="Z29" s="90">
        <v>0.63901011985531719</v>
      </c>
      <c r="AA29" s="92">
        <v>0</v>
      </c>
      <c r="AB29" s="88">
        <v>0</v>
      </c>
      <c r="AC29" s="87">
        <v>1</v>
      </c>
      <c r="AD29" s="87">
        <v>0</v>
      </c>
      <c r="AE29" s="88">
        <v>1.01</v>
      </c>
      <c r="AF29" s="88">
        <v>1.009530917047716</v>
      </c>
      <c r="AG29" s="88">
        <v>1.019626566981003</v>
      </c>
      <c r="AH29" s="88">
        <v>88920</v>
      </c>
      <c r="AI29" s="88">
        <v>88813.125</v>
      </c>
      <c r="AJ29" s="88">
        <v>71990.641411378529</v>
      </c>
      <c r="AK29" s="88">
        <v>85602.88808664259</v>
      </c>
      <c r="AL29" s="88">
        <v>86312.781469646521</v>
      </c>
      <c r="AM29" s="88">
        <v>85500</v>
      </c>
      <c r="AN29" s="88">
        <v>54549</v>
      </c>
      <c r="AO29" s="88">
        <v>55133.821189641261</v>
      </c>
      <c r="AP29" s="88">
        <v>54635.365247629619</v>
      </c>
      <c r="AQ29" s="88">
        <v>0</v>
      </c>
      <c r="AR29" s="88">
        <v>85499.999999999985</v>
      </c>
      <c r="AS29" s="88">
        <v>85635.368726692206</v>
      </c>
      <c r="AT29" s="88">
        <v>55133.821189641261</v>
      </c>
      <c r="AU29" s="88">
        <v>54635.365247629619</v>
      </c>
      <c r="AV29" s="88">
        <v>72675</v>
      </c>
      <c r="AW29" s="88">
        <v>71820</v>
      </c>
      <c r="AX29" s="88">
        <v>72675</v>
      </c>
      <c r="AY29" s="88">
        <v>85500</v>
      </c>
      <c r="AZ29" s="88">
        <v>85500</v>
      </c>
      <c r="BA29" s="88">
        <v>85500</v>
      </c>
      <c r="BB29" s="88">
        <v>85500</v>
      </c>
      <c r="BC29" s="88">
        <v>85500</v>
      </c>
      <c r="BD29" s="88">
        <v>85500</v>
      </c>
      <c r="BE29" s="88">
        <v>85500</v>
      </c>
      <c r="BF29" s="88">
        <v>85500</v>
      </c>
      <c r="BG29" s="88">
        <v>85500</v>
      </c>
      <c r="BH29" s="88">
        <v>85500</v>
      </c>
      <c r="BI29" s="88">
        <v>85500</v>
      </c>
      <c r="BJ29" s="88">
        <v>85500</v>
      </c>
      <c r="BK29" s="88">
        <v>4271.1768794010113</v>
      </c>
      <c r="BL29" s="88">
        <v>4270.5188679245184</v>
      </c>
      <c r="BM29" s="88">
        <v>4269.8618730279377</v>
      </c>
      <c r="BN29" s="88">
        <v>816.52276295133424</v>
      </c>
      <c r="BO29" s="88">
        <v>815.8716879517865</v>
      </c>
      <c r="BP29" s="88">
        <v>815.22165042710594</v>
      </c>
      <c r="BQ29" s="88">
        <v>814.57264789945134</v>
      </c>
      <c r="BR29" s="88">
        <v>813.91406402818438</v>
      </c>
      <c r="BS29" s="88">
        <v>813.26714095849263</v>
      </c>
      <c r="BT29" s="88">
        <v>812.62124545940446</v>
      </c>
      <c r="BU29" s="88">
        <v>811.97637508455591</v>
      </c>
      <c r="BV29" s="88">
        <v>811.33252739540444</v>
      </c>
      <c r="BW29" s="88">
        <v>3420.0000000000032</v>
      </c>
      <c r="BX29" s="88">
        <v>3420.0000000000032</v>
      </c>
      <c r="BY29" s="88">
        <v>3420.0000000000032</v>
      </c>
      <c r="BZ29" s="88">
        <v>0</v>
      </c>
      <c r="CA29" s="88">
        <v>0</v>
      </c>
      <c r="CB29" s="88">
        <v>0</v>
      </c>
      <c r="CC29" s="88">
        <v>0</v>
      </c>
      <c r="CD29" s="88">
        <v>0</v>
      </c>
      <c r="CE29" s="88">
        <v>0</v>
      </c>
      <c r="CF29" s="88">
        <v>0</v>
      </c>
      <c r="CG29" s="88">
        <v>0</v>
      </c>
      <c r="CH29" s="88">
        <v>0</v>
      </c>
      <c r="CI29" s="88">
        <v>85500</v>
      </c>
      <c r="CJ29" s="88">
        <v>85500</v>
      </c>
      <c r="CK29" s="88">
        <v>85500</v>
      </c>
      <c r="CL29" s="88">
        <v>85500</v>
      </c>
      <c r="CM29" s="88">
        <v>85500</v>
      </c>
      <c r="CN29" s="88">
        <v>85500</v>
      </c>
      <c r="CO29" s="88">
        <v>85500</v>
      </c>
      <c r="CP29" s="88">
        <v>85500</v>
      </c>
      <c r="CQ29" s="88">
        <v>85500</v>
      </c>
      <c r="CR29" s="88">
        <v>85500</v>
      </c>
      <c r="CS29" s="88">
        <v>85500</v>
      </c>
      <c r="CT29" s="88">
        <v>85500</v>
      </c>
      <c r="CU29" s="88">
        <v>818.43930711635358</v>
      </c>
      <c r="CV29" s="88">
        <v>817.80660377357481</v>
      </c>
      <c r="CW29" s="88">
        <v>817.17487791146846</v>
      </c>
      <c r="CX29" s="88">
        <v>816.52276295133424</v>
      </c>
      <c r="CY29" s="88">
        <v>815.8716879517865</v>
      </c>
      <c r="CZ29" s="88">
        <v>815.22165042710594</v>
      </c>
      <c r="DA29" s="88">
        <v>814.57264789945134</v>
      </c>
      <c r="DB29" s="88">
        <v>813.91406402818438</v>
      </c>
      <c r="DC29" s="88">
        <v>813.26714095849263</v>
      </c>
      <c r="DD29" s="88">
        <v>812.62124545940446</v>
      </c>
      <c r="DE29" s="88">
        <v>811.97637508455591</v>
      </c>
      <c r="DF29" s="88">
        <v>811.33252739540444</v>
      </c>
      <c r="DG29" s="93">
        <v>46113</v>
      </c>
      <c r="DH29" s="91">
        <v>0.04</v>
      </c>
      <c r="DI29" t="s">
        <v>301</v>
      </c>
      <c r="DJ29" s="93"/>
      <c r="DK29" s="91"/>
      <c r="DM29" s="93"/>
      <c r="DN29" s="91"/>
      <c r="DP29" s="93"/>
      <c r="DQ29" s="91"/>
    </row>
    <row r="30" spans="1:121" x14ac:dyDescent="0.3">
      <c r="A30" t="s">
        <v>22</v>
      </c>
      <c r="B30" t="s">
        <v>45</v>
      </c>
      <c r="C30" t="s">
        <v>66</v>
      </c>
      <c r="D30" t="s">
        <v>357</v>
      </c>
      <c r="E30" t="s">
        <v>358</v>
      </c>
      <c r="F30" s="86">
        <v>67500</v>
      </c>
      <c r="G30" s="87">
        <v>12</v>
      </c>
      <c r="H30" s="88">
        <v>1.05</v>
      </c>
      <c r="I30" s="88">
        <v>1.0472222222222221</v>
      </c>
      <c r="J30" s="89">
        <v>0.8380041940189642</v>
      </c>
      <c r="K30" s="88">
        <v>1.0026525198938989</v>
      </c>
      <c r="L30" s="88">
        <v>1.0143147326309969</v>
      </c>
      <c r="M30" s="88">
        <v>1</v>
      </c>
      <c r="N30" s="90">
        <v>0.66600000000000004</v>
      </c>
      <c r="O30" s="90">
        <v>0.67732547827689193</v>
      </c>
      <c r="P30" s="90">
        <v>0.68094584512392253</v>
      </c>
      <c r="Q30" s="91">
        <v>0</v>
      </c>
      <c r="R30" s="88">
        <v>1</v>
      </c>
      <c r="S30" s="88">
        <v>1.022441208894779</v>
      </c>
      <c r="T30" s="91">
        <v>-2.6455026455026731E-3</v>
      </c>
      <c r="U30" s="91">
        <v>2.6525198938991408E-3</v>
      </c>
      <c r="V30" s="87">
        <v>0</v>
      </c>
      <c r="W30" s="91">
        <v>0</v>
      </c>
      <c r="X30" s="87">
        <v>1</v>
      </c>
      <c r="Y30" s="90">
        <v>0.67732547827689193</v>
      </c>
      <c r="Z30" s="90">
        <v>0.68094584512392253</v>
      </c>
      <c r="AA30" s="92">
        <v>0</v>
      </c>
      <c r="AB30" s="88">
        <v>0</v>
      </c>
      <c r="AC30" s="87">
        <v>1</v>
      </c>
      <c r="AD30" s="87">
        <v>0</v>
      </c>
      <c r="AE30" s="88">
        <v>1.0166666666666671</v>
      </c>
      <c r="AF30" s="88">
        <v>0.99051430760215442</v>
      </c>
      <c r="AG30" s="88">
        <v>1.00702337892503</v>
      </c>
      <c r="AH30" s="88">
        <v>70875</v>
      </c>
      <c r="AI30" s="88">
        <v>70687.5</v>
      </c>
      <c r="AJ30" s="88">
        <v>56565.28309628008</v>
      </c>
      <c r="AK30" s="88">
        <v>67679.045092838191</v>
      </c>
      <c r="AL30" s="88">
        <v>68466.244452592306</v>
      </c>
      <c r="AM30" s="88">
        <v>67500</v>
      </c>
      <c r="AN30" s="88">
        <v>44955</v>
      </c>
      <c r="AO30" s="88">
        <v>45719.469783690212</v>
      </c>
      <c r="AP30" s="88">
        <v>45963.844545864769</v>
      </c>
      <c r="AQ30" s="88">
        <v>0</v>
      </c>
      <c r="AR30" s="88">
        <v>67500</v>
      </c>
      <c r="AS30" s="88">
        <v>69014.781600397546</v>
      </c>
      <c r="AT30" s="88">
        <v>45719.469783690212</v>
      </c>
      <c r="AU30" s="88">
        <v>45963.844545864769</v>
      </c>
      <c r="AV30" s="88">
        <v>57375</v>
      </c>
      <c r="AW30" s="88">
        <v>56700</v>
      </c>
      <c r="AX30" s="88">
        <v>56025</v>
      </c>
      <c r="AY30" s="88">
        <v>67500</v>
      </c>
      <c r="AZ30" s="88">
        <v>67500</v>
      </c>
      <c r="BA30" s="88">
        <v>67500</v>
      </c>
      <c r="BB30" s="88">
        <v>67500</v>
      </c>
      <c r="BC30" s="88">
        <v>67500</v>
      </c>
      <c r="BD30" s="88">
        <v>67500</v>
      </c>
      <c r="BE30" s="88">
        <v>67500</v>
      </c>
      <c r="BF30" s="88">
        <v>67500</v>
      </c>
      <c r="BG30" s="88">
        <v>67500</v>
      </c>
      <c r="BH30" s="88">
        <v>67500</v>
      </c>
      <c r="BI30" s="88">
        <v>67500</v>
      </c>
      <c r="BJ30" s="88">
        <v>67500</v>
      </c>
      <c r="BK30" s="88">
        <v>2705.5979997671102</v>
      </c>
      <c r="BL30" s="88">
        <v>2705.0866221255478</v>
      </c>
      <c r="BM30" s="88">
        <v>2704.5744625711059</v>
      </c>
      <c r="BN30" s="88">
        <v>2704.044117647069</v>
      </c>
      <c r="BO30" s="88">
        <v>-639.51149238815901</v>
      </c>
      <c r="BP30" s="88">
        <v>-640.01818417976062</v>
      </c>
      <c r="BQ30" s="88">
        <v>-640.5256795226727</v>
      </c>
      <c r="BR30" s="88">
        <v>-641.04231985118111</v>
      </c>
      <c r="BS30" s="88">
        <v>-641.55144129364317</v>
      </c>
      <c r="BT30" s="88">
        <v>-642.06137207636266</v>
      </c>
      <c r="BU30" s="88">
        <v>-642.57211413071695</v>
      </c>
      <c r="BV30" s="88">
        <v>-643.08366939431119</v>
      </c>
      <c r="BW30" s="88">
        <v>3375.0000000000032</v>
      </c>
      <c r="BX30" s="88">
        <v>3375.0000000000032</v>
      </c>
      <c r="BY30" s="88">
        <v>3375.0000000000032</v>
      </c>
      <c r="BZ30" s="88">
        <v>3375.0000000000032</v>
      </c>
      <c r="CA30" s="88">
        <v>0</v>
      </c>
      <c r="CB30" s="88">
        <v>0</v>
      </c>
      <c r="CC30" s="88">
        <v>0</v>
      </c>
      <c r="CD30" s="88">
        <v>0</v>
      </c>
      <c r="CE30" s="88">
        <v>0</v>
      </c>
      <c r="CF30" s="88">
        <v>0</v>
      </c>
      <c r="CG30" s="88">
        <v>0</v>
      </c>
      <c r="CH30" s="88">
        <v>0</v>
      </c>
      <c r="CI30" s="88">
        <v>67500</v>
      </c>
      <c r="CJ30" s="88">
        <v>67500</v>
      </c>
      <c r="CK30" s="88">
        <v>67500</v>
      </c>
      <c r="CL30" s="88">
        <v>67500</v>
      </c>
      <c r="CM30" s="88">
        <v>67500</v>
      </c>
      <c r="CN30" s="88">
        <v>67500</v>
      </c>
      <c r="CO30" s="88">
        <v>67500</v>
      </c>
      <c r="CP30" s="88">
        <v>67500</v>
      </c>
      <c r="CQ30" s="88">
        <v>67500</v>
      </c>
      <c r="CR30" s="88">
        <v>67500</v>
      </c>
      <c r="CS30" s="88">
        <v>67500</v>
      </c>
      <c r="CT30" s="88">
        <v>67500</v>
      </c>
      <c r="CU30" s="88">
        <v>-637.52571450751054</v>
      </c>
      <c r="CV30" s="88">
        <v>-638.0127408328118</v>
      </c>
      <c r="CW30" s="88">
        <v>-638.50051183704159</v>
      </c>
      <c r="CX30" s="88">
        <v>-639.00560224089077</v>
      </c>
      <c r="CY30" s="88">
        <v>-639.51149238815901</v>
      </c>
      <c r="CZ30" s="88">
        <v>-640.01818417976062</v>
      </c>
      <c r="DA30" s="88">
        <v>-640.5256795226727</v>
      </c>
      <c r="DB30" s="88">
        <v>-641.04231985118111</v>
      </c>
      <c r="DC30" s="88">
        <v>-641.55144129364317</v>
      </c>
      <c r="DD30" s="88">
        <v>-642.06137207636266</v>
      </c>
      <c r="DE30" s="88">
        <v>-642.57211413071695</v>
      </c>
      <c r="DF30" s="88">
        <v>-643.08366939431119</v>
      </c>
      <c r="DG30" s="93">
        <v>46143</v>
      </c>
      <c r="DH30" s="91">
        <v>0.05</v>
      </c>
      <c r="DI30" t="s">
        <v>301</v>
      </c>
      <c r="DJ30" s="93"/>
      <c r="DK30" s="91"/>
      <c r="DM30" s="93"/>
      <c r="DN30" s="91"/>
      <c r="DP30" s="93"/>
      <c r="DQ30" s="91"/>
    </row>
    <row r="31" spans="1:121" x14ac:dyDescent="0.3">
      <c r="A31" t="s">
        <v>22</v>
      </c>
      <c r="B31" t="s">
        <v>45</v>
      </c>
      <c r="C31" t="s">
        <v>67</v>
      </c>
      <c r="D31" t="s">
        <v>359</v>
      </c>
      <c r="E31" t="s">
        <v>360</v>
      </c>
      <c r="F31" s="86">
        <v>49500</v>
      </c>
      <c r="G31" s="87">
        <v>12</v>
      </c>
      <c r="H31" s="88">
        <v>1</v>
      </c>
      <c r="I31" s="88">
        <v>1.00125</v>
      </c>
      <c r="J31" s="89">
        <v>0.84099790299051769</v>
      </c>
      <c r="K31" s="88">
        <v>0.99875156054931336</v>
      </c>
      <c r="L31" s="88">
        <v>1.0107040659405591</v>
      </c>
      <c r="M31" s="88">
        <v>1</v>
      </c>
      <c r="N31" s="90">
        <v>0.65</v>
      </c>
      <c r="O31" s="90">
        <v>0.65613747102258502</v>
      </c>
      <c r="P31" s="90">
        <v>0.63607913623003109</v>
      </c>
      <c r="Q31" s="91">
        <v>0</v>
      </c>
      <c r="R31" s="88">
        <v>0.97205346294046169</v>
      </c>
      <c r="S31" s="88">
        <v>1.006717555994838</v>
      </c>
      <c r="T31" s="91">
        <v>1.2499999999999729E-3</v>
      </c>
      <c r="U31" s="91">
        <v>2.7465667915106181E-2</v>
      </c>
      <c r="V31" s="87">
        <v>0</v>
      </c>
      <c r="W31" s="91">
        <v>0</v>
      </c>
      <c r="X31" s="87">
        <v>1</v>
      </c>
      <c r="Y31" s="90">
        <v>0.65613747102258502</v>
      </c>
      <c r="Z31" s="90">
        <v>0.63607913623003109</v>
      </c>
      <c r="AA31" s="92">
        <v>0</v>
      </c>
      <c r="AB31" s="88">
        <v>0</v>
      </c>
      <c r="AC31" s="87">
        <v>0</v>
      </c>
      <c r="AD31" s="87">
        <v>1</v>
      </c>
      <c r="AE31" s="88">
        <v>1.01</v>
      </c>
      <c r="AF31" s="88">
        <v>1.00475975841704</v>
      </c>
      <c r="AG31" s="88">
        <v>1.014807270853368</v>
      </c>
      <c r="AH31" s="88">
        <v>49500</v>
      </c>
      <c r="AI31" s="88">
        <v>49561.875</v>
      </c>
      <c r="AJ31" s="88">
        <v>41629.396198030627</v>
      </c>
      <c r="AK31" s="88">
        <v>49438.20224719101</v>
      </c>
      <c r="AL31" s="88">
        <v>50029.851264057659</v>
      </c>
      <c r="AM31" s="88">
        <v>49500</v>
      </c>
      <c r="AN31" s="88">
        <v>32175</v>
      </c>
      <c r="AO31" s="88">
        <v>32478.804815617961</v>
      </c>
      <c r="AP31" s="88">
        <v>31485.917243386539</v>
      </c>
      <c r="AQ31" s="88">
        <v>0</v>
      </c>
      <c r="AR31" s="88">
        <v>48116.646415552852</v>
      </c>
      <c r="AS31" s="88">
        <v>49832.519021744461</v>
      </c>
      <c r="AT31" s="88">
        <v>32478.804815617961</v>
      </c>
      <c r="AU31" s="88">
        <v>31485.917243386539</v>
      </c>
      <c r="AV31" s="88">
        <v>42075</v>
      </c>
      <c r="AW31" s="88">
        <v>41580</v>
      </c>
      <c r="AX31" s="88">
        <v>41827.5</v>
      </c>
      <c r="AY31" s="88">
        <v>49500</v>
      </c>
      <c r="AZ31" s="88">
        <v>49500</v>
      </c>
      <c r="BA31" s="88">
        <v>49500</v>
      </c>
      <c r="BB31" s="88">
        <v>49500</v>
      </c>
      <c r="BC31" s="88">
        <v>49500</v>
      </c>
      <c r="BD31" s="88">
        <v>49500</v>
      </c>
      <c r="BE31" s="88">
        <v>49500</v>
      </c>
      <c r="BF31" s="88">
        <v>49500</v>
      </c>
      <c r="BG31" s="88">
        <v>49500</v>
      </c>
      <c r="BH31" s="88">
        <v>49500</v>
      </c>
      <c r="BI31" s="88">
        <v>49500</v>
      </c>
      <c r="BJ31" s="88">
        <v>49500</v>
      </c>
      <c r="BK31" s="88">
        <v>236.11936982559351</v>
      </c>
      <c r="BL31" s="88">
        <v>236.02837435335019</v>
      </c>
      <c r="BM31" s="88">
        <v>235.93744898958201</v>
      </c>
      <c r="BN31" s="88">
        <v>235.84351503759129</v>
      </c>
      <c r="BO31" s="88">
        <v>235.74965585181971</v>
      </c>
      <c r="BP31" s="88">
        <v>235.65587134304079</v>
      </c>
      <c r="BQ31" s="88">
        <v>235.5621614221707</v>
      </c>
      <c r="BR31" s="88">
        <v>235.46699161350489</v>
      </c>
      <c r="BS31" s="88">
        <v>235.37343182085169</v>
      </c>
      <c r="BT31" s="88">
        <v>2224.6911442021601</v>
      </c>
      <c r="BU31" s="88">
        <v>2224.593996511413</v>
      </c>
      <c r="BV31" s="88">
        <v>2224.4969259295408</v>
      </c>
      <c r="BW31" s="88">
        <v>0</v>
      </c>
      <c r="BX31" s="88">
        <v>0</v>
      </c>
      <c r="BY31" s="88">
        <v>0</v>
      </c>
      <c r="BZ31" s="88">
        <v>0</v>
      </c>
      <c r="CA31" s="88">
        <v>0</v>
      </c>
      <c r="CB31" s="88">
        <v>0</v>
      </c>
      <c r="CC31" s="88">
        <v>0</v>
      </c>
      <c r="CD31" s="88">
        <v>0</v>
      </c>
      <c r="CE31" s="88">
        <v>0</v>
      </c>
      <c r="CF31" s="88">
        <v>1980.000000000002</v>
      </c>
      <c r="CG31" s="88">
        <v>1980.000000000002</v>
      </c>
      <c r="CH31" s="88">
        <v>1980.000000000002</v>
      </c>
      <c r="CI31" s="88">
        <v>49500</v>
      </c>
      <c r="CJ31" s="88">
        <v>49500</v>
      </c>
      <c r="CK31" s="88">
        <v>49500</v>
      </c>
      <c r="CL31" s="88">
        <v>49500</v>
      </c>
      <c r="CM31" s="88">
        <v>49500</v>
      </c>
      <c r="CN31" s="88">
        <v>49500</v>
      </c>
      <c r="CO31" s="88">
        <v>49500</v>
      </c>
      <c r="CP31" s="88">
        <v>49500</v>
      </c>
      <c r="CQ31" s="88">
        <v>49500</v>
      </c>
      <c r="CR31" s="88">
        <v>49500</v>
      </c>
      <c r="CS31" s="88">
        <v>49500</v>
      </c>
      <c r="CT31" s="88">
        <v>49500</v>
      </c>
      <c r="CU31" s="88">
        <v>236.11936982559351</v>
      </c>
      <c r="CV31" s="88">
        <v>236.02837435335019</v>
      </c>
      <c r="CW31" s="88">
        <v>235.93744898958201</v>
      </c>
      <c r="CX31" s="88">
        <v>235.84351503759129</v>
      </c>
      <c r="CY31" s="88">
        <v>235.74965585181971</v>
      </c>
      <c r="CZ31" s="88">
        <v>235.65587134304079</v>
      </c>
      <c r="DA31" s="88">
        <v>235.5621614221707</v>
      </c>
      <c r="DB31" s="88">
        <v>235.46699161350489</v>
      </c>
      <c r="DC31" s="88">
        <v>235.37343182085169</v>
      </c>
      <c r="DD31" s="88">
        <v>235.2799463482296</v>
      </c>
      <c r="DE31" s="88">
        <v>235.18653510712639</v>
      </c>
      <c r="DF31" s="88">
        <v>235.0931980091728</v>
      </c>
      <c r="DG31" s="93">
        <v>46661</v>
      </c>
      <c r="DH31" s="91">
        <v>0.04</v>
      </c>
      <c r="DI31" t="s">
        <v>302</v>
      </c>
      <c r="DJ31" s="93"/>
      <c r="DK31" s="91"/>
      <c r="DM31" s="93"/>
      <c r="DN31" s="91"/>
      <c r="DP31" s="93"/>
      <c r="DQ31" s="91"/>
    </row>
    <row r="32" spans="1:121" x14ac:dyDescent="0.3">
      <c r="A32" t="s">
        <v>22</v>
      </c>
      <c r="B32" t="s">
        <v>45</v>
      </c>
      <c r="C32" t="s">
        <v>73</v>
      </c>
      <c r="D32" t="s">
        <v>361</v>
      </c>
      <c r="E32" t="s">
        <v>362</v>
      </c>
      <c r="F32" s="86">
        <v>108000</v>
      </c>
      <c r="G32" s="87">
        <v>12</v>
      </c>
      <c r="H32" s="88">
        <v>1.02</v>
      </c>
      <c r="I32" s="88">
        <v>1.0175000000000001</v>
      </c>
      <c r="J32" s="89">
        <v>0.84399161196207151</v>
      </c>
      <c r="K32" s="88">
        <v>1.002457002457003</v>
      </c>
      <c r="L32" s="88">
        <v>1.0071190139247479</v>
      </c>
      <c r="M32" s="88">
        <v>1</v>
      </c>
      <c r="N32" s="90">
        <v>0.63400000000000001</v>
      </c>
      <c r="O32" s="90">
        <v>0.64008228395563249</v>
      </c>
      <c r="P32" s="90">
        <v>0.62859210179865366</v>
      </c>
      <c r="Q32" s="91">
        <v>0</v>
      </c>
      <c r="R32" s="88">
        <v>1</v>
      </c>
      <c r="S32" s="88">
        <v>0.99147019211144083</v>
      </c>
      <c r="T32" s="91">
        <v>-2.4509803921570761E-3</v>
      </c>
      <c r="U32" s="91">
        <v>2.4570024570023108E-3</v>
      </c>
      <c r="V32" s="87">
        <v>0</v>
      </c>
      <c r="W32" s="91">
        <v>0</v>
      </c>
      <c r="X32" s="87">
        <v>1</v>
      </c>
      <c r="Y32" s="90">
        <v>0.64008228395563249</v>
      </c>
      <c r="Z32" s="90">
        <v>0.62859210179865366</v>
      </c>
      <c r="AA32" s="92">
        <v>0</v>
      </c>
      <c r="AB32" s="88">
        <v>0</v>
      </c>
      <c r="AC32" s="87">
        <v>1</v>
      </c>
      <c r="AD32" s="87">
        <v>0</v>
      </c>
      <c r="AE32" s="88">
        <v>1.01</v>
      </c>
      <c r="AF32" s="88">
        <v>1.0191078169498311</v>
      </c>
      <c r="AG32" s="88">
        <v>1.029299809940186</v>
      </c>
      <c r="AH32" s="88">
        <v>110160</v>
      </c>
      <c r="AI32" s="88">
        <v>109890</v>
      </c>
      <c r="AJ32" s="88">
        <v>91151.094091903724</v>
      </c>
      <c r="AK32" s="88">
        <v>108265.3562653563</v>
      </c>
      <c r="AL32" s="88">
        <v>108768.8535038728</v>
      </c>
      <c r="AM32" s="88">
        <v>108000</v>
      </c>
      <c r="AN32" s="88">
        <v>68472</v>
      </c>
      <c r="AO32" s="88">
        <v>69128.88666720831</v>
      </c>
      <c r="AP32" s="88">
        <v>67887.946994254598</v>
      </c>
      <c r="AQ32" s="88">
        <v>0</v>
      </c>
      <c r="AR32" s="88">
        <v>108000</v>
      </c>
      <c r="AS32" s="88">
        <v>107078.7807480356</v>
      </c>
      <c r="AT32" s="88">
        <v>69128.88666720831</v>
      </c>
      <c r="AU32" s="88">
        <v>67887.946994254598</v>
      </c>
      <c r="AV32" s="88">
        <v>91800</v>
      </c>
      <c r="AW32" s="88">
        <v>90720</v>
      </c>
      <c r="AX32" s="88">
        <v>92880</v>
      </c>
      <c r="AY32" s="88">
        <v>108000</v>
      </c>
      <c r="AZ32" s="88">
        <v>108000</v>
      </c>
      <c r="BA32" s="88">
        <v>108000</v>
      </c>
      <c r="BB32" s="88">
        <v>108000</v>
      </c>
      <c r="BC32" s="88">
        <v>108000</v>
      </c>
      <c r="BD32" s="88">
        <v>108000</v>
      </c>
      <c r="BE32" s="88">
        <v>108000</v>
      </c>
      <c r="BF32" s="88">
        <v>108000</v>
      </c>
      <c r="BG32" s="88">
        <v>108000</v>
      </c>
      <c r="BH32" s="88">
        <v>108000</v>
      </c>
      <c r="BI32" s="88">
        <v>108000</v>
      </c>
      <c r="BJ32" s="88">
        <v>108000</v>
      </c>
      <c r="BK32" s="88">
        <v>4283.3279645129887</v>
      </c>
      <c r="BL32" s="88">
        <v>4280.025308446704</v>
      </c>
      <c r="BM32" s="88">
        <v>4276.7329104261598</v>
      </c>
      <c r="BN32" s="88">
        <v>4273.3396404919704</v>
      </c>
      <c r="BO32" s="88">
        <v>4269.9572324403835</v>
      </c>
      <c r="BP32" s="88">
        <v>4266.5856342012949</v>
      </c>
      <c r="BQ32" s="88">
        <v>2061.9850921930179</v>
      </c>
      <c r="BR32" s="88">
        <v>2058.646891401419</v>
      </c>
      <c r="BS32" s="88">
        <v>2055.3730642890778</v>
      </c>
      <c r="BT32" s="88">
        <v>2052.1096332543611</v>
      </c>
      <c r="BU32" s="88">
        <v>2048.8565488565418</v>
      </c>
      <c r="BV32" s="88">
        <v>2045.613761967777</v>
      </c>
      <c r="BW32" s="88">
        <v>2160.0000000000018</v>
      </c>
      <c r="BX32" s="88">
        <v>2160.0000000000018</v>
      </c>
      <c r="BY32" s="88">
        <v>2160.0000000000018</v>
      </c>
      <c r="BZ32" s="88">
        <v>2160.0000000000018</v>
      </c>
      <c r="CA32" s="88">
        <v>2160.0000000000018</v>
      </c>
      <c r="CB32" s="88">
        <v>2160.0000000000018</v>
      </c>
      <c r="CC32" s="88">
        <v>0</v>
      </c>
      <c r="CD32" s="88">
        <v>0</v>
      </c>
      <c r="CE32" s="88">
        <v>0</v>
      </c>
      <c r="CF32" s="88">
        <v>0</v>
      </c>
      <c r="CG32" s="88">
        <v>0</v>
      </c>
      <c r="CH32" s="88">
        <v>0</v>
      </c>
      <c r="CI32" s="88">
        <v>108000</v>
      </c>
      <c r="CJ32" s="88">
        <v>108000</v>
      </c>
      <c r="CK32" s="88">
        <v>108000</v>
      </c>
      <c r="CL32" s="88">
        <v>108000</v>
      </c>
      <c r="CM32" s="88">
        <v>108000</v>
      </c>
      <c r="CN32" s="88">
        <v>108000</v>
      </c>
      <c r="CO32" s="88">
        <v>108000</v>
      </c>
      <c r="CP32" s="88">
        <v>108000</v>
      </c>
      <c r="CQ32" s="88">
        <v>108000</v>
      </c>
      <c r="CR32" s="88">
        <v>108000</v>
      </c>
      <c r="CS32" s="88">
        <v>108000</v>
      </c>
      <c r="CT32" s="88">
        <v>108000</v>
      </c>
      <c r="CU32" s="88">
        <v>2081.6940828558581</v>
      </c>
      <c r="CV32" s="88">
        <v>2078.4561847516702</v>
      </c>
      <c r="CW32" s="88">
        <v>2075.228343555053</v>
      </c>
      <c r="CX32" s="88">
        <v>2071.9016083254569</v>
      </c>
      <c r="CY32" s="88">
        <v>2068.5855220003641</v>
      </c>
      <c r="CZ32" s="88">
        <v>2065.2800335306788</v>
      </c>
      <c r="DA32" s="88">
        <v>2061.9850921930179</v>
      </c>
      <c r="DB32" s="88">
        <v>2058.646891401419</v>
      </c>
      <c r="DC32" s="88">
        <v>2055.3730642890778</v>
      </c>
      <c r="DD32" s="88">
        <v>2052.1096332543611</v>
      </c>
      <c r="DE32" s="88">
        <v>2048.8565488565418</v>
      </c>
      <c r="DF32" s="88">
        <v>2045.613761967777</v>
      </c>
      <c r="DG32" s="93">
        <v>46204</v>
      </c>
      <c r="DH32" s="91">
        <v>0.02</v>
      </c>
      <c r="DI32" t="s">
        <v>301</v>
      </c>
      <c r="DJ32" s="93"/>
      <c r="DK32" s="91"/>
      <c r="DM32" s="93"/>
      <c r="DN32" s="91"/>
      <c r="DP32" s="93"/>
      <c r="DQ32" s="91"/>
    </row>
    <row r="33" spans="1:121" x14ac:dyDescent="0.3">
      <c r="A33" t="s">
        <v>22</v>
      </c>
      <c r="B33" t="s">
        <v>45</v>
      </c>
      <c r="C33" t="s">
        <v>78</v>
      </c>
      <c r="D33" t="s">
        <v>363</v>
      </c>
      <c r="E33" t="s">
        <v>364</v>
      </c>
      <c r="F33" s="86">
        <v>90000</v>
      </c>
      <c r="G33" s="87">
        <v>12</v>
      </c>
      <c r="H33" s="88">
        <v>1.03</v>
      </c>
      <c r="I33" s="88">
        <v>1.024895833333334</v>
      </c>
      <c r="J33" s="89">
        <v>0.84</v>
      </c>
      <c r="K33" s="88">
        <v>1.0049801809126939</v>
      </c>
      <c r="L33" s="88">
        <v>1.0119047619047621</v>
      </c>
      <c r="M33" s="88">
        <v>1</v>
      </c>
      <c r="N33" s="90">
        <v>0.66200000000000003</v>
      </c>
      <c r="O33" s="90">
        <v>0.67321708071377717</v>
      </c>
      <c r="P33" s="90">
        <v>0.66988095238095224</v>
      </c>
      <c r="Q33" s="91">
        <v>0</v>
      </c>
      <c r="R33" s="88">
        <v>0.99999999999999978</v>
      </c>
      <c r="S33" s="88">
        <v>1.0119047619047621</v>
      </c>
      <c r="T33" s="91">
        <v>-4.9555016181225264E-3</v>
      </c>
      <c r="U33" s="91">
        <v>4.9801809126941432E-3</v>
      </c>
      <c r="V33" s="87">
        <v>0</v>
      </c>
      <c r="W33" s="91">
        <v>0</v>
      </c>
      <c r="X33" s="87">
        <v>1</v>
      </c>
      <c r="Y33" s="90">
        <v>0.67321708071377717</v>
      </c>
      <c r="Z33" s="90">
        <v>0.66988095238095224</v>
      </c>
      <c r="AA33" s="92">
        <v>0</v>
      </c>
      <c r="AB33" s="88">
        <v>0</v>
      </c>
      <c r="AC33" s="87">
        <v>1</v>
      </c>
      <c r="AD33" s="87">
        <v>0</v>
      </c>
      <c r="AE33" s="88">
        <v>1.0175000000000001</v>
      </c>
      <c r="AF33" s="88">
        <v>1</v>
      </c>
      <c r="AG33" s="88">
        <v>1.0175000000000001</v>
      </c>
      <c r="AH33" s="88">
        <v>92700</v>
      </c>
      <c r="AI33" s="88">
        <v>92240.625000000044</v>
      </c>
      <c r="AJ33" s="88">
        <v>75600</v>
      </c>
      <c r="AK33" s="88">
        <v>90448.216282142457</v>
      </c>
      <c r="AL33" s="88">
        <v>91071.428571428565</v>
      </c>
      <c r="AM33" s="88">
        <v>90000</v>
      </c>
      <c r="AN33" s="88">
        <v>59580</v>
      </c>
      <c r="AO33" s="88">
        <v>60589.537264239952</v>
      </c>
      <c r="AP33" s="88">
        <v>60289.285714285703</v>
      </c>
      <c r="AQ33" s="88">
        <v>0</v>
      </c>
      <c r="AR33" s="88">
        <v>89999.999999999985</v>
      </c>
      <c r="AS33" s="88">
        <v>91071.428571428565</v>
      </c>
      <c r="AT33" s="88">
        <v>60589.537264239952</v>
      </c>
      <c r="AU33" s="88">
        <v>60289.285714285703</v>
      </c>
      <c r="AV33" s="88">
        <v>76500</v>
      </c>
      <c r="AW33" s="88">
        <v>75600</v>
      </c>
      <c r="AX33" s="88">
        <v>75600</v>
      </c>
      <c r="AY33" s="88">
        <v>90000</v>
      </c>
      <c r="AZ33" s="88">
        <v>90000</v>
      </c>
      <c r="BA33" s="88">
        <v>90000</v>
      </c>
      <c r="BB33" s="88">
        <v>90000</v>
      </c>
      <c r="BC33" s="88">
        <v>90000</v>
      </c>
      <c r="BD33" s="88">
        <v>90000</v>
      </c>
      <c r="BE33" s="88">
        <v>90000</v>
      </c>
      <c r="BF33" s="88">
        <v>90000</v>
      </c>
      <c r="BG33" s="88">
        <v>90000</v>
      </c>
      <c r="BH33" s="88">
        <v>90000</v>
      </c>
      <c r="BI33" s="88">
        <v>90000</v>
      </c>
      <c r="BJ33" s="88">
        <v>90000</v>
      </c>
      <c r="BK33" s="88">
        <v>2700.0000000000018</v>
      </c>
      <c r="BL33" s="88">
        <v>2700.0000000000018</v>
      </c>
      <c r="BM33" s="88">
        <v>2700.0000000000018</v>
      </c>
      <c r="BN33" s="88">
        <v>2700.0000000000018</v>
      </c>
      <c r="BO33" s="88">
        <v>2700.0000000000018</v>
      </c>
      <c r="BP33" s="88">
        <v>2700.0000000000018</v>
      </c>
      <c r="BQ33" s="88">
        <v>2700.0000000000018</v>
      </c>
      <c r="BR33" s="88">
        <v>0</v>
      </c>
      <c r="BS33" s="88">
        <v>0</v>
      </c>
      <c r="BT33" s="88">
        <v>0</v>
      </c>
      <c r="BU33" s="88">
        <v>0</v>
      </c>
      <c r="BV33" s="88">
        <v>0</v>
      </c>
      <c r="BW33" s="88">
        <v>2700.0000000000018</v>
      </c>
      <c r="BX33" s="88">
        <v>2700.0000000000018</v>
      </c>
      <c r="BY33" s="88">
        <v>2700.0000000000018</v>
      </c>
      <c r="BZ33" s="88">
        <v>2700.0000000000018</v>
      </c>
      <c r="CA33" s="88">
        <v>2700.0000000000018</v>
      </c>
      <c r="CB33" s="88">
        <v>2700.0000000000018</v>
      </c>
      <c r="CC33" s="88">
        <v>2700.0000000000018</v>
      </c>
      <c r="CD33" s="88">
        <v>0</v>
      </c>
      <c r="CE33" s="88">
        <v>0</v>
      </c>
      <c r="CF33" s="88">
        <v>0</v>
      </c>
      <c r="CG33" s="88">
        <v>0</v>
      </c>
      <c r="CH33" s="88">
        <v>0</v>
      </c>
      <c r="CI33" s="88">
        <v>90000</v>
      </c>
      <c r="CJ33" s="88">
        <v>90000</v>
      </c>
      <c r="CK33" s="88">
        <v>90000</v>
      </c>
      <c r="CL33" s="88">
        <v>90000</v>
      </c>
      <c r="CM33" s="88">
        <v>90000</v>
      </c>
      <c r="CN33" s="88">
        <v>90000</v>
      </c>
      <c r="CO33" s="88">
        <v>90000</v>
      </c>
      <c r="CP33" s="88">
        <v>90000</v>
      </c>
      <c r="CQ33" s="88">
        <v>90000</v>
      </c>
      <c r="CR33" s="88">
        <v>90000</v>
      </c>
      <c r="CS33" s="88">
        <v>90000</v>
      </c>
      <c r="CT33" s="88">
        <v>90000</v>
      </c>
      <c r="CU33" s="88">
        <v>0</v>
      </c>
      <c r="CV33" s="88">
        <v>0</v>
      </c>
      <c r="CW33" s="88">
        <v>0</v>
      </c>
      <c r="CX33" s="88">
        <v>0</v>
      </c>
      <c r="CY33" s="88">
        <v>0</v>
      </c>
      <c r="CZ33" s="88">
        <v>0</v>
      </c>
      <c r="DA33" s="88">
        <v>0</v>
      </c>
      <c r="DB33" s="88">
        <v>0</v>
      </c>
      <c r="DC33" s="88">
        <v>0</v>
      </c>
      <c r="DD33" s="88">
        <v>0</v>
      </c>
      <c r="DE33" s="88">
        <v>0</v>
      </c>
      <c r="DF33" s="88">
        <v>0</v>
      </c>
      <c r="DG33" s="93">
        <v>46235</v>
      </c>
      <c r="DH33" s="91">
        <v>0.03</v>
      </c>
      <c r="DI33" t="s">
        <v>301</v>
      </c>
      <c r="DJ33" s="93"/>
      <c r="DK33" s="91"/>
      <c r="DM33" s="93"/>
      <c r="DN33" s="91"/>
      <c r="DP33" s="93"/>
      <c r="DQ33" s="91"/>
    </row>
    <row r="34" spans="1:121" x14ac:dyDescent="0.3">
      <c r="A34" t="s">
        <v>22</v>
      </c>
      <c r="B34" t="s">
        <v>45</v>
      </c>
      <c r="C34" t="s">
        <v>80</v>
      </c>
      <c r="D34" t="s">
        <v>365</v>
      </c>
      <c r="E34" t="s">
        <v>366</v>
      </c>
      <c r="F34" s="86">
        <v>72000</v>
      </c>
      <c r="G34" s="87">
        <v>12</v>
      </c>
      <c r="H34" s="88">
        <v>1</v>
      </c>
      <c r="I34" s="88">
        <v>1</v>
      </c>
      <c r="J34" s="89">
        <v>0.84299370897155379</v>
      </c>
      <c r="K34" s="88">
        <v>1</v>
      </c>
      <c r="L34" s="88">
        <v>1.0083112020337539</v>
      </c>
      <c r="M34" s="88">
        <v>1</v>
      </c>
      <c r="N34" s="90">
        <v>0.64600000000000002</v>
      </c>
      <c r="O34" s="90">
        <v>0.65136903651380507</v>
      </c>
      <c r="P34" s="90">
        <v>0.64373969017670352</v>
      </c>
      <c r="Q34" s="91">
        <v>0</v>
      </c>
      <c r="R34" s="88">
        <v>1</v>
      </c>
      <c r="S34" s="88">
        <v>0.99650106838498997</v>
      </c>
      <c r="T34" s="91">
        <v>0</v>
      </c>
      <c r="U34" s="91">
        <v>0</v>
      </c>
      <c r="V34" s="87">
        <v>0</v>
      </c>
      <c r="W34" s="91">
        <v>0</v>
      </c>
      <c r="X34" s="87">
        <v>1</v>
      </c>
      <c r="Y34" s="90">
        <v>0.65136903651380507</v>
      </c>
      <c r="Z34" s="90">
        <v>0.64373969017670352</v>
      </c>
      <c r="AA34" s="92">
        <v>0</v>
      </c>
      <c r="AB34" s="88">
        <v>0</v>
      </c>
      <c r="AC34" s="87">
        <v>0</v>
      </c>
      <c r="AD34" s="87">
        <v>0</v>
      </c>
      <c r="AE34" s="88">
        <v>1</v>
      </c>
      <c r="AF34" s="88">
        <v>1.014313571147019</v>
      </c>
      <c r="AG34" s="88">
        <v>1.014313571147019</v>
      </c>
      <c r="AH34" s="88">
        <v>72000</v>
      </c>
      <c r="AI34" s="88">
        <v>72000</v>
      </c>
      <c r="AJ34" s="88">
        <v>60695.547045951876</v>
      </c>
      <c r="AK34" s="88">
        <v>72000</v>
      </c>
      <c r="AL34" s="88">
        <v>72598.406546430284</v>
      </c>
      <c r="AM34" s="88">
        <v>72000</v>
      </c>
      <c r="AN34" s="88">
        <v>46512</v>
      </c>
      <c r="AO34" s="88">
        <v>46898.570628993963</v>
      </c>
      <c r="AP34" s="88">
        <v>46349.257692722647</v>
      </c>
      <c r="AQ34" s="88">
        <v>0</v>
      </c>
      <c r="AR34" s="88">
        <v>72000</v>
      </c>
      <c r="AS34" s="88">
        <v>71748.076923719273</v>
      </c>
      <c r="AT34" s="88">
        <v>46898.570628993963</v>
      </c>
      <c r="AU34" s="88">
        <v>46349.257692722647</v>
      </c>
      <c r="AV34" s="88">
        <v>61200</v>
      </c>
      <c r="AW34" s="88">
        <v>60480</v>
      </c>
      <c r="AX34" s="88">
        <v>61560</v>
      </c>
      <c r="AY34" s="88">
        <v>72000</v>
      </c>
      <c r="AZ34" s="88">
        <v>72000</v>
      </c>
      <c r="BA34" s="88">
        <v>72000</v>
      </c>
      <c r="BB34" s="88">
        <v>72000</v>
      </c>
      <c r="BC34" s="88">
        <v>72000</v>
      </c>
      <c r="BD34" s="88">
        <v>72000</v>
      </c>
      <c r="BE34" s="88">
        <v>72000</v>
      </c>
      <c r="BF34" s="88">
        <v>72000</v>
      </c>
      <c r="BG34" s="88">
        <v>72000</v>
      </c>
      <c r="BH34" s="88">
        <v>72000</v>
      </c>
      <c r="BI34" s="88">
        <v>72000</v>
      </c>
      <c r="BJ34" s="88">
        <v>72000</v>
      </c>
      <c r="BK34" s="88">
        <v>1037.3206497069129</v>
      </c>
      <c r="BL34" s="88">
        <v>1036.114177574523</v>
      </c>
      <c r="BM34" s="88">
        <v>1034.910508594724</v>
      </c>
      <c r="BN34" s="88">
        <v>1033.6689741976099</v>
      </c>
      <c r="BO34" s="88">
        <v>1032.430415054316</v>
      </c>
      <c r="BP34" s="88">
        <v>1031.194820482634</v>
      </c>
      <c r="BQ34" s="88">
        <v>1029.9621798514679</v>
      </c>
      <c r="BR34" s="88">
        <v>1028.7123480711739</v>
      </c>
      <c r="BS34" s="88">
        <v>1027.485631622161</v>
      </c>
      <c r="BT34" s="88">
        <v>1026.2618373523351</v>
      </c>
      <c r="BU34" s="88">
        <v>1025.040954832662</v>
      </c>
      <c r="BV34" s="88">
        <v>1023.8229736837</v>
      </c>
      <c r="BW34" s="88">
        <v>0</v>
      </c>
      <c r="BX34" s="88">
        <v>0</v>
      </c>
      <c r="BY34" s="88">
        <v>0</v>
      </c>
      <c r="BZ34" s="88">
        <v>0</v>
      </c>
      <c r="CA34" s="88">
        <v>0</v>
      </c>
      <c r="CB34" s="88">
        <v>0</v>
      </c>
      <c r="CC34" s="88">
        <v>0</v>
      </c>
      <c r="CD34" s="88">
        <v>0</v>
      </c>
      <c r="CE34" s="88">
        <v>0</v>
      </c>
      <c r="CF34" s="88">
        <v>0</v>
      </c>
      <c r="CG34" s="88">
        <v>0</v>
      </c>
      <c r="CH34" s="88">
        <v>0</v>
      </c>
      <c r="CI34" s="88">
        <v>72000</v>
      </c>
      <c r="CJ34" s="88">
        <v>72000</v>
      </c>
      <c r="CK34" s="88">
        <v>72000</v>
      </c>
      <c r="CL34" s="88">
        <v>72000</v>
      </c>
      <c r="CM34" s="88">
        <v>72000</v>
      </c>
      <c r="CN34" s="88">
        <v>72000</v>
      </c>
      <c r="CO34" s="88">
        <v>72000</v>
      </c>
      <c r="CP34" s="88">
        <v>72000</v>
      </c>
      <c r="CQ34" s="88">
        <v>72000</v>
      </c>
      <c r="CR34" s="88">
        <v>72000</v>
      </c>
      <c r="CS34" s="88">
        <v>72000</v>
      </c>
      <c r="CT34" s="88">
        <v>72000</v>
      </c>
      <c r="CU34" s="88">
        <v>1037.3206497069129</v>
      </c>
      <c r="CV34" s="88">
        <v>1036.114177574523</v>
      </c>
      <c r="CW34" s="88">
        <v>1034.910508594724</v>
      </c>
      <c r="CX34" s="88">
        <v>1033.6689741976099</v>
      </c>
      <c r="CY34" s="88">
        <v>1032.430415054316</v>
      </c>
      <c r="CZ34" s="88">
        <v>1031.194820482634</v>
      </c>
      <c r="DA34" s="88">
        <v>1029.9621798514679</v>
      </c>
      <c r="DB34" s="88">
        <v>1028.7123480711739</v>
      </c>
      <c r="DC34" s="88">
        <v>1027.485631622161</v>
      </c>
      <c r="DD34" s="88">
        <v>1026.2618373523351</v>
      </c>
      <c r="DE34" s="88">
        <v>1025.040954832662</v>
      </c>
      <c r="DF34" s="88">
        <v>1023.8229736837</v>
      </c>
      <c r="DG34" s="93"/>
      <c r="DH34" s="91"/>
      <c r="DJ34" s="93"/>
      <c r="DK34" s="91"/>
      <c r="DM34" s="93"/>
      <c r="DN34" s="91"/>
      <c r="DP34" s="93"/>
      <c r="DQ34" s="91"/>
    </row>
    <row r="35" spans="1:121" x14ac:dyDescent="0.3">
      <c r="A35" t="s">
        <v>22</v>
      </c>
      <c r="B35" t="s">
        <v>45</v>
      </c>
      <c r="C35" t="s">
        <v>82</v>
      </c>
      <c r="D35" t="s">
        <v>367</v>
      </c>
      <c r="E35" t="s">
        <v>368</v>
      </c>
      <c r="F35" s="86">
        <v>54000</v>
      </c>
      <c r="G35" s="87">
        <v>12</v>
      </c>
      <c r="H35" s="88">
        <v>1.05</v>
      </c>
      <c r="I35" s="88">
        <v>1.04775</v>
      </c>
      <c r="J35" s="89">
        <v>0.83900209700948214</v>
      </c>
      <c r="K35" s="88">
        <v>1.002147458840372</v>
      </c>
      <c r="L35" s="88">
        <v>1.0131083140670549</v>
      </c>
      <c r="M35" s="88">
        <v>1</v>
      </c>
      <c r="N35" s="90">
        <v>0.63</v>
      </c>
      <c r="O35" s="90">
        <v>0.63962887115758216</v>
      </c>
      <c r="P35" s="90">
        <v>0.61689703092335613</v>
      </c>
      <c r="Q35" s="91">
        <v>0</v>
      </c>
      <c r="R35" s="88">
        <v>0.96269554753309272</v>
      </c>
      <c r="S35" s="88">
        <v>1.017145699796248</v>
      </c>
      <c r="T35" s="91">
        <v>-2.1428571428572241E-3</v>
      </c>
      <c r="U35" s="91">
        <v>4.0980672870436718E-2</v>
      </c>
      <c r="V35" s="87">
        <v>0</v>
      </c>
      <c r="W35" s="91">
        <v>0</v>
      </c>
      <c r="X35" s="87">
        <v>1</v>
      </c>
      <c r="Y35" s="90">
        <v>0.63962887115758216</v>
      </c>
      <c r="Z35" s="90">
        <v>0.61689703092335613</v>
      </c>
      <c r="AA35" s="92">
        <v>0</v>
      </c>
      <c r="AB35" s="88">
        <v>0</v>
      </c>
      <c r="AC35" s="87">
        <v>1</v>
      </c>
      <c r="AD35" s="87">
        <v>1</v>
      </c>
      <c r="AE35" s="88">
        <v>1.0685</v>
      </c>
      <c r="AF35" s="88">
        <v>0.99525154750742739</v>
      </c>
      <c r="AG35" s="88">
        <v>1.063426300250254</v>
      </c>
      <c r="AH35" s="88">
        <v>56700</v>
      </c>
      <c r="AI35" s="88">
        <v>56578.5</v>
      </c>
      <c r="AJ35" s="88">
        <v>45306.113238512044</v>
      </c>
      <c r="AK35" s="88">
        <v>54115.962777380097</v>
      </c>
      <c r="AL35" s="88">
        <v>54707.848959620947</v>
      </c>
      <c r="AM35" s="88">
        <v>54000</v>
      </c>
      <c r="AN35" s="88">
        <v>34020</v>
      </c>
      <c r="AO35" s="88">
        <v>34539.959042509443</v>
      </c>
      <c r="AP35" s="88">
        <v>33312.439669861233</v>
      </c>
      <c r="AQ35" s="88">
        <v>0</v>
      </c>
      <c r="AR35" s="88">
        <v>51985.559566787007</v>
      </c>
      <c r="AS35" s="88">
        <v>54925.867788997377</v>
      </c>
      <c r="AT35" s="88">
        <v>34539.959042509443</v>
      </c>
      <c r="AU35" s="88">
        <v>33312.439669861233</v>
      </c>
      <c r="AV35" s="88">
        <v>45900</v>
      </c>
      <c r="AW35" s="88">
        <v>45360</v>
      </c>
      <c r="AX35" s="88">
        <v>45090</v>
      </c>
      <c r="AY35" s="88">
        <v>54000</v>
      </c>
      <c r="AZ35" s="88">
        <v>54000</v>
      </c>
      <c r="BA35" s="88">
        <v>54000</v>
      </c>
      <c r="BB35" s="88">
        <v>54000</v>
      </c>
      <c r="BC35" s="88">
        <v>54000</v>
      </c>
      <c r="BD35" s="88">
        <v>54000</v>
      </c>
      <c r="BE35" s="88">
        <v>54000</v>
      </c>
      <c r="BF35" s="88">
        <v>54000</v>
      </c>
      <c r="BG35" s="88">
        <v>54000</v>
      </c>
      <c r="BH35" s="88">
        <v>54000</v>
      </c>
      <c r="BI35" s="88">
        <v>54000</v>
      </c>
      <c r="BJ35" s="88">
        <v>54000</v>
      </c>
      <c r="BK35" s="88">
        <v>2431.344155464833</v>
      </c>
      <c r="BL35" s="88">
        <v>2431.2412342216048</v>
      </c>
      <c r="BM35" s="88">
        <v>2431.138234090517</v>
      </c>
      <c r="BN35" s="88">
        <v>4688.2729257641931</v>
      </c>
      <c r="BO35" s="88">
        <v>4688.1620001690198</v>
      </c>
      <c r="BP35" s="88">
        <v>4688.0509865640079</v>
      </c>
      <c r="BQ35" s="88">
        <v>4687.939884844347</v>
      </c>
      <c r="BR35" s="88">
        <v>4687.8268713836651</v>
      </c>
      <c r="BS35" s="88">
        <v>4687.7155916708971</v>
      </c>
      <c r="BT35" s="88">
        <v>1892.956403358495</v>
      </c>
      <c r="BU35" s="88">
        <v>1892.8502541378889</v>
      </c>
      <c r="BV35" s="88">
        <v>1892.744020495574</v>
      </c>
      <c r="BW35" s="88">
        <v>2700.0000000000018</v>
      </c>
      <c r="BX35" s="88">
        <v>2700.0000000000018</v>
      </c>
      <c r="BY35" s="88">
        <v>2700.0000000000018</v>
      </c>
      <c r="BZ35" s="88">
        <v>4968.0000000000045</v>
      </c>
      <c r="CA35" s="88">
        <v>4968.0000000000045</v>
      </c>
      <c r="CB35" s="88">
        <v>4968.0000000000045</v>
      </c>
      <c r="CC35" s="88">
        <v>4968.0000000000045</v>
      </c>
      <c r="CD35" s="88">
        <v>4968.0000000000045</v>
      </c>
      <c r="CE35" s="88">
        <v>4968.0000000000045</v>
      </c>
      <c r="CF35" s="88">
        <v>2160.0000000000018</v>
      </c>
      <c r="CG35" s="88">
        <v>2160.0000000000018</v>
      </c>
      <c r="CH35" s="88">
        <v>2160.0000000000018</v>
      </c>
      <c r="CI35" s="88">
        <v>54000</v>
      </c>
      <c r="CJ35" s="88">
        <v>54000</v>
      </c>
      <c r="CK35" s="88">
        <v>54000</v>
      </c>
      <c r="CL35" s="88">
        <v>54000</v>
      </c>
      <c r="CM35" s="88">
        <v>54000</v>
      </c>
      <c r="CN35" s="88">
        <v>54000</v>
      </c>
      <c r="CO35" s="88">
        <v>54000</v>
      </c>
      <c r="CP35" s="88">
        <v>54000</v>
      </c>
      <c r="CQ35" s="88">
        <v>54000</v>
      </c>
      <c r="CR35" s="88">
        <v>54000</v>
      </c>
      <c r="CS35" s="88">
        <v>54000</v>
      </c>
      <c r="CT35" s="88">
        <v>54000</v>
      </c>
      <c r="CU35" s="88">
        <v>-255.86270908111501</v>
      </c>
      <c r="CV35" s="88">
        <v>-255.9607293127624</v>
      </c>
      <c r="CW35" s="88">
        <v>-256.05882467570501</v>
      </c>
      <c r="CX35" s="88">
        <v>-256.16032439176502</v>
      </c>
      <c r="CY35" s="88">
        <v>-256.26190460712422</v>
      </c>
      <c r="CZ35" s="88">
        <v>-256.36356541757999</v>
      </c>
      <c r="DA35" s="88">
        <v>-256.46530691909771</v>
      </c>
      <c r="DB35" s="88">
        <v>-256.56879909920741</v>
      </c>
      <c r="DC35" s="88">
        <v>-256.67070359808258</v>
      </c>
      <c r="DD35" s="88">
        <v>-256.77268907836748</v>
      </c>
      <c r="DE35" s="88">
        <v>-256.87475563664458</v>
      </c>
      <c r="DF35" s="88">
        <v>-256.97690336964081</v>
      </c>
      <c r="DG35" s="93">
        <v>46296</v>
      </c>
      <c r="DH35" s="91">
        <v>0.05</v>
      </c>
      <c r="DI35" t="s">
        <v>301</v>
      </c>
      <c r="DJ35" s="93">
        <v>46478</v>
      </c>
      <c r="DK35" s="91">
        <v>0.04</v>
      </c>
      <c r="DL35" t="s">
        <v>302</v>
      </c>
      <c r="DM35" s="93"/>
      <c r="DN35" s="91"/>
      <c r="DP35" s="93"/>
      <c r="DQ35" s="91"/>
    </row>
    <row r="36" spans="1:121" x14ac:dyDescent="0.3">
      <c r="A36" t="s">
        <v>22</v>
      </c>
      <c r="B36" t="s">
        <v>45</v>
      </c>
      <c r="C36" t="s">
        <v>85</v>
      </c>
      <c r="D36" t="s">
        <v>369</v>
      </c>
      <c r="E36" t="s">
        <v>370</v>
      </c>
      <c r="F36" s="86">
        <v>36000</v>
      </c>
      <c r="G36" s="87">
        <v>12</v>
      </c>
      <c r="H36" s="88">
        <v>1.06</v>
      </c>
      <c r="I36" s="88">
        <v>1.039166666666667</v>
      </c>
      <c r="J36" s="89">
        <v>0.84199580598103541</v>
      </c>
      <c r="K36" s="88">
        <v>1.020048115477145</v>
      </c>
      <c r="L36" s="88">
        <v>1.0095062160192581</v>
      </c>
      <c r="M36" s="88">
        <v>1</v>
      </c>
      <c r="N36" s="90">
        <v>0.65800000000000003</v>
      </c>
      <c r="O36" s="90">
        <v>0.67757215289409312</v>
      </c>
      <c r="P36" s="90">
        <v>0.65904178505454347</v>
      </c>
      <c r="Q36" s="91">
        <v>0</v>
      </c>
      <c r="R36" s="88">
        <v>0.99999999999999978</v>
      </c>
      <c r="S36" s="88">
        <v>1.0015832599613119</v>
      </c>
      <c r="T36" s="91">
        <v>-1.965408805031443E-2</v>
      </c>
      <c r="U36" s="91">
        <v>2.0048115477145249E-2</v>
      </c>
      <c r="V36" s="87">
        <v>0</v>
      </c>
      <c r="W36" s="91">
        <v>0</v>
      </c>
      <c r="X36" s="87">
        <v>1</v>
      </c>
      <c r="Y36" s="90">
        <v>0.67757215289409312</v>
      </c>
      <c r="Z36" s="90">
        <v>0.65904178505454347</v>
      </c>
      <c r="AA36" s="92">
        <v>0</v>
      </c>
      <c r="AB36" s="88">
        <v>0</v>
      </c>
      <c r="AC36" s="87">
        <v>1</v>
      </c>
      <c r="AD36" s="87">
        <v>0</v>
      </c>
      <c r="AE36" s="88">
        <v>1.05</v>
      </c>
      <c r="AF36" s="88">
        <v>1.009530917047716</v>
      </c>
      <c r="AG36" s="88">
        <v>1.0600078417254051</v>
      </c>
      <c r="AH36" s="88">
        <v>38160</v>
      </c>
      <c r="AI36" s="88">
        <v>37410.000000000007</v>
      </c>
      <c r="AJ36" s="88">
        <v>30311.849015317279</v>
      </c>
      <c r="AK36" s="88">
        <v>36721.732157177219</v>
      </c>
      <c r="AL36" s="88">
        <v>36342.223776693267</v>
      </c>
      <c r="AM36" s="88">
        <v>36000</v>
      </c>
      <c r="AN36" s="88">
        <v>23688</v>
      </c>
      <c r="AO36" s="88">
        <v>24392.59750418735</v>
      </c>
      <c r="AP36" s="88">
        <v>23725.504261963561</v>
      </c>
      <c r="AQ36" s="88">
        <v>0</v>
      </c>
      <c r="AR36" s="88">
        <v>35999.999999999993</v>
      </c>
      <c r="AS36" s="88">
        <v>36056.997358607237</v>
      </c>
      <c r="AT36" s="88">
        <v>24392.59750418735</v>
      </c>
      <c r="AU36" s="88">
        <v>23725.504261963561</v>
      </c>
      <c r="AV36" s="88">
        <v>30600</v>
      </c>
      <c r="AW36" s="88">
        <v>30240</v>
      </c>
      <c r="AX36" s="88">
        <v>30600</v>
      </c>
      <c r="AY36" s="88">
        <v>36000</v>
      </c>
      <c r="AZ36" s="88">
        <v>36000</v>
      </c>
      <c r="BA36" s="88">
        <v>36000</v>
      </c>
      <c r="BB36" s="88">
        <v>36000</v>
      </c>
      <c r="BC36" s="88">
        <v>36000</v>
      </c>
      <c r="BD36" s="88">
        <v>36000</v>
      </c>
      <c r="BE36" s="88">
        <v>36000</v>
      </c>
      <c r="BF36" s="88">
        <v>36000</v>
      </c>
      <c r="BG36" s="88">
        <v>36000</v>
      </c>
      <c r="BH36" s="88">
        <v>36000</v>
      </c>
      <c r="BI36" s="88">
        <v>36000</v>
      </c>
      <c r="BJ36" s="88">
        <v>36000</v>
      </c>
      <c r="BK36" s="88">
        <v>2525.2823854919288</v>
      </c>
      <c r="BL36" s="88">
        <v>2524.999999999995</v>
      </c>
      <c r="BM36" s="88">
        <v>2524.7180507731168</v>
      </c>
      <c r="BN36" s="88">
        <v>2524.4270015698589</v>
      </c>
      <c r="BO36" s="88">
        <v>2524.1364165174309</v>
      </c>
      <c r="BP36" s="88">
        <v>2523.8462945064161</v>
      </c>
      <c r="BQ36" s="88">
        <v>2523.5566344309141</v>
      </c>
      <c r="BR36" s="88">
        <v>2523.2626980504788</v>
      </c>
      <c r="BS36" s="88">
        <v>2522.9739660698979</v>
      </c>
      <c r="BT36" s="88">
        <v>2522.6856927103072</v>
      </c>
      <c r="BU36" s="88">
        <v>341.88478950928669</v>
      </c>
      <c r="BV36" s="88">
        <v>341.61369574543352</v>
      </c>
      <c r="BW36" s="88">
        <v>2160.0000000000018</v>
      </c>
      <c r="BX36" s="88">
        <v>2160.0000000000018</v>
      </c>
      <c r="BY36" s="88">
        <v>2160.0000000000018</v>
      </c>
      <c r="BZ36" s="88">
        <v>2160.0000000000018</v>
      </c>
      <c r="CA36" s="88">
        <v>2160.0000000000018</v>
      </c>
      <c r="CB36" s="88">
        <v>2160.0000000000018</v>
      </c>
      <c r="CC36" s="88">
        <v>2160.0000000000018</v>
      </c>
      <c r="CD36" s="88">
        <v>2160.0000000000018</v>
      </c>
      <c r="CE36" s="88">
        <v>2160.0000000000018</v>
      </c>
      <c r="CF36" s="88">
        <v>2160.0000000000018</v>
      </c>
      <c r="CG36" s="88">
        <v>0</v>
      </c>
      <c r="CH36" s="88">
        <v>0</v>
      </c>
      <c r="CI36" s="88">
        <v>36000</v>
      </c>
      <c r="CJ36" s="88">
        <v>36000</v>
      </c>
      <c r="CK36" s="88">
        <v>36000</v>
      </c>
      <c r="CL36" s="88">
        <v>36000</v>
      </c>
      <c r="CM36" s="88">
        <v>36000</v>
      </c>
      <c r="CN36" s="88">
        <v>36000</v>
      </c>
      <c r="CO36" s="88">
        <v>36000</v>
      </c>
      <c r="CP36" s="88">
        <v>36000</v>
      </c>
      <c r="CQ36" s="88">
        <v>36000</v>
      </c>
      <c r="CR36" s="88">
        <v>36000</v>
      </c>
      <c r="CS36" s="88">
        <v>36000</v>
      </c>
      <c r="CT36" s="88">
        <v>36000</v>
      </c>
      <c r="CU36" s="88">
        <v>344.606024048991</v>
      </c>
      <c r="CV36" s="88">
        <v>344.33962264150517</v>
      </c>
      <c r="CW36" s="88">
        <v>344.07363280482878</v>
      </c>
      <c r="CX36" s="88">
        <v>343.7990580847723</v>
      </c>
      <c r="CY36" s="88">
        <v>343.52492124285749</v>
      </c>
      <c r="CZ36" s="88">
        <v>343.25122123246558</v>
      </c>
      <c r="DA36" s="88">
        <v>342.97795701029531</v>
      </c>
      <c r="DB36" s="88">
        <v>342.70065853818289</v>
      </c>
      <c r="DC36" s="88">
        <v>342.42826987725999</v>
      </c>
      <c r="DD36" s="88">
        <v>342.15631387764398</v>
      </c>
      <c r="DE36" s="88">
        <v>341.88478950928669</v>
      </c>
      <c r="DF36" s="88">
        <v>341.61369574543352</v>
      </c>
      <c r="DG36" s="93">
        <v>46327</v>
      </c>
      <c r="DH36" s="91">
        <v>0.06</v>
      </c>
      <c r="DI36" t="s">
        <v>301</v>
      </c>
      <c r="DJ36" s="93"/>
      <c r="DK36" s="91"/>
      <c r="DM36" s="93"/>
      <c r="DN36" s="91"/>
      <c r="DP36" s="93"/>
      <c r="DQ36" s="91"/>
    </row>
    <row r="37" spans="1:121" x14ac:dyDescent="0.3">
      <c r="A37" t="s">
        <v>22</v>
      </c>
      <c r="B37" t="s">
        <v>45</v>
      </c>
      <c r="C37" t="s">
        <v>87</v>
      </c>
      <c r="D37" t="s">
        <v>371</v>
      </c>
      <c r="E37" t="s">
        <v>372</v>
      </c>
      <c r="F37" s="86">
        <v>94500</v>
      </c>
      <c r="G37" s="87">
        <v>12</v>
      </c>
      <c r="H37" s="88">
        <v>1</v>
      </c>
      <c r="I37" s="88">
        <v>1</v>
      </c>
      <c r="J37" s="89">
        <v>0.8380041940189642</v>
      </c>
      <c r="K37" s="88">
        <v>1</v>
      </c>
      <c r="L37" s="88">
        <v>1.0143147326309969</v>
      </c>
      <c r="M37" s="88">
        <v>1</v>
      </c>
      <c r="N37" s="90">
        <v>0.64200000000000002</v>
      </c>
      <c r="O37" s="90">
        <v>0.65119005834910015</v>
      </c>
      <c r="P37" s="90">
        <v>0.65640725611044781</v>
      </c>
      <c r="Q37" s="91">
        <v>0</v>
      </c>
      <c r="R37" s="88">
        <v>1</v>
      </c>
      <c r="S37" s="88">
        <v>1.022441208894779</v>
      </c>
      <c r="T37" s="91">
        <v>0</v>
      </c>
      <c r="U37" s="91">
        <v>0</v>
      </c>
      <c r="V37" s="87">
        <v>0</v>
      </c>
      <c r="W37" s="91">
        <v>0</v>
      </c>
      <c r="X37" s="87">
        <v>1</v>
      </c>
      <c r="Y37" s="90">
        <v>0.65119005834910015</v>
      </c>
      <c r="Z37" s="90">
        <v>0.65640725611044781</v>
      </c>
      <c r="AA37" s="92">
        <v>0</v>
      </c>
      <c r="AB37" s="88">
        <v>0</v>
      </c>
      <c r="AC37" s="87">
        <v>0</v>
      </c>
      <c r="AD37" s="87">
        <v>0</v>
      </c>
      <c r="AE37" s="88">
        <v>1</v>
      </c>
      <c r="AF37" s="88">
        <v>0.99051430760215442</v>
      </c>
      <c r="AG37" s="88">
        <v>0.99051430760215442</v>
      </c>
      <c r="AH37" s="88">
        <v>94500</v>
      </c>
      <c r="AI37" s="88">
        <v>94500</v>
      </c>
      <c r="AJ37" s="88">
        <v>79191.396334792124</v>
      </c>
      <c r="AK37" s="88">
        <v>94500</v>
      </c>
      <c r="AL37" s="88">
        <v>95852.742233629237</v>
      </c>
      <c r="AM37" s="88">
        <v>94500</v>
      </c>
      <c r="AN37" s="88">
        <v>60669</v>
      </c>
      <c r="AO37" s="88">
        <v>61537.460513989958</v>
      </c>
      <c r="AP37" s="88">
        <v>62030.48570243732</v>
      </c>
      <c r="AQ37" s="88">
        <v>0</v>
      </c>
      <c r="AR37" s="88">
        <v>94500</v>
      </c>
      <c r="AS37" s="88">
        <v>96620.694240556564</v>
      </c>
      <c r="AT37" s="88">
        <v>61537.460513989958</v>
      </c>
      <c r="AU37" s="88">
        <v>62030.48570243732</v>
      </c>
      <c r="AV37" s="88">
        <v>80325</v>
      </c>
      <c r="AW37" s="88">
        <v>79380</v>
      </c>
      <c r="AX37" s="88">
        <v>78435</v>
      </c>
      <c r="AY37" s="88">
        <v>94500</v>
      </c>
      <c r="AZ37" s="88">
        <v>94500</v>
      </c>
      <c r="BA37" s="88">
        <v>94500</v>
      </c>
      <c r="BB37" s="88">
        <v>94500</v>
      </c>
      <c r="BC37" s="88">
        <v>94500</v>
      </c>
      <c r="BD37" s="88">
        <v>94500</v>
      </c>
      <c r="BE37" s="88">
        <v>94500</v>
      </c>
      <c r="BF37" s="88">
        <v>94500</v>
      </c>
      <c r="BG37" s="88">
        <v>94500</v>
      </c>
      <c r="BH37" s="88">
        <v>94500</v>
      </c>
      <c r="BI37" s="88">
        <v>94500</v>
      </c>
      <c r="BJ37" s="88">
        <v>94500</v>
      </c>
      <c r="BK37" s="88">
        <v>-892.53600031051474</v>
      </c>
      <c r="BL37" s="88">
        <v>-893.21783716593654</v>
      </c>
      <c r="BM37" s="88">
        <v>-893.9007165718582</v>
      </c>
      <c r="BN37" s="88">
        <v>-894.60784313724707</v>
      </c>
      <c r="BO37" s="88">
        <v>-895.3160893434225</v>
      </c>
      <c r="BP37" s="88">
        <v>-896.02545785166478</v>
      </c>
      <c r="BQ37" s="88">
        <v>-896.73595133174183</v>
      </c>
      <c r="BR37" s="88">
        <v>-897.45924779165352</v>
      </c>
      <c r="BS37" s="88">
        <v>-898.17201781110055</v>
      </c>
      <c r="BT37" s="88">
        <v>-898.8859209069077</v>
      </c>
      <c r="BU37" s="88">
        <v>-899.60095978300376</v>
      </c>
      <c r="BV37" s="88">
        <v>-900.31713715203568</v>
      </c>
      <c r="BW37" s="88">
        <v>0</v>
      </c>
      <c r="BX37" s="88">
        <v>0</v>
      </c>
      <c r="BY37" s="88">
        <v>0</v>
      </c>
      <c r="BZ37" s="88">
        <v>0</v>
      </c>
      <c r="CA37" s="88">
        <v>0</v>
      </c>
      <c r="CB37" s="88">
        <v>0</v>
      </c>
      <c r="CC37" s="88">
        <v>0</v>
      </c>
      <c r="CD37" s="88">
        <v>0</v>
      </c>
      <c r="CE37" s="88">
        <v>0</v>
      </c>
      <c r="CF37" s="88">
        <v>0</v>
      </c>
      <c r="CG37" s="88">
        <v>0</v>
      </c>
      <c r="CH37" s="88">
        <v>0</v>
      </c>
      <c r="CI37" s="88">
        <v>94500</v>
      </c>
      <c r="CJ37" s="88">
        <v>94500</v>
      </c>
      <c r="CK37" s="88">
        <v>94500</v>
      </c>
      <c r="CL37" s="88">
        <v>94500</v>
      </c>
      <c r="CM37" s="88">
        <v>94500</v>
      </c>
      <c r="CN37" s="88">
        <v>94500</v>
      </c>
      <c r="CO37" s="88">
        <v>94500</v>
      </c>
      <c r="CP37" s="88">
        <v>94500</v>
      </c>
      <c r="CQ37" s="88">
        <v>94500</v>
      </c>
      <c r="CR37" s="88">
        <v>94500</v>
      </c>
      <c r="CS37" s="88">
        <v>94500</v>
      </c>
      <c r="CT37" s="88">
        <v>94500</v>
      </c>
      <c r="CU37" s="88">
        <v>-892.53600031051474</v>
      </c>
      <c r="CV37" s="88">
        <v>-893.21783716593654</v>
      </c>
      <c r="CW37" s="88">
        <v>-893.9007165718582</v>
      </c>
      <c r="CX37" s="88">
        <v>-894.60784313724707</v>
      </c>
      <c r="CY37" s="88">
        <v>-895.3160893434225</v>
      </c>
      <c r="CZ37" s="88">
        <v>-896.02545785166478</v>
      </c>
      <c r="DA37" s="88">
        <v>-896.73595133174183</v>
      </c>
      <c r="DB37" s="88">
        <v>-897.45924779165352</v>
      </c>
      <c r="DC37" s="88">
        <v>-898.17201781110055</v>
      </c>
      <c r="DD37" s="88">
        <v>-898.8859209069077</v>
      </c>
      <c r="DE37" s="88">
        <v>-899.60095978300376</v>
      </c>
      <c r="DF37" s="88">
        <v>-900.31713715203568</v>
      </c>
      <c r="DG37" s="93"/>
      <c r="DH37" s="91"/>
      <c r="DJ37" s="93"/>
      <c r="DK37" s="91"/>
      <c r="DM37" s="93"/>
      <c r="DN37" s="91"/>
      <c r="DP37" s="93"/>
      <c r="DQ37" s="91"/>
    </row>
    <row r="38" spans="1:121" x14ac:dyDescent="0.3">
      <c r="A38" t="s">
        <v>22</v>
      </c>
      <c r="B38" t="s">
        <v>45</v>
      </c>
      <c r="C38" t="s">
        <v>89</v>
      </c>
      <c r="D38" t="s">
        <v>373</v>
      </c>
      <c r="E38" t="s">
        <v>374</v>
      </c>
      <c r="F38" s="86">
        <v>76500</v>
      </c>
      <c r="G38" s="87">
        <v>12</v>
      </c>
      <c r="H38" s="88">
        <v>1.03</v>
      </c>
      <c r="I38" s="88">
        <v>1.03</v>
      </c>
      <c r="J38" s="89">
        <v>0.84099790299051769</v>
      </c>
      <c r="K38" s="88">
        <v>0.99999999999999978</v>
      </c>
      <c r="L38" s="88">
        <v>1.0107040659405591</v>
      </c>
      <c r="M38" s="88">
        <v>1</v>
      </c>
      <c r="N38" s="90">
        <v>0.67</v>
      </c>
      <c r="O38" s="90">
        <v>0.67717172418017435</v>
      </c>
      <c r="P38" s="90">
        <v>0.67450076251654112</v>
      </c>
      <c r="Q38" s="91">
        <v>0</v>
      </c>
      <c r="R38" s="88">
        <v>0.99999999999999978</v>
      </c>
      <c r="S38" s="88">
        <v>1.006717555994838</v>
      </c>
      <c r="T38" s="91">
        <v>0</v>
      </c>
      <c r="U38" s="91">
        <v>0</v>
      </c>
      <c r="V38" s="87">
        <v>0</v>
      </c>
      <c r="W38" s="91">
        <v>0</v>
      </c>
      <c r="X38" s="87">
        <v>1</v>
      </c>
      <c r="Y38" s="90">
        <v>0.67717172418017435</v>
      </c>
      <c r="Z38" s="90">
        <v>0.67450076251654112</v>
      </c>
      <c r="AA38" s="92">
        <v>0</v>
      </c>
      <c r="AB38" s="88">
        <v>0</v>
      </c>
      <c r="AC38" s="87">
        <v>1</v>
      </c>
      <c r="AD38" s="87">
        <v>0</v>
      </c>
      <c r="AE38" s="88">
        <v>1</v>
      </c>
      <c r="AF38" s="88">
        <v>1.00475975841704</v>
      </c>
      <c r="AG38" s="88">
        <v>1.00475975841704</v>
      </c>
      <c r="AH38" s="88">
        <v>78795</v>
      </c>
      <c r="AI38" s="88">
        <v>78795.000000000015</v>
      </c>
      <c r="AJ38" s="88">
        <v>64336.339578774598</v>
      </c>
      <c r="AK38" s="88">
        <v>76499.999999999985</v>
      </c>
      <c r="AL38" s="88">
        <v>77318.861044452744</v>
      </c>
      <c r="AM38" s="88">
        <v>76500</v>
      </c>
      <c r="AN38" s="88">
        <v>51255</v>
      </c>
      <c r="AO38" s="88">
        <v>51803.636899783327</v>
      </c>
      <c r="AP38" s="88">
        <v>51599.308332515393</v>
      </c>
      <c r="AQ38" s="88">
        <v>0</v>
      </c>
      <c r="AR38" s="88">
        <v>76499.999999999985</v>
      </c>
      <c r="AS38" s="88">
        <v>77013.893033605069</v>
      </c>
      <c r="AT38" s="88">
        <v>51803.636899783327</v>
      </c>
      <c r="AU38" s="88">
        <v>51599.308332515393</v>
      </c>
      <c r="AV38" s="88">
        <v>65025</v>
      </c>
      <c r="AW38" s="88">
        <v>64260</v>
      </c>
      <c r="AX38" s="88">
        <v>64642.5</v>
      </c>
      <c r="AY38" s="88">
        <v>76500</v>
      </c>
      <c r="AZ38" s="88">
        <v>76500</v>
      </c>
      <c r="BA38" s="88">
        <v>76500</v>
      </c>
      <c r="BB38" s="88">
        <v>76500</v>
      </c>
      <c r="BC38" s="88">
        <v>76500</v>
      </c>
      <c r="BD38" s="88">
        <v>76500</v>
      </c>
      <c r="BE38" s="88">
        <v>76500</v>
      </c>
      <c r="BF38" s="88">
        <v>76500</v>
      </c>
      <c r="BG38" s="88">
        <v>76500</v>
      </c>
      <c r="BH38" s="88">
        <v>76500</v>
      </c>
      <c r="BI38" s="88">
        <v>76500</v>
      </c>
      <c r="BJ38" s="88">
        <v>76500</v>
      </c>
      <c r="BK38" s="88">
        <v>364.91175336682619</v>
      </c>
      <c r="BL38" s="88">
        <v>364.77112400063208</v>
      </c>
      <c r="BM38" s="88">
        <v>364.63060298389951</v>
      </c>
      <c r="BN38" s="88">
        <v>364.48543233082279</v>
      </c>
      <c r="BO38" s="88">
        <v>364.34037722553961</v>
      </c>
      <c r="BP38" s="88">
        <v>364.19543753015392</v>
      </c>
      <c r="BQ38" s="88">
        <v>364.05061310699102</v>
      </c>
      <c r="BR38" s="88">
        <v>363.9035324935985</v>
      </c>
      <c r="BS38" s="88">
        <v>363.75894008677079</v>
      </c>
      <c r="BT38" s="88">
        <v>363.61446253817297</v>
      </c>
      <c r="BU38" s="88">
        <v>363.47009971101352</v>
      </c>
      <c r="BV38" s="88">
        <v>363.32585146872162</v>
      </c>
      <c r="BW38" s="88">
        <v>0</v>
      </c>
      <c r="BX38" s="88">
        <v>0</v>
      </c>
      <c r="BY38" s="88">
        <v>0</v>
      </c>
      <c r="BZ38" s="88">
        <v>0</v>
      </c>
      <c r="CA38" s="88">
        <v>0</v>
      </c>
      <c r="CB38" s="88">
        <v>0</v>
      </c>
      <c r="CC38" s="88">
        <v>0</v>
      </c>
      <c r="CD38" s="88">
        <v>0</v>
      </c>
      <c r="CE38" s="88">
        <v>0</v>
      </c>
      <c r="CF38" s="88">
        <v>0</v>
      </c>
      <c r="CG38" s="88">
        <v>0</v>
      </c>
      <c r="CH38" s="88">
        <v>0</v>
      </c>
      <c r="CI38" s="88">
        <v>76500</v>
      </c>
      <c r="CJ38" s="88">
        <v>76500</v>
      </c>
      <c r="CK38" s="88">
        <v>76500</v>
      </c>
      <c r="CL38" s="88">
        <v>76500</v>
      </c>
      <c r="CM38" s="88">
        <v>76500</v>
      </c>
      <c r="CN38" s="88">
        <v>76500</v>
      </c>
      <c r="CO38" s="88">
        <v>76500</v>
      </c>
      <c r="CP38" s="88">
        <v>76500</v>
      </c>
      <c r="CQ38" s="88">
        <v>76500</v>
      </c>
      <c r="CR38" s="88">
        <v>76500</v>
      </c>
      <c r="CS38" s="88">
        <v>76500</v>
      </c>
      <c r="CT38" s="88">
        <v>76500</v>
      </c>
      <c r="CU38" s="88">
        <v>364.91175336682619</v>
      </c>
      <c r="CV38" s="88">
        <v>364.77112400063208</v>
      </c>
      <c r="CW38" s="88">
        <v>364.63060298389951</v>
      </c>
      <c r="CX38" s="88">
        <v>364.48543233082279</v>
      </c>
      <c r="CY38" s="88">
        <v>364.34037722553961</v>
      </c>
      <c r="CZ38" s="88">
        <v>364.19543753015392</v>
      </c>
      <c r="DA38" s="88">
        <v>364.05061310699102</v>
      </c>
      <c r="DB38" s="88">
        <v>363.9035324935985</v>
      </c>
      <c r="DC38" s="88">
        <v>363.75894008677079</v>
      </c>
      <c r="DD38" s="88">
        <v>363.61446253817297</v>
      </c>
      <c r="DE38" s="88">
        <v>363.47009971101352</v>
      </c>
      <c r="DF38" s="88">
        <v>363.32585146872162</v>
      </c>
      <c r="DG38" s="93">
        <v>46023</v>
      </c>
      <c r="DH38" s="91">
        <v>0.03</v>
      </c>
      <c r="DI38" t="s">
        <v>301</v>
      </c>
      <c r="DJ38" s="93"/>
      <c r="DK38" s="91"/>
      <c r="DM38" s="93"/>
      <c r="DN38" s="91"/>
      <c r="DP38" s="93"/>
      <c r="DQ38" s="91"/>
    </row>
    <row r="39" spans="1:121" x14ac:dyDescent="0.3">
      <c r="A39" t="s">
        <v>22</v>
      </c>
      <c r="B39" t="s">
        <v>45</v>
      </c>
      <c r="C39" t="s">
        <v>91</v>
      </c>
      <c r="D39" t="s">
        <v>375</v>
      </c>
      <c r="E39" t="s">
        <v>376</v>
      </c>
      <c r="F39" s="86">
        <v>58500</v>
      </c>
      <c r="G39" s="87">
        <v>12</v>
      </c>
      <c r="H39" s="88">
        <v>1.04</v>
      </c>
      <c r="I39" s="88">
        <v>1.0434722222222219</v>
      </c>
      <c r="J39" s="89">
        <v>0.84399161196207151</v>
      </c>
      <c r="K39" s="88">
        <v>0.99667243444695852</v>
      </c>
      <c r="L39" s="88">
        <v>1.0071190139247479</v>
      </c>
      <c r="M39" s="88">
        <v>1</v>
      </c>
      <c r="N39" s="90">
        <v>0.65400000000000003</v>
      </c>
      <c r="O39" s="90">
        <v>0.65646411463857401</v>
      </c>
      <c r="P39" s="90">
        <v>0.62758903624335949</v>
      </c>
      <c r="Q39" s="91">
        <v>0</v>
      </c>
      <c r="R39" s="88">
        <v>0.96787202580992038</v>
      </c>
      <c r="S39" s="88">
        <v>0.99147019211144083</v>
      </c>
      <c r="T39" s="91">
        <v>3.3386752136752569E-3</v>
      </c>
      <c r="U39" s="91">
        <v>2.9756422201517641E-2</v>
      </c>
      <c r="V39" s="87">
        <v>0</v>
      </c>
      <c r="W39" s="91">
        <v>0</v>
      </c>
      <c r="X39" s="87">
        <v>1</v>
      </c>
      <c r="Y39" s="90">
        <v>0.65646411463857401</v>
      </c>
      <c r="Z39" s="90">
        <v>0.62758903624335949</v>
      </c>
      <c r="AA39" s="92">
        <v>0</v>
      </c>
      <c r="AB39" s="88">
        <v>0</v>
      </c>
      <c r="AC39" s="87">
        <v>1</v>
      </c>
      <c r="AD39" s="87">
        <v>1</v>
      </c>
      <c r="AE39" s="88">
        <v>1.02</v>
      </c>
      <c r="AF39" s="88">
        <v>1.0191078169498311</v>
      </c>
      <c r="AG39" s="88">
        <v>1.039488751949295</v>
      </c>
      <c r="AH39" s="88">
        <v>60840</v>
      </c>
      <c r="AI39" s="88">
        <v>61043.125000000007</v>
      </c>
      <c r="AJ39" s="88">
        <v>49373.509299781181</v>
      </c>
      <c r="AK39" s="88">
        <v>58305.337415147071</v>
      </c>
      <c r="AL39" s="88">
        <v>58916.462314597753</v>
      </c>
      <c r="AM39" s="88">
        <v>58500</v>
      </c>
      <c r="AN39" s="88">
        <v>38259</v>
      </c>
      <c r="AO39" s="88">
        <v>38403.15070635658</v>
      </c>
      <c r="AP39" s="88">
        <v>36713.958620236532</v>
      </c>
      <c r="AQ39" s="88">
        <v>0</v>
      </c>
      <c r="AR39" s="88">
        <v>56620.513509880337</v>
      </c>
      <c r="AS39" s="88">
        <v>58001.006238519287</v>
      </c>
      <c r="AT39" s="88">
        <v>38403.15070635658</v>
      </c>
      <c r="AU39" s="88">
        <v>36713.958620236532</v>
      </c>
      <c r="AV39" s="88">
        <v>49725</v>
      </c>
      <c r="AW39" s="88">
        <v>49140</v>
      </c>
      <c r="AX39" s="88">
        <v>50310</v>
      </c>
      <c r="AY39" s="88">
        <v>58500</v>
      </c>
      <c r="AZ39" s="88">
        <v>58500</v>
      </c>
      <c r="BA39" s="88">
        <v>58500</v>
      </c>
      <c r="BB39" s="88">
        <v>58500</v>
      </c>
      <c r="BC39" s="88">
        <v>58500</v>
      </c>
      <c r="BD39" s="88">
        <v>58500</v>
      </c>
      <c r="BE39" s="88">
        <v>58500</v>
      </c>
      <c r="BF39" s="88">
        <v>58500</v>
      </c>
      <c r="BG39" s="88">
        <v>58500</v>
      </c>
      <c r="BH39" s="88">
        <v>58500</v>
      </c>
      <c r="BI39" s="88">
        <v>58500</v>
      </c>
      <c r="BJ39" s="88">
        <v>58500</v>
      </c>
      <c r="BK39" s="88">
        <v>3512.6876666754679</v>
      </c>
      <c r="BL39" s="88">
        <v>1125.8304334071549</v>
      </c>
      <c r="BM39" s="88">
        <v>1124.0820194256539</v>
      </c>
      <c r="BN39" s="88">
        <v>1122.2800378429561</v>
      </c>
      <c r="BO39" s="88">
        <v>1120.4838244168641</v>
      </c>
      <c r="BP39" s="88">
        <v>1118.693351495785</v>
      </c>
      <c r="BQ39" s="88">
        <v>1116.9085916045519</v>
      </c>
      <c r="BR39" s="88">
        <v>3499.7044154894711</v>
      </c>
      <c r="BS39" s="88">
        <v>3497.8601595495129</v>
      </c>
      <c r="BT39" s="88">
        <v>3496.0217600666292</v>
      </c>
      <c r="BU39" s="88">
        <v>3494.189189189186</v>
      </c>
      <c r="BV39" s="88">
        <v>3492.362419241847</v>
      </c>
      <c r="BW39" s="88">
        <v>2340.0000000000018</v>
      </c>
      <c r="BX39" s="88">
        <v>0</v>
      </c>
      <c r="BY39" s="88">
        <v>0</v>
      </c>
      <c r="BZ39" s="88">
        <v>0</v>
      </c>
      <c r="CA39" s="88">
        <v>0</v>
      </c>
      <c r="CB39" s="88">
        <v>0</v>
      </c>
      <c r="CC39" s="88">
        <v>0</v>
      </c>
      <c r="CD39" s="88">
        <v>2340.0000000000018</v>
      </c>
      <c r="CE39" s="88">
        <v>2340.0000000000018</v>
      </c>
      <c r="CF39" s="88">
        <v>2340.0000000000018</v>
      </c>
      <c r="CG39" s="88">
        <v>2340.0000000000018</v>
      </c>
      <c r="CH39" s="88">
        <v>2340.0000000000018</v>
      </c>
      <c r="CI39" s="88">
        <v>58500</v>
      </c>
      <c r="CJ39" s="88">
        <v>58500</v>
      </c>
      <c r="CK39" s="88">
        <v>58500</v>
      </c>
      <c r="CL39" s="88">
        <v>58500</v>
      </c>
      <c r="CM39" s="88">
        <v>58500</v>
      </c>
      <c r="CN39" s="88">
        <v>58500</v>
      </c>
      <c r="CO39" s="88">
        <v>58500</v>
      </c>
      <c r="CP39" s="88">
        <v>58500</v>
      </c>
      <c r="CQ39" s="88">
        <v>58500</v>
      </c>
      <c r="CR39" s="88">
        <v>58500</v>
      </c>
      <c r="CS39" s="88">
        <v>58500</v>
      </c>
      <c r="CT39" s="88">
        <v>58500</v>
      </c>
      <c r="CU39" s="88">
        <v>1127.584294880256</v>
      </c>
      <c r="CV39" s="88">
        <v>1125.8304334071549</v>
      </c>
      <c r="CW39" s="88">
        <v>1124.0820194256539</v>
      </c>
      <c r="CX39" s="88">
        <v>1122.2800378429561</v>
      </c>
      <c r="CY39" s="88">
        <v>1120.4838244168641</v>
      </c>
      <c r="CZ39" s="88">
        <v>1118.693351495785</v>
      </c>
      <c r="DA39" s="88">
        <v>1116.9085916045519</v>
      </c>
      <c r="DB39" s="88">
        <v>1115.1003995091021</v>
      </c>
      <c r="DC39" s="88">
        <v>1113.327076489918</v>
      </c>
      <c r="DD39" s="88">
        <v>1111.559384679445</v>
      </c>
      <c r="DE39" s="88">
        <v>1109.7972972972941</v>
      </c>
      <c r="DF39" s="88">
        <v>1108.0407877325461</v>
      </c>
      <c r="DG39" s="93">
        <v>46054</v>
      </c>
      <c r="DH39" s="91">
        <v>0.04</v>
      </c>
      <c r="DI39" t="s">
        <v>301</v>
      </c>
      <c r="DJ39" s="93">
        <v>46600</v>
      </c>
      <c r="DK39" s="91">
        <v>0.04</v>
      </c>
      <c r="DL39" t="s">
        <v>302</v>
      </c>
      <c r="DM39" s="93"/>
      <c r="DN39" s="91"/>
      <c r="DP39" s="93"/>
      <c r="DQ39" s="91"/>
    </row>
    <row r="40" spans="1:121" x14ac:dyDescent="0.3">
      <c r="A40" t="s">
        <v>22</v>
      </c>
      <c r="B40" t="s">
        <v>45</v>
      </c>
      <c r="C40" t="s">
        <v>92</v>
      </c>
      <c r="D40" t="s">
        <v>377</v>
      </c>
      <c r="E40" t="s">
        <v>378</v>
      </c>
      <c r="F40" s="86">
        <v>40500</v>
      </c>
      <c r="G40" s="87">
        <v>12</v>
      </c>
      <c r="H40" s="88">
        <v>1</v>
      </c>
      <c r="I40" s="88">
        <v>1</v>
      </c>
      <c r="J40" s="89">
        <v>0.84</v>
      </c>
      <c r="K40" s="88">
        <v>1</v>
      </c>
      <c r="L40" s="88">
        <v>1.0119047619047621</v>
      </c>
      <c r="M40" s="88">
        <v>1</v>
      </c>
      <c r="N40" s="90">
        <v>0.63800000000000001</v>
      </c>
      <c r="O40" s="90">
        <v>0.64559523809523811</v>
      </c>
      <c r="P40" s="90">
        <v>0.64559523809523811</v>
      </c>
      <c r="Q40" s="91">
        <v>0</v>
      </c>
      <c r="R40" s="88">
        <v>1</v>
      </c>
      <c r="S40" s="88">
        <v>1.0119047619047621</v>
      </c>
      <c r="T40" s="91">
        <v>0</v>
      </c>
      <c r="U40" s="91">
        <v>0</v>
      </c>
      <c r="V40" s="87">
        <v>0</v>
      </c>
      <c r="W40" s="91">
        <v>0</v>
      </c>
      <c r="X40" s="87">
        <v>1</v>
      </c>
      <c r="Y40" s="90">
        <v>0.64559523809523811</v>
      </c>
      <c r="Z40" s="90">
        <v>0.64559523809523811</v>
      </c>
      <c r="AA40" s="92">
        <v>0</v>
      </c>
      <c r="AB40" s="88">
        <v>0</v>
      </c>
      <c r="AC40" s="87">
        <v>0</v>
      </c>
      <c r="AD40" s="87">
        <v>0</v>
      </c>
      <c r="AE40" s="88">
        <v>1</v>
      </c>
      <c r="AF40" s="88">
        <v>1</v>
      </c>
      <c r="AG40" s="88">
        <v>1</v>
      </c>
      <c r="AH40" s="88">
        <v>40500</v>
      </c>
      <c r="AI40" s="88">
        <v>40500</v>
      </c>
      <c r="AJ40" s="88">
        <v>34020</v>
      </c>
      <c r="AK40" s="88">
        <v>40500</v>
      </c>
      <c r="AL40" s="88">
        <v>40982.142857142862</v>
      </c>
      <c r="AM40" s="88">
        <v>40500</v>
      </c>
      <c r="AN40" s="88">
        <v>25839</v>
      </c>
      <c r="AO40" s="88">
        <v>26146.607142857141</v>
      </c>
      <c r="AP40" s="88">
        <v>26146.607142857141</v>
      </c>
      <c r="AQ40" s="88">
        <v>0</v>
      </c>
      <c r="AR40" s="88">
        <v>40500</v>
      </c>
      <c r="AS40" s="88">
        <v>40982.142857142862</v>
      </c>
      <c r="AT40" s="88">
        <v>26146.607142857141</v>
      </c>
      <c r="AU40" s="88">
        <v>26146.607142857141</v>
      </c>
      <c r="AV40" s="88">
        <v>34425</v>
      </c>
      <c r="AW40" s="88">
        <v>34020</v>
      </c>
      <c r="AX40" s="88">
        <v>34020</v>
      </c>
      <c r="AY40" s="88">
        <v>40500</v>
      </c>
      <c r="AZ40" s="88">
        <v>40500</v>
      </c>
      <c r="BA40" s="88">
        <v>40500</v>
      </c>
      <c r="BB40" s="88">
        <v>40500</v>
      </c>
      <c r="BC40" s="88">
        <v>40500</v>
      </c>
      <c r="BD40" s="88">
        <v>40500</v>
      </c>
      <c r="BE40" s="88">
        <v>40500</v>
      </c>
      <c r="BF40" s="88">
        <v>40500</v>
      </c>
      <c r="BG40" s="88">
        <v>40500</v>
      </c>
      <c r="BH40" s="88">
        <v>40500</v>
      </c>
      <c r="BI40" s="88">
        <v>40500</v>
      </c>
      <c r="BJ40" s="88">
        <v>40500</v>
      </c>
      <c r="BK40" s="88">
        <v>0</v>
      </c>
      <c r="BL40" s="88">
        <v>0</v>
      </c>
      <c r="BM40" s="88">
        <v>0</v>
      </c>
      <c r="BN40" s="88">
        <v>0</v>
      </c>
      <c r="BO40" s="88">
        <v>0</v>
      </c>
      <c r="BP40" s="88">
        <v>0</v>
      </c>
      <c r="BQ40" s="88">
        <v>0</v>
      </c>
      <c r="BR40" s="88">
        <v>0</v>
      </c>
      <c r="BS40" s="88">
        <v>0</v>
      </c>
      <c r="BT40" s="88">
        <v>0</v>
      </c>
      <c r="BU40" s="88">
        <v>0</v>
      </c>
      <c r="BV40" s="88">
        <v>0</v>
      </c>
      <c r="BW40" s="88">
        <v>0</v>
      </c>
      <c r="BX40" s="88">
        <v>0</v>
      </c>
      <c r="BY40" s="88">
        <v>0</v>
      </c>
      <c r="BZ40" s="88">
        <v>0</v>
      </c>
      <c r="CA40" s="88">
        <v>0</v>
      </c>
      <c r="CB40" s="88">
        <v>0</v>
      </c>
      <c r="CC40" s="88">
        <v>0</v>
      </c>
      <c r="CD40" s="88">
        <v>0</v>
      </c>
      <c r="CE40" s="88">
        <v>0</v>
      </c>
      <c r="CF40" s="88">
        <v>0</v>
      </c>
      <c r="CG40" s="88">
        <v>0</v>
      </c>
      <c r="CH40" s="88">
        <v>0</v>
      </c>
      <c r="CI40" s="88">
        <v>40500</v>
      </c>
      <c r="CJ40" s="88">
        <v>40500</v>
      </c>
      <c r="CK40" s="88">
        <v>40500</v>
      </c>
      <c r="CL40" s="88">
        <v>40500</v>
      </c>
      <c r="CM40" s="88">
        <v>40500</v>
      </c>
      <c r="CN40" s="88">
        <v>40500</v>
      </c>
      <c r="CO40" s="88">
        <v>40500</v>
      </c>
      <c r="CP40" s="88">
        <v>40500</v>
      </c>
      <c r="CQ40" s="88">
        <v>40500</v>
      </c>
      <c r="CR40" s="88">
        <v>40500</v>
      </c>
      <c r="CS40" s="88">
        <v>40500</v>
      </c>
      <c r="CT40" s="88">
        <v>40500</v>
      </c>
      <c r="CU40" s="88">
        <v>0</v>
      </c>
      <c r="CV40" s="88">
        <v>0</v>
      </c>
      <c r="CW40" s="88">
        <v>0</v>
      </c>
      <c r="CX40" s="88">
        <v>0</v>
      </c>
      <c r="CY40" s="88">
        <v>0</v>
      </c>
      <c r="CZ40" s="88">
        <v>0</v>
      </c>
      <c r="DA40" s="88">
        <v>0</v>
      </c>
      <c r="DB40" s="88">
        <v>0</v>
      </c>
      <c r="DC40" s="88">
        <v>0</v>
      </c>
      <c r="DD40" s="88">
        <v>0</v>
      </c>
      <c r="DE40" s="88">
        <v>0</v>
      </c>
      <c r="DF40" s="88">
        <v>0</v>
      </c>
      <c r="DG40" s="93"/>
      <c r="DH40" s="91"/>
      <c r="DJ40" s="93"/>
      <c r="DK40" s="91"/>
      <c r="DM40" s="93"/>
      <c r="DN40" s="91"/>
      <c r="DP40" s="93"/>
      <c r="DQ40" s="91"/>
    </row>
    <row r="41" spans="1:121" x14ac:dyDescent="0.3">
      <c r="A41" t="s">
        <v>22</v>
      </c>
      <c r="B41" t="s">
        <v>45</v>
      </c>
      <c r="C41" t="s">
        <v>94</v>
      </c>
      <c r="D41" t="s">
        <v>379</v>
      </c>
      <c r="E41" t="s">
        <v>380</v>
      </c>
      <c r="F41" s="86">
        <v>99000</v>
      </c>
      <c r="G41" s="87">
        <v>12</v>
      </c>
      <c r="H41" s="88">
        <v>1.06</v>
      </c>
      <c r="I41" s="88">
        <v>1.058125</v>
      </c>
      <c r="J41" s="89">
        <v>0.84299370897155379</v>
      </c>
      <c r="K41" s="88">
        <v>1.0017720023626699</v>
      </c>
      <c r="L41" s="88">
        <v>1.0083112020337539</v>
      </c>
      <c r="M41" s="88">
        <v>1</v>
      </c>
      <c r="N41" s="90">
        <v>0.66600000000000004</v>
      </c>
      <c r="O41" s="90">
        <v>0.67272522262279877</v>
      </c>
      <c r="P41" s="90">
        <v>0.66366971154440324</v>
      </c>
      <c r="Q41" s="91">
        <v>0</v>
      </c>
      <c r="R41" s="88">
        <v>0.99999999999999978</v>
      </c>
      <c r="S41" s="88">
        <v>0.99650106838498997</v>
      </c>
      <c r="T41" s="91">
        <v>-1.768867924528128E-3</v>
      </c>
      <c r="U41" s="91">
        <v>1.7720023626699439E-3</v>
      </c>
      <c r="V41" s="87">
        <v>0</v>
      </c>
      <c r="W41" s="91">
        <v>0</v>
      </c>
      <c r="X41" s="87">
        <v>1</v>
      </c>
      <c r="Y41" s="90">
        <v>0.67272522262279877</v>
      </c>
      <c r="Z41" s="90">
        <v>0.66366971154440324</v>
      </c>
      <c r="AA41" s="92">
        <v>0</v>
      </c>
      <c r="AB41" s="88">
        <v>0</v>
      </c>
      <c r="AC41" s="87">
        <v>1</v>
      </c>
      <c r="AD41" s="87">
        <v>0</v>
      </c>
      <c r="AE41" s="88">
        <v>1.0149999999999999</v>
      </c>
      <c r="AF41" s="88">
        <v>1.014313571147019</v>
      </c>
      <c r="AG41" s="88">
        <v>1.02952942846201</v>
      </c>
      <c r="AH41" s="88">
        <v>104940</v>
      </c>
      <c r="AI41" s="88">
        <v>104754.375</v>
      </c>
      <c r="AJ41" s="88">
        <v>83456.377188183818</v>
      </c>
      <c r="AK41" s="88">
        <v>99175.428233904298</v>
      </c>
      <c r="AL41" s="88">
        <v>99822.809001341637</v>
      </c>
      <c r="AM41" s="88">
        <v>99000</v>
      </c>
      <c r="AN41" s="88">
        <v>65934</v>
      </c>
      <c r="AO41" s="88">
        <v>66599.797039657074</v>
      </c>
      <c r="AP41" s="88">
        <v>65703.301442895914</v>
      </c>
      <c r="AQ41" s="88">
        <v>0</v>
      </c>
      <c r="AR41" s="88">
        <v>98999.999999999971</v>
      </c>
      <c r="AS41" s="88">
        <v>98653.605770114009</v>
      </c>
      <c r="AT41" s="88">
        <v>66599.797039657074</v>
      </c>
      <c r="AU41" s="88">
        <v>65703.301442895914</v>
      </c>
      <c r="AV41" s="88">
        <v>84150</v>
      </c>
      <c r="AW41" s="88">
        <v>83160</v>
      </c>
      <c r="AX41" s="88">
        <v>84645</v>
      </c>
      <c r="AY41" s="88">
        <v>99000</v>
      </c>
      <c r="AZ41" s="88">
        <v>99000</v>
      </c>
      <c r="BA41" s="88">
        <v>99000</v>
      </c>
      <c r="BB41" s="88">
        <v>99000</v>
      </c>
      <c r="BC41" s="88">
        <v>99000</v>
      </c>
      <c r="BD41" s="88">
        <v>99000</v>
      </c>
      <c r="BE41" s="88">
        <v>99000</v>
      </c>
      <c r="BF41" s="88">
        <v>99000</v>
      </c>
      <c r="BG41" s="88">
        <v>99000</v>
      </c>
      <c r="BH41" s="88">
        <v>99000</v>
      </c>
      <c r="BI41" s="88">
        <v>99000</v>
      </c>
      <c r="BJ41" s="88">
        <v>99000</v>
      </c>
      <c r="BK41" s="88">
        <v>7451.894846947821</v>
      </c>
      <c r="BL41" s="88">
        <v>7450.1364138148674</v>
      </c>
      <c r="BM41" s="88">
        <v>7448.3820662768176</v>
      </c>
      <c r="BN41" s="88">
        <v>1421.294839521714</v>
      </c>
      <c r="BO41" s="88">
        <v>1419.5918206996839</v>
      </c>
      <c r="BP41" s="88">
        <v>1417.8928781636221</v>
      </c>
      <c r="BQ41" s="88">
        <v>1416.197997295769</v>
      </c>
      <c r="BR41" s="88">
        <v>1414.479478597864</v>
      </c>
      <c r="BS41" s="88">
        <v>1412.7927434804719</v>
      </c>
      <c r="BT41" s="88">
        <v>1411.110026359461</v>
      </c>
      <c r="BU41" s="88">
        <v>1409.43131289491</v>
      </c>
      <c r="BV41" s="88">
        <v>1407.7565888150871</v>
      </c>
      <c r="BW41" s="88">
        <v>5940.0000000000045</v>
      </c>
      <c r="BX41" s="88">
        <v>5940.0000000000045</v>
      </c>
      <c r="BY41" s="88">
        <v>5940.0000000000045</v>
      </c>
      <c r="BZ41" s="88">
        <v>0</v>
      </c>
      <c r="CA41" s="88">
        <v>0</v>
      </c>
      <c r="CB41" s="88">
        <v>0</v>
      </c>
      <c r="CC41" s="88">
        <v>0</v>
      </c>
      <c r="CD41" s="88">
        <v>0</v>
      </c>
      <c r="CE41" s="88">
        <v>0</v>
      </c>
      <c r="CF41" s="88">
        <v>0</v>
      </c>
      <c r="CG41" s="88">
        <v>0</v>
      </c>
      <c r="CH41" s="88">
        <v>0</v>
      </c>
      <c r="CI41" s="88">
        <v>99000</v>
      </c>
      <c r="CJ41" s="88">
        <v>99000</v>
      </c>
      <c r="CK41" s="88">
        <v>99000</v>
      </c>
      <c r="CL41" s="88">
        <v>99000</v>
      </c>
      <c r="CM41" s="88">
        <v>99000</v>
      </c>
      <c r="CN41" s="88">
        <v>99000</v>
      </c>
      <c r="CO41" s="88">
        <v>99000</v>
      </c>
      <c r="CP41" s="88">
        <v>99000</v>
      </c>
      <c r="CQ41" s="88">
        <v>99000</v>
      </c>
      <c r="CR41" s="88">
        <v>99000</v>
      </c>
      <c r="CS41" s="88">
        <v>99000</v>
      </c>
      <c r="CT41" s="88">
        <v>99000</v>
      </c>
      <c r="CU41" s="88">
        <v>1426.3158933470061</v>
      </c>
      <c r="CV41" s="88">
        <v>1424.65699416497</v>
      </c>
      <c r="CW41" s="88">
        <v>1423.0019493177449</v>
      </c>
      <c r="CX41" s="88">
        <v>1421.294839521714</v>
      </c>
      <c r="CY41" s="88">
        <v>1419.5918206996839</v>
      </c>
      <c r="CZ41" s="88">
        <v>1417.8928781636221</v>
      </c>
      <c r="DA41" s="88">
        <v>1416.197997295769</v>
      </c>
      <c r="DB41" s="88">
        <v>1414.479478597864</v>
      </c>
      <c r="DC41" s="88">
        <v>1412.7927434804719</v>
      </c>
      <c r="DD41" s="88">
        <v>1411.110026359461</v>
      </c>
      <c r="DE41" s="88">
        <v>1409.43131289491</v>
      </c>
      <c r="DF41" s="88">
        <v>1407.7565888150871</v>
      </c>
      <c r="DG41" s="93">
        <v>46113</v>
      </c>
      <c r="DH41" s="91">
        <v>0.06</v>
      </c>
      <c r="DI41" t="s">
        <v>301</v>
      </c>
      <c r="DJ41" s="93"/>
      <c r="DK41" s="91"/>
      <c r="DM41" s="93"/>
      <c r="DN41" s="91"/>
      <c r="DP41" s="93"/>
      <c r="DQ41" s="91"/>
    </row>
    <row r="42" spans="1:121" x14ac:dyDescent="0.3">
      <c r="A42" t="s">
        <v>22</v>
      </c>
      <c r="B42" t="s">
        <v>45</v>
      </c>
      <c r="C42" t="s">
        <v>95</v>
      </c>
      <c r="D42" t="s">
        <v>381</v>
      </c>
      <c r="E42" t="s">
        <v>382</v>
      </c>
      <c r="F42" s="86">
        <v>81000</v>
      </c>
      <c r="G42" s="87">
        <v>12</v>
      </c>
      <c r="H42" s="88">
        <v>1.02</v>
      </c>
      <c r="I42" s="88">
        <v>1.018888888888889</v>
      </c>
      <c r="J42" s="89">
        <v>0.83900209700948214</v>
      </c>
      <c r="K42" s="88">
        <v>1.001090512540894</v>
      </c>
      <c r="L42" s="88">
        <v>1.0131083140670549</v>
      </c>
      <c r="M42" s="88">
        <v>1</v>
      </c>
      <c r="N42" s="90">
        <v>0.65</v>
      </c>
      <c r="O42" s="90">
        <v>0.65923852890273882</v>
      </c>
      <c r="P42" s="90">
        <v>0.66114470486756116</v>
      </c>
      <c r="Q42" s="91">
        <v>0</v>
      </c>
      <c r="R42" s="88">
        <v>1</v>
      </c>
      <c r="S42" s="88">
        <v>1.017145699796248</v>
      </c>
      <c r="T42" s="91">
        <v>-1.089324618736343E-3</v>
      </c>
      <c r="U42" s="91">
        <v>1.090512540893984E-3</v>
      </c>
      <c r="V42" s="87">
        <v>0</v>
      </c>
      <c r="W42" s="91">
        <v>0</v>
      </c>
      <c r="X42" s="87">
        <v>1</v>
      </c>
      <c r="Y42" s="90">
        <v>0.65923852890273882</v>
      </c>
      <c r="Z42" s="90">
        <v>0.66114470486756116</v>
      </c>
      <c r="AA42" s="92">
        <v>0</v>
      </c>
      <c r="AB42" s="88">
        <v>0</v>
      </c>
      <c r="AC42" s="87">
        <v>1</v>
      </c>
      <c r="AD42" s="87">
        <v>0</v>
      </c>
      <c r="AE42" s="88">
        <v>1.006666666666667</v>
      </c>
      <c r="AF42" s="88">
        <v>0.99525154750742739</v>
      </c>
      <c r="AG42" s="88">
        <v>1.0018866079213951</v>
      </c>
      <c r="AH42" s="88">
        <v>82620</v>
      </c>
      <c r="AI42" s="88">
        <v>82530</v>
      </c>
      <c r="AJ42" s="88">
        <v>67959.169857768051</v>
      </c>
      <c r="AK42" s="88">
        <v>81088.331515812431</v>
      </c>
      <c r="AL42" s="88">
        <v>82061.773439431432</v>
      </c>
      <c r="AM42" s="88">
        <v>81000</v>
      </c>
      <c r="AN42" s="88">
        <v>52650</v>
      </c>
      <c r="AO42" s="88">
        <v>53398.320841121837</v>
      </c>
      <c r="AP42" s="88">
        <v>53552.721094272463</v>
      </c>
      <c r="AQ42" s="88">
        <v>0</v>
      </c>
      <c r="AR42" s="88">
        <v>81000.000000000015</v>
      </c>
      <c r="AS42" s="88">
        <v>82388.801683496073</v>
      </c>
      <c r="AT42" s="88">
        <v>53398.320841121837</v>
      </c>
      <c r="AU42" s="88">
        <v>53552.721094272463</v>
      </c>
      <c r="AV42" s="88">
        <v>68850</v>
      </c>
      <c r="AW42" s="88">
        <v>68040</v>
      </c>
      <c r="AX42" s="88">
        <v>67635</v>
      </c>
      <c r="AY42" s="88">
        <v>81000</v>
      </c>
      <c r="AZ42" s="88">
        <v>81000</v>
      </c>
      <c r="BA42" s="88">
        <v>81000</v>
      </c>
      <c r="BB42" s="88">
        <v>81000</v>
      </c>
      <c r="BC42" s="88">
        <v>81000</v>
      </c>
      <c r="BD42" s="88">
        <v>81000</v>
      </c>
      <c r="BE42" s="88">
        <v>81000</v>
      </c>
      <c r="BF42" s="88">
        <v>81000</v>
      </c>
      <c r="BG42" s="88">
        <v>81000</v>
      </c>
      <c r="BH42" s="88">
        <v>81000</v>
      </c>
      <c r="BI42" s="88">
        <v>81000</v>
      </c>
      <c r="BJ42" s="88">
        <v>81000</v>
      </c>
      <c r="BK42" s="88">
        <v>1228.5300551058949</v>
      </c>
      <c r="BL42" s="88">
        <v>1228.3800841514719</v>
      </c>
      <c r="BM42" s="88">
        <v>1228.2299982461759</v>
      </c>
      <c r="BN42" s="88">
        <v>1228.0747036805931</v>
      </c>
      <c r="BO42" s="88">
        <v>-384.39285691068619</v>
      </c>
      <c r="BP42" s="88">
        <v>-384.54534812637002</v>
      </c>
      <c r="BQ42" s="88">
        <v>-384.69796037864643</v>
      </c>
      <c r="BR42" s="88">
        <v>-384.85319864881109</v>
      </c>
      <c r="BS42" s="88">
        <v>-385.00605539712399</v>
      </c>
      <c r="BT42" s="88">
        <v>-385.15903361755119</v>
      </c>
      <c r="BU42" s="88">
        <v>-385.31213345496701</v>
      </c>
      <c r="BV42" s="88">
        <v>-385.4653550544611</v>
      </c>
      <c r="BW42" s="88">
        <v>1620.0000000000009</v>
      </c>
      <c r="BX42" s="88">
        <v>1620.0000000000009</v>
      </c>
      <c r="BY42" s="88">
        <v>1620.0000000000009</v>
      </c>
      <c r="BZ42" s="88">
        <v>1620.0000000000009</v>
      </c>
      <c r="CA42" s="88">
        <v>0</v>
      </c>
      <c r="CB42" s="88">
        <v>0</v>
      </c>
      <c r="CC42" s="88">
        <v>0</v>
      </c>
      <c r="CD42" s="88">
        <v>0</v>
      </c>
      <c r="CE42" s="88">
        <v>0</v>
      </c>
      <c r="CF42" s="88">
        <v>0</v>
      </c>
      <c r="CG42" s="88">
        <v>0</v>
      </c>
      <c r="CH42" s="88">
        <v>0</v>
      </c>
      <c r="CI42" s="88">
        <v>81000</v>
      </c>
      <c r="CJ42" s="88">
        <v>81000</v>
      </c>
      <c r="CK42" s="88">
        <v>81000</v>
      </c>
      <c r="CL42" s="88">
        <v>81000</v>
      </c>
      <c r="CM42" s="88">
        <v>81000</v>
      </c>
      <c r="CN42" s="88">
        <v>81000</v>
      </c>
      <c r="CO42" s="88">
        <v>81000</v>
      </c>
      <c r="CP42" s="88">
        <v>81000</v>
      </c>
      <c r="CQ42" s="88">
        <v>81000</v>
      </c>
      <c r="CR42" s="88">
        <v>81000</v>
      </c>
      <c r="CS42" s="88">
        <v>81000</v>
      </c>
      <c r="CT42" s="88">
        <v>81000</v>
      </c>
      <c r="CU42" s="88">
        <v>-383.79406362167248</v>
      </c>
      <c r="CV42" s="88">
        <v>-383.94109396914348</v>
      </c>
      <c r="CW42" s="88">
        <v>-384.08823701355738</v>
      </c>
      <c r="CX42" s="88">
        <v>-384.24048658764741</v>
      </c>
      <c r="CY42" s="88">
        <v>-384.39285691068619</v>
      </c>
      <c r="CZ42" s="88">
        <v>-384.54534812637002</v>
      </c>
      <c r="DA42" s="88">
        <v>-384.69796037864643</v>
      </c>
      <c r="DB42" s="88">
        <v>-384.85319864881109</v>
      </c>
      <c r="DC42" s="88">
        <v>-385.00605539712399</v>
      </c>
      <c r="DD42" s="88">
        <v>-385.15903361755119</v>
      </c>
      <c r="DE42" s="88">
        <v>-385.31213345496701</v>
      </c>
      <c r="DF42" s="88">
        <v>-385.4653550544611</v>
      </c>
      <c r="DG42" s="93">
        <v>46143</v>
      </c>
      <c r="DH42" s="91">
        <v>0.02</v>
      </c>
      <c r="DI42" t="s">
        <v>301</v>
      </c>
      <c r="DJ42" s="93"/>
      <c r="DK42" s="91"/>
      <c r="DM42" s="93"/>
      <c r="DN42" s="91"/>
      <c r="DP42" s="93"/>
      <c r="DQ42" s="91"/>
    </row>
    <row r="43" spans="1:121" x14ac:dyDescent="0.3">
      <c r="A43" t="s">
        <v>22</v>
      </c>
      <c r="B43" t="s">
        <v>45</v>
      </c>
      <c r="C43" t="s">
        <v>96</v>
      </c>
      <c r="D43" t="s">
        <v>383</v>
      </c>
      <c r="E43" t="s">
        <v>384</v>
      </c>
      <c r="F43" s="86">
        <v>63000</v>
      </c>
      <c r="G43" s="87">
        <v>12</v>
      </c>
      <c r="H43" s="88">
        <v>1</v>
      </c>
      <c r="I43" s="88">
        <v>1.016805555555556</v>
      </c>
      <c r="J43" s="89">
        <v>0.84199580598103541</v>
      </c>
      <c r="K43" s="88">
        <v>0.98347220325092199</v>
      </c>
      <c r="L43" s="88">
        <v>1.0095062160192581</v>
      </c>
      <c r="M43" s="88">
        <v>1</v>
      </c>
      <c r="N43" s="90">
        <v>0.63400000000000001</v>
      </c>
      <c r="O43" s="90">
        <v>0.62944870576215095</v>
      </c>
      <c r="P43" s="90">
        <v>0.61066211634451684</v>
      </c>
      <c r="Q43" s="91">
        <v>0</v>
      </c>
      <c r="R43" s="88">
        <v>0.96166688927474264</v>
      </c>
      <c r="S43" s="88">
        <v>1.0015832599613119</v>
      </c>
      <c r="T43" s="91">
        <v>1.6805555555555522E-2</v>
      </c>
      <c r="U43" s="91">
        <v>2.2674498019396468E-2</v>
      </c>
      <c r="V43" s="87">
        <v>0</v>
      </c>
      <c r="W43" s="91">
        <v>0</v>
      </c>
      <c r="X43" s="87">
        <v>1</v>
      </c>
      <c r="Y43" s="90">
        <v>0.62944870576215095</v>
      </c>
      <c r="Z43" s="90">
        <v>0.61066211634451684</v>
      </c>
      <c r="AA43" s="92">
        <v>0</v>
      </c>
      <c r="AB43" s="88">
        <v>0</v>
      </c>
      <c r="AC43" s="87">
        <v>0</v>
      </c>
      <c r="AD43" s="87">
        <v>1</v>
      </c>
      <c r="AE43" s="88">
        <v>1.036666666666666</v>
      </c>
      <c r="AF43" s="88">
        <v>1.009530917047716</v>
      </c>
      <c r="AG43" s="88">
        <v>1.046546912431102</v>
      </c>
      <c r="AH43" s="88">
        <v>63000</v>
      </c>
      <c r="AI43" s="88">
        <v>64058.75</v>
      </c>
      <c r="AJ43" s="88">
        <v>53045.735776805232</v>
      </c>
      <c r="AK43" s="88">
        <v>61958.748804808078</v>
      </c>
      <c r="AL43" s="88">
        <v>63598.891609213228</v>
      </c>
      <c r="AM43" s="88">
        <v>63000</v>
      </c>
      <c r="AN43" s="88">
        <v>39942</v>
      </c>
      <c r="AO43" s="88">
        <v>39655.268463015513</v>
      </c>
      <c r="AP43" s="88">
        <v>38471.713329704558</v>
      </c>
      <c r="AQ43" s="88">
        <v>0</v>
      </c>
      <c r="AR43" s="88">
        <v>60585.014024308788</v>
      </c>
      <c r="AS43" s="88">
        <v>63099.745377562678</v>
      </c>
      <c r="AT43" s="88">
        <v>39655.268463015513</v>
      </c>
      <c r="AU43" s="88">
        <v>38471.713329704558</v>
      </c>
      <c r="AV43" s="88">
        <v>53550</v>
      </c>
      <c r="AW43" s="88">
        <v>52920</v>
      </c>
      <c r="AX43" s="88">
        <v>53550</v>
      </c>
      <c r="AY43" s="88">
        <v>63000</v>
      </c>
      <c r="AZ43" s="88">
        <v>63000</v>
      </c>
      <c r="BA43" s="88">
        <v>63000</v>
      </c>
      <c r="BB43" s="88">
        <v>63000</v>
      </c>
      <c r="BC43" s="88">
        <v>63000</v>
      </c>
      <c r="BD43" s="88">
        <v>63000</v>
      </c>
      <c r="BE43" s="88">
        <v>63000</v>
      </c>
      <c r="BF43" s="88">
        <v>63000</v>
      </c>
      <c r="BG43" s="88">
        <v>63000</v>
      </c>
      <c r="BH43" s="88">
        <v>63000</v>
      </c>
      <c r="BI43" s="88">
        <v>63000</v>
      </c>
      <c r="BJ43" s="88">
        <v>63000</v>
      </c>
      <c r="BK43" s="88">
        <v>603.06054208573426</v>
      </c>
      <c r="BL43" s="88">
        <v>3146.6981132075389</v>
      </c>
      <c r="BM43" s="88">
        <v>3146.2140117047961</v>
      </c>
      <c r="BN43" s="88">
        <v>3145.7142857142858</v>
      </c>
      <c r="BO43" s="88">
        <v>3145.2153566620068</v>
      </c>
      <c r="BP43" s="88">
        <v>3144.7172226430898</v>
      </c>
      <c r="BQ43" s="88">
        <v>3144.2198817587341</v>
      </c>
      <c r="BR43" s="88">
        <v>3143.715198539498</v>
      </c>
      <c r="BS43" s="88">
        <v>3143.219451176612</v>
      </c>
      <c r="BT43" s="88">
        <v>3142.7244912573169</v>
      </c>
      <c r="BU43" s="88">
        <v>3142.230316906905</v>
      </c>
      <c r="BV43" s="88">
        <v>3141.7369262566931</v>
      </c>
      <c r="BW43" s="88">
        <v>0</v>
      </c>
      <c r="BX43" s="88">
        <v>2520.0000000000018</v>
      </c>
      <c r="BY43" s="88">
        <v>2520.0000000000018</v>
      </c>
      <c r="BZ43" s="88">
        <v>2520.0000000000018</v>
      </c>
      <c r="CA43" s="88">
        <v>2520.0000000000018</v>
      </c>
      <c r="CB43" s="88">
        <v>2520.0000000000018</v>
      </c>
      <c r="CC43" s="88">
        <v>2520.0000000000018</v>
      </c>
      <c r="CD43" s="88">
        <v>2520.0000000000018</v>
      </c>
      <c r="CE43" s="88">
        <v>2520.0000000000018</v>
      </c>
      <c r="CF43" s="88">
        <v>2520.0000000000018</v>
      </c>
      <c r="CG43" s="88">
        <v>2520.0000000000018</v>
      </c>
      <c r="CH43" s="88">
        <v>2520.0000000000018</v>
      </c>
      <c r="CI43" s="88">
        <v>63000</v>
      </c>
      <c r="CJ43" s="88">
        <v>63000</v>
      </c>
      <c r="CK43" s="88">
        <v>63000</v>
      </c>
      <c r="CL43" s="88">
        <v>63000</v>
      </c>
      <c r="CM43" s="88">
        <v>63000</v>
      </c>
      <c r="CN43" s="88">
        <v>63000</v>
      </c>
      <c r="CO43" s="88">
        <v>63000</v>
      </c>
      <c r="CP43" s="88">
        <v>63000</v>
      </c>
      <c r="CQ43" s="88">
        <v>63000</v>
      </c>
      <c r="CR43" s="88">
        <v>63000</v>
      </c>
      <c r="CS43" s="88">
        <v>63000</v>
      </c>
      <c r="CT43" s="88">
        <v>63000</v>
      </c>
      <c r="CU43" s="88">
        <v>603.06054208573426</v>
      </c>
      <c r="CV43" s="88">
        <v>602.59433962263404</v>
      </c>
      <c r="CW43" s="88">
        <v>602.12885740845047</v>
      </c>
      <c r="CX43" s="88">
        <v>601.64835164835154</v>
      </c>
      <c r="CY43" s="88">
        <v>601.16861217500059</v>
      </c>
      <c r="CZ43" s="88">
        <v>600.68963715681491</v>
      </c>
      <c r="DA43" s="88">
        <v>600.21142476801685</v>
      </c>
      <c r="DB43" s="88">
        <v>599.72615244182009</v>
      </c>
      <c r="DC43" s="88">
        <v>599.24947228520512</v>
      </c>
      <c r="DD43" s="88">
        <v>598.77354928587704</v>
      </c>
      <c r="DE43" s="88">
        <v>598.29838164125169</v>
      </c>
      <c r="DF43" s="88">
        <v>597.8239675545085</v>
      </c>
      <c r="DG43" s="93">
        <v>46419</v>
      </c>
      <c r="DH43" s="91">
        <v>0.04</v>
      </c>
      <c r="DI43" t="s">
        <v>302</v>
      </c>
      <c r="DJ43" s="93"/>
      <c r="DK43" s="91"/>
      <c r="DM43" s="93"/>
      <c r="DN43" s="91"/>
      <c r="DP43" s="93"/>
      <c r="DQ43" s="91"/>
    </row>
    <row r="44" spans="1:121" x14ac:dyDescent="0.3">
      <c r="A44" t="s">
        <v>22</v>
      </c>
      <c r="B44" t="s">
        <v>47</v>
      </c>
      <c r="C44" t="s">
        <v>43</v>
      </c>
      <c r="D44" t="s">
        <v>385</v>
      </c>
      <c r="E44" t="s">
        <v>386</v>
      </c>
      <c r="F44" s="86">
        <v>45000</v>
      </c>
      <c r="G44" s="87">
        <v>12</v>
      </c>
      <c r="H44" s="88">
        <v>1.04</v>
      </c>
      <c r="I44" s="88">
        <v>1.0349999999999999</v>
      </c>
      <c r="J44" s="89">
        <v>0.8380041940189642</v>
      </c>
      <c r="K44" s="88">
        <v>1.0048309178743959</v>
      </c>
      <c r="L44" s="88">
        <v>1.0143147326309969</v>
      </c>
      <c r="M44" s="88">
        <v>1</v>
      </c>
      <c r="N44" s="90">
        <v>0.66200000000000003</v>
      </c>
      <c r="O44" s="90">
        <v>0.67472020011767042</v>
      </c>
      <c r="P44" s="90">
        <v>0.67685608028834332</v>
      </c>
      <c r="Q44" s="91">
        <v>0</v>
      </c>
      <c r="R44" s="88">
        <v>0.99999999999999978</v>
      </c>
      <c r="S44" s="88">
        <v>1.022441208894779</v>
      </c>
      <c r="T44" s="91">
        <v>-4.8076923076921796E-3</v>
      </c>
      <c r="U44" s="91">
        <v>4.8309178743961567E-3</v>
      </c>
      <c r="V44" s="87">
        <v>0</v>
      </c>
      <c r="W44" s="91">
        <v>0</v>
      </c>
      <c r="X44" s="87">
        <v>1</v>
      </c>
      <c r="Y44" s="90">
        <v>0.67472020011767042</v>
      </c>
      <c r="Z44" s="90">
        <v>0.67685608028834332</v>
      </c>
      <c r="AA44" s="92">
        <v>0</v>
      </c>
      <c r="AB44" s="88">
        <v>0</v>
      </c>
      <c r="AC44" s="87">
        <v>1</v>
      </c>
      <c r="AD44" s="87">
        <v>0</v>
      </c>
      <c r="AE44" s="88">
        <v>1.02</v>
      </c>
      <c r="AF44" s="88">
        <v>0.99051430760215442</v>
      </c>
      <c r="AG44" s="88">
        <v>1.0103250446764269</v>
      </c>
      <c r="AH44" s="88">
        <v>46800</v>
      </c>
      <c r="AI44" s="88">
        <v>46575.000000000007</v>
      </c>
      <c r="AJ44" s="88">
        <v>37710.188730853391</v>
      </c>
      <c r="AK44" s="88">
        <v>45217.391304347817</v>
      </c>
      <c r="AL44" s="88">
        <v>45644.16296839487</v>
      </c>
      <c r="AM44" s="88">
        <v>45000</v>
      </c>
      <c r="AN44" s="88">
        <v>29790</v>
      </c>
      <c r="AO44" s="88">
        <v>30362.409005295169</v>
      </c>
      <c r="AP44" s="88">
        <v>30458.523612975448</v>
      </c>
      <c r="AQ44" s="88">
        <v>0</v>
      </c>
      <c r="AR44" s="88">
        <v>44999.999999999993</v>
      </c>
      <c r="AS44" s="88">
        <v>46009.854400265031</v>
      </c>
      <c r="AT44" s="88">
        <v>30362.409005295169</v>
      </c>
      <c r="AU44" s="88">
        <v>30458.523612975448</v>
      </c>
      <c r="AV44" s="88">
        <v>38250</v>
      </c>
      <c r="AW44" s="88">
        <v>37800</v>
      </c>
      <c r="AX44" s="88">
        <v>37350</v>
      </c>
      <c r="AY44" s="88">
        <v>45000</v>
      </c>
      <c r="AZ44" s="88">
        <v>45000</v>
      </c>
      <c r="BA44" s="88">
        <v>45000</v>
      </c>
      <c r="BB44" s="88">
        <v>45000</v>
      </c>
      <c r="BC44" s="88">
        <v>45000</v>
      </c>
      <c r="BD44" s="88">
        <v>45000</v>
      </c>
      <c r="BE44" s="88">
        <v>45000</v>
      </c>
      <c r="BF44" s="88">
        <v>45000</v>
      </c>
      <c r="BG44" s="88">
        <v>45000</v>
      </c>
      <c r="BH44" s="88">
        <v>45000</v>
      </c>
      <c r="BI44" s="88">
        <v>45000</v>
      </c>
      <c r="BJ44" s="88">
        <v>45000</v>
      </c>
      <c r="BK44" s="88">
        <v>1357.982171274798</v>
      </c>
      <c r="BL44" s="88">
        <v>1357.644499689254</v>
      </c>
      <c r="BM44" s="88">
        <v>1357.3063117929869</v>
      </c>
      <c r="BN44" s="88">
        <v>1356.95611577965</v>
      </c>
      <c r="BO44" s="88">
        <v>1356.605365277547</v>
      </c>
      <c r="BP44" s="88">
        <v>1356.254058968703</v>
      </c>
      <c r="BQ44" s="88">
        <v>-427.01711968178182</v>
      </c>
      <c r="BR44" s="88">
        <v>-427.36154656745413</v>
      </c>
      <c r="BS44" s="88">
        <v>-427.70096086242881</v>
      </c>
      <c r="BT44" s="88">
        <v>-428.04091471757511</v>
      </c>
      <c r="BU44" s="88">
        <v>-428.38140942047801</v>
      </c>
      <c r="BV44" s="88">
        <v>-428.72244626287409</v>
      </c>
      <c r="BW44" s="88">
        <v>1800.000000000002</v>
      </c>
      <c r="BX44" s="88">
        <v>1800.000000000002</v>
      </c>
      <c r="BY44" s="88">
        <v>1800.000000000002</v>
      </c>
      <c r="BZ44" s="88">
        <v>1800.000000000002</v>
      </c>
      <c r="CA44" s="88">
        <v>1800.000000000002</v>
      </c>
      <c r="CB44" s="88">
        <v>1800.000000000002</v>
      </c>
      <c r="CC44" s="88">
        <v>0</v>
      </c>
      <c r="CD44" s="88">
        <v>0</v>
      </c>
      <c r="CE44" s="88">
        <v>0</v>
      </c>
      <c r="CF44" s="88">
        <v>0</v>
      </c>
      <c r="CG44" s="88">
        <v>0</v>
      </c>
      <c r="CH44" s="88">
        <v>0</v>
      </c>
      <c r="CI44" s="88">
        <v>45000</v>
      </c>
      <c r="CJ44" s="88">
        <v>45000</v>
      </c>
      <c r="CK44" s="88">
        <v>45000</v>
      </c>
      <c r="CL44" s="88">
        <v>45000</v>
      </c>
      <c r="CM44" s="88">
        <v>45000</v>
      </c>
      <c r="CN44" s="88">
        <v>45000</v>
      </c>
      <c r="CO44" s="88">
        <v>45000</v>
      </c>
      <c r="CP44" s="88">
        <v>45000</v>
      </c>
      <c r="CQ44" s="88">
        <v>45000</v>
      </c>
      <c r="CR44" s="88">
        <v>45000</v>
      </c>
      <c r="CS44" s="88">
        <v>45000</v>
      </c>
      <c r="CT44" s="88">
        <v>45000</v>
      </c>
      <c r="CU44" s="88">
        <v>-425.01714300500697</v>
      </c>
      <c r="CV44" s="88">
        <v>-425.3418272218745</v>
      </c>
      <c r="CW44" s="88">
        <v>-425.66700789136098</v>
      </c>
      <c r="CX44" s="88">
        <v>-426.00373482726047</v>
      </c>
      <c r="CY44" s="88">
        <v>-426.3409949254393</v>
      </c>
      <c r="CZ44" s="88">
        <v>-426.67878945317369</v>
      </c>
      <c r="DA44" s="88">
        <v>-427.01711968178182</v>
      </c>
      <c r="DB44" s="88">
        <v>-427.36154656745413</v>
      </c>
      <c r="DC44" s="88">
        <v>-427.70096086242881</v>
      </c>
      <c r="DD44" s="88">
        <v>-428.04091471757511</v>
      </c>
      <c r="DE44" s="88">
        <v>-428.38140942047801</v>
      </c>
      <c r="DF44" s="88">
        <v>-428.72244626287409</v>
      </c>
      <c r="DG44" s="93">
        <v>46204</v>
      </c>
      <c r="DH44" s="91">
        <v>0.04</v>
      </c>
      <c r="DI44" t="s">
        <v>301</v>
      </c>
      <c r="DJ44" s="93"/>
      <c r="DK44" s="91"/>
      <c r="DM44" s="93"/>
      <c r="DN44" s="91"/>
      <c r="DP44" s="93"/>
      <c r="DQ44" s="91"/>
    </row>
    <row r="45" spans="1:121" x14ac:dyDescent="0.3">
      <c r="A45" t="s">
        <v>22</v>
      </c>
      <c r="B45" t="s">
        <v>47</v>
      </c>
      <c r="C45" t="s">
        <v>46</v>
      </c>
      <c r="D45" t="s">
        <v>387</v>
      </c>
      <c r="E45" t="s">
        <v>388</v>
      </c>
      <c r="F45" s="86">
        <v>103500</v>
      </c>
      <c r="G45" s="87">
        <v>12</v>
      </c>
      <c r="H45" s="88">
        <v>1.05</v>
      </c>
      <c r="I45" s="88">
        <v>1.041493055555555</v>
      </c>
      <c r="J45" s="89">
        <v>0.84099790299051769</v>
      </c>
      <c r="K45" s="88">
        <v>1.0081680280046681</v>
      </c>
      <c r="L45" s="88">
        <v>1.0107040659405591</v>
      </c>
      <c r="M45" s="88">
        <v>1</v>
      </c>
      <c r="N45" s="90">
        <v>0.64600000000000002</v>
      </c>
      <c r="O45" s="90">
        <v>0.65824785318591306</v>
      </c>
      <c r="P45" s="90">
        <v>0.65033954117266513</v>
      </c>
      <c r="Q45" s="91">
        <v>0</v>
      </c>
      <c r="R45" s="88">
        <v>1</v>
      </c>
      <c r="S45" s="88">
        <v>1.006717555994838</v>
      </c>
      <c r="T45" s="91">
        <v>-8.1018518518519711E-3</v>
      </c>
      <c r="U45" s="91">
        <v>8.168028004667649E-3</v>
      </c>
      <c r="V45" s="87">
        <v>0</v>
      </c>
      <c r="W45" s="91">
        <v>0</v>
      </c>
      <c r="X45" s="87">
        <v>1</v>
      </c>
      <c r="Y45" s="90">
        <v>0.65824785318591306</v>
      </c>
      <c r="Z45" s="90">
        <v>0.65033954117266513</v>
      </c>
      <c r="AA45" s="92">
        <v>0</v>
      </c>
      <c r="AB45" s="88">
        <v>0</v>
      </c>
      <c r="AC45" s="87">
        <v>1</v>
      </c>
      <c r="AD45" s="87">
        <v>0</v>
      </c>
      <c r="AE45" s="88">
        <v>1.029166666666667</v>
      </c>
      <c r="AF45" s="88">
        <v>1.00475975841704</v>
      </c>
      <c r="AG45" s="88">
        <v>1.0340653894268741</v>
      </c>
      <c r="AH45" s="88">
        <v>108675</v>
      </c>
      <c r="AI45" s="88">
        <v>107794.53125</v>
      </c>
      <c r="AJ45" s="88">
        <v>87043.282959518576</v>
      </c>
      <c r="AK45" s="88">
        <v>104345.39089848311</v>
      </c>
      <c r="AL45" s="88">
        <v>104607.87082484781</v>
      </c>
      <c r="AM45" s="88">
        <v>103500</v>
      </c>
      <c r="AN45" s="88">
        <v>66861</v>
      </c>
      <c r="AO45" s="88">
        <v>68128.652804742</v>
      </c>
      <c r="AP45" s="88">
        <v>67310.142511370839</v>
      </c>
      <c r="AQ45" s="88">
        <v>0</v>
      </c>
      <c r="AR45" s="88">
        <v>103500</v>
      </c>
      <c r="AS45" s="88">
        <v>104195.26704546571</v>
      </c>
      <c r="AT45" s="88">
        <v>68128.652804742</v>
      </c>
      <c r="AU45" s="88">
        <v>67310.142511370839</v>
      </c>
      <c r="AV45" s="88">
        <v>87975</v>
      </c>
      <c r="AW45" s="88">
        <v>86940</v>
      </c>
      <c r="AX45" s="88">
        <v>87457.5</v>
      </c>
      <c r="AY45" s="88">
        <v>103500</v>
      </c>
      <c r="AZ45" s="88">
        <v>103500</v>
      </c>
      <c r="BA45" s="88">
        <v>103500</v>
      </c>
      <c r="BB45" s="88">
        <v>103500</v>
      </c>
      <c r="BC45" s="88">
        <v>103500</v>
      </c>
      <c r="BD45" s="88">
        <v>103500</v>
      </c>
      <c r="BE45" s="88">
        <v>103500</v>
      </c>
      <c r="BF45" s="88">
        <v>103500</v>
      </c>
      <c r="BG45" s="88">
        <v>103500</v>
      </c>
      <c r="BH45" s="88">
        <v>103500</v>
      </c>
      <c r="BI45" s="88">
        <v>103500</v>
      </c>
      <c r="BJ45" s="88">
        <v>103500</v>
      </c>
      <c r="BK45" s="88">
        <v>5693.3893437534643</v>
      </c>
      <c r="BL45" s="88">
        <v>5693.1895673303188</v>
      </c>
      <c r="BM45" s="88">
        <v>5692.9899448271253</v>
      </c>
      <c r="BN45" s="88">
        <v>5692.7837171052706</v>
      </c>
      <c r="BO45" s="88">
        <v>5692.5776535292234</v>
      </c>
      <c r="BP45" s="88">
        <v>5692.3717539031304</v>
      </c>
      <c r="BQ45" s="88">
        <v>5692.1660180313984</v>
      </c>
      <c r="BR45" s="88">
        <v>492.34007337369212</v>
      </c>
      <c r="BS45" s="88">
        <v>492.14444835268989</v>
      </c>
      <c r="BT45" s="88">
        <v>491.9489787281164</v>
      </c>
      <c r="BU45" s="88">
        <v>491.75366431490062</v>
      </c>
      <c r="BV45" s="88">
        <v>491.55850492827051</v>
      </c>
      <c r="BW45" s="88">
        <v>5175.0000000000045</v>
      </c>
      <c r="BX45" s="88">
        <v>5175.0000000000045</v>
      </c>
      <c r="BY45" s="88">
        <v>5175.0000000000045</v>
      </c>
      <c r="BZ45" s="88">
        <v>5175.0000000000045</v>
      </c>
      <c r="CA45" s="88">
        <v>5175.0000000000045</v>
      </c>
      <c r="CB45" s="88">
        <v>5175.0000000000045</v>
      </c>
      <c r="CC45" s="88">
        <v>5175.0000000000045</v>
      </c>
      <c r="CD45" s="88">
        <v>0</v>
      </c>
      <c r="CE45" s="88">
        <v>0</v>
      </c>
      <c r="CF45" s="88">
        <v>0</v>
      </c>
      <c r="CG45" s="88">
        <v>0</v>
      </c>
      <c r="CH45" s="88">
        <v>0</v>
      </c>
      <c r="CI45" s="88">
        <v>103500</v>
      </c>
      <c r="CJ45" s="88">
        <v>103500</v>
      </c>
      <c r="CK45" s="88">
        <v>103500</v>
      </c>
      <c r="CL45" s="88">
        <v>103500</v>
      </c>
      <c r="CM45" s="88">
        <v>103500</v>
      </c>
      <c r="CN45" s="88">
        <v>103500</v>
      </c>
      <c r="CO45" s="88">
        <v>103500</v>
      </c>
      <c r="CP45" s="88">
        <v>103500</v>
      </c>
      <c r="CQ45" s="88">
        <v>103500</v>
      </c>
      <c r="CR45" s="88">
        <v>103500</v>
      </c>
      <c r="CS45" s="88">
        <v>103500</v>
      </c>
      <c r="CT45" s="88">
        <v>103500</v>
      </c>
      <c r="CU45" s="88">
        <v>493.70413690805901</v>
      </c>
      <c r="CV45" s="88">
        <v>493.51387364791412</v>
      </c>
      <c r="CW45" s="88">
        <v>493.32375697821698</v>
      </c>
      <c r="CX45" s="88">
        <v>493.12734962405449</v>
      </c>
      <c r="CY45" s="88">
        <v>492.93109859925943</v>
      </c>
      <c r="CZ45" s="88">
        <v>492.73500371726709</v>
      </c>
      <c r="DA45" s="88">
        <v>492.53906479181143</v>
      </c>
      <c r="DB45" s="88">
        <v>492.34007337369212</v>
      </c>
      <c r="DC45" s="88">
        <v>492.14444835268989</v>
      </c>
      <c r="DD45" s="88">
        <v>491.9489787281164</v>
      </c>
      <c r="DE45" s="88">
        <v>491.75366431490062</v>
      </c>
      <c r="DF45" s="88">
        <v>491.55850492827051</v>
      </c>
      <c r="DG45" s="93">
        <v>46235</v>
      </c>
      <c r="DH45" s="91">
        <v>0.05</v>
      </c>
      <c r="DI45" t="s">
        <v>301</v>
      </c>
      <c r="DJ45" s="93"/>
      <c r="DK45" s="91"/>
      <c r="DM45" s="93"/>
      <c r="DN45" s="91"/>
      <c r="DP45" s="93"/>
      <c r="DQ45" s="91"/>
    </row>
    <row r="46" spans="1:121" x14ac:dyDescent="0.3">
      <c r="A46" t="s">
        <v>22</v>
      </c>
      <c r="B46" t="s">
        <v>47</v>
      </c>
      <c r="C46" t="s">
        <v>48</v>
      </c>
      <c r="D46" t="s">
        <v>389</v>
      </c>
      <c r="E46" t="s">
        <v>390</v>
      </c>
      <c r="F46" s="86">
        <v>85500</v>
      </c>
      <c r="G46" s="87">
        <v>12</v>
      </c>
      <c r="H46" s="88">
        <v>1</v>
      </c>
      <c r="I46" s="88">
        <v>1</v>
      </c>
      <c r="J46" s="89">
        <v>0.84399161196207151</v>
      </c>
      <c r="K46" s="88">
        <v>1</v>
      </c>
      <c r="L46" s="88">
        <v>1.0071190139247479</v>
      </c>
      <c r="M46" s="88">
        <v>1</v>
      </c>
      <c r="N46" s="90">
        <v>0.63</v>
      </c>
      <c r="O46" s="90">
        <v>0.63448497877259113</v>
      </c>
      <c r="P46" s="90">
        <v>0.62462622103020771</v>
      </c>
      <c r="Q46" s="91">
        <v>0</v>
      </c>
      <c r="R46" s="88">
        <v>1</v>
      </c>
      <c r="S46" s="88">
        <v>0.99147019211144083</v>
      </c>
      <c r="T46" s="91">
        <v>0</v>
      </c>
      <c r="U46" s="91">
        <v>0</v>
      </c>
      <c r="V46" s="87">
        <v>0</v>
      </c>
      <c r="W46" s="91">
        <v>0</v>
      </c>
      <c r="X46" s="87">
        <v>1</v>
      </c>
      <c r="Y46" s="90">
        <v>0.63448497877259113</v>
      </c>
      <c r="Z46" s="90">
        <v>0.62462622103020771</v>
      </c>
      <c r="AA46" s="92">
        <v>0</v>
      </c>
      <c r="AB46" s="88">
        <v>0</v>
      </c>
      <c r="AC46" s="87">
        <v>0</v>
      </c>
      <c r="AD46" s="87">
        <v>0</v>
      </c>
      <c r="AE46" s="88">
        <v>1</v>
      </c>
      <c r="AF46" s="88">
        <v>1.0191078169498311</v>
      </c>
      <c r="AG46" s="88">
        <v>1.0191078169498311</v>
      </c>
      <c r="AH46" s="88">
        <v>85500</v>
      </c>
      <c r="AI46" s="88">
        <v>85500</v>
      </c>
      <c r="AJ46" s="88">
        <v>72161.282822757115</v>
      </c>
      <c r="AK46" s="88">
        <v>85500</v>
      </c>
      <c r="AL46" s="88">
        <v>86108.675690565942</v>
      </c>
      <c r="AM46" s="88">
        <v>85500</v>
      </c>
      <c r="AN46" s="88">
        <v>53865</v>
      </c>
      <c r="AO46" s="88">
        <v>54248.465685056537</v>
      </c>
      <c r="AP46" s="88">
        <v>53405.54189808276</v>
      </c>
      <c r="AQ46" s="88">
        <v>0</v>
      </c>
      <c r="AR46" s="88">
        <v>85500</v>
      </c>
      <c r="AS46" s="88">
        <v>84770.701425528197</v>
      </c>
      <c r="AT46" s="88">
        <v>54248.465685056537</v>
      </c>
      <c r="AU46" s="88">
        <v>53405.54189808276</v>
      </c>
      <c r="AV46" s="88">
        <v>72675</v>
      </c>
      <c r="AW46" s="88">
        <v>71820</v>
      </c>
      <c r="AX46" s="88">
        <v>73530</v>
      </c>
      <c r="AY46" s="88">
        <v>85500</v>
      </c>
      <c r="AZ46" s="88">
        <v>85500</v>
      </c>
      <c r="BA46" s="88">
        <v>85500</v>
      </c>
      <c r="BB46" s="88">
        <v>85500</v>
      </c>
      <c r="BC46" s="88">
        <v>85500</v>
      </c>
      <c r="BD46" s="88">
        <v>85500</v>
      </c>
      <c r="BE46" s="88">
        <v>85500</v>
      </c>
      <c r="BF46" s="88">
        <v>85500</v>
      </c>
      <c r="BG46" s="88">
        <v>85500</v>
      </c>
      <c r="BH46" s="88">
        <v>85500</v>
      </c>
      <c r="BI46" s="88">
        <v>85500</v>
      </c>
      <c r="BJ46" s="88">
        <v>85500</v>
      </c>
      <c r="BK46" s="88">
        <v>1648.007815594221</v>
      </c>
      <c r="BL46" s="88">
        <v>1645.4444795950719</v>
      </c>
      <c r="BM46" s="88">
        <v>1642.8891053144171</v>
      </c>
      <c r="BN46" s="88">
        <v>1640.2554399243199</v>
      </c>
      <c r="BO46" s="88">
        <v>1637.630204916954</v>
      </c>
      <c r="BP46" s="88">
        <v>1635.0133598784539</v>
      </c>
      <c r="BQ46" s="88">
        <v>1632.4048646528061</v>
      </c>
      <c r="BR46" s="88">
        <v>1629.762122359456</v>
      </c>
      <c r="BS46" s="88">
        <v>1627.170342562187</v>
      </c>
      <c r="BT46" s="88">
        <v>1624.586792993035</v>
      </c>
      <c r="BU46" s="88">
        <v>1622.0114345114289</v>
      </c>
      <c r="BV46" s="88">
        <v>1619.44422822449</v>
      </c>
      <c r="BW46" s="88">
        <v>0</v>
      </c>
      <c r="BX46" s="88">
        <v>0</v>
      </c>
      <c r="BY46" s="88">
        <v>0</v>
      </c>
      <c r="BZ46" s="88">
        <v>0</v>
      </c>
      <c r="CA46" s="88">
        <v>0</v>
      </c>
      <c r="CB46" s="88">
        <v>0</v>
      </c>
      <c r="CC46" s="88">
        <v>0</v>
      </c>
      <c r="CD46" s="88">
        <v>0</v>
      </c>
      <c r="CE46" s="88">
        <v>0</v>
      </c>
      <c r="CF46" s="88">
        <v>0</v>
      </c>
      <c r="CG46" s="88">
        <v>0</v>
      </c>
      <c r="CH46" s="88">
        <v>0</v>
      </c>
      <c r="CI46" s="88">
        <v>85500</v>
      </c>
      <c r="CJ46" s="88">
        <v>85500</v>
      </c>
      <c r="CK46" s="88">
        <v>85500</v>
      </c>
      <c r="CL46" s="88">
        <v>85500</v>
      </c>
      <c r="CM46" s="88">
        <v>85500</v>
      </c>
      <c r="CN46" s="88">
        <v>85500</v>
      </c>
      <c r="CO46" s="88">
        <v>85500</v>
      </c>
      <c r="CP46" s="88">
        <v>85500</v>
      </c>
      <c r="CQ46" s="88">
        <v>85500</v>
      </c>
      <c r="CR46" s="88">
        <v>85500</v>
      </c>
      <c r="CS46" s="88">
        <v>85500</v>
      </c>
      <c r="CT46" s="88">
        <v>85500</v>
      </c>
      <c r="CU46" s="88">
        <v>1648.007815594221</v>
      </c>
      <c r="CV46" s="88">
        <v>1645.4444795950719</v>
      </c>
      <c r="CW46" s="88">
        <v>1642.8891053144171</v>
      </c>
      <c r="CX46" s="88">
        <v>1640.2554399243199</v>
      </c>
      <c r="CY46" s="88">
        <v>1637.630204916954</v>
      </c>
      <c r="CZ46" s="88">
        <v>1635.0133598784539</v>
      </c>
      <c r="DA46" s="88">
        <v>1632.4048646528061</v>
      </c>
      <c r="DB46" s="88">
        <v>1629.762122359456</v>
      </c>
      <c r="DC46" s="88">
        <v>1627.170342562187</v>
      </c>
      <c r="DD46" s="88">
        <v>1624.586792993035</v>
      </c>
      <c r="DE46" s="88">
        <v>1622.0114345114289</v>
      </c>
      <c r="DF46" s="88">
        <v>1619.44422822449</v>
      </c>
      <c r="DG46" s="93"/>
      <c r="DH46" s="91"/>
      <c r="DJ46" s="93"/>
      <c r="DK46" s="91"/>
      <c r="DM46" s="93"/>
      <c r="DN46" s="91"/>
      <c r="DP46" s="93"/>
      <c r="DQ46" s="91"/>
    </row>
    <row r="47" spans="1:121" x14ac:dyDescent="0.3">
      <c r="A47" t="s">
        <v>22</v>
      </c>
      <c r="B47" t="s">
        <v>47</v>
      </c>
      <c r="C47" t="s">
        <v>50</v>
      </c>
      <c r="D47" t="s">
        <v>391</v>
      </c>
      <c r="E47" t="s">
        <v>392</v>
      </c>
      <c r="F47" s="86">
        <v>67500</v>
      </c>
      <c r="G47" s="87">
        <v>12</v>
      </c>
      <c r="H47" s="88">
        <v>1.02</v>
      </c>
      <c r="I47" s="88">
        <v>1.0213166666666671</v>
      </c>
      <c r="J47" s="89">
        <v>0.84</v>
      </c>
      <c r="K47" s="88">
        <v>0.99871081447151555</v>
      </c>
      <c r="L47" s="88">
        <v>1.0119047619047621</v>
      </c>
      <c r="M47" s="88">
        <v>1</v>
      </c>
      <c r="N47" s="90">
        <v>0.65800000000000003</v>
      </c>
      <c r="O47" s="90">
        <v>0.66497495063561751</v>
      </c>
      <c r="P47" s="90">
        <v>0.64236902050113875</v>
      </c>
      <c r="Q47" s="91">
        <v>0</v>
      </c>
      <c r="R47" s="88">
        <v>0.96475948010183543</v>
      </c>
      <c r="S47" s="88">
        <v>1.0119047619047621</v>
      </c>
      <c r="T47" s="91">
        <v>1.290849673202477E-3</v>
      </c>
      <c r="U47" s="91">
        <v>3.5191501166794703E-2</v>
      </c>
      <c r="V47" s="87">
        <v>0</v>
      </c>
      <c r="W47" s="91">
        <v>0</v>
      </c>
      <c r="X47" s="87">
        <v>1</v>
      </c>
      <c r="Y47" s="90">
        <v>0.66497495063561751</v>
      </c>
      <c r="Z47" s="90">
        <v>0.64236902050113875</v>
      </c>
      <c r="AA47" s="92">
        <v>0</v>
      </c>
      <c r="AB47" s="88">
        <v>0</v>
      </c>
      <c r="AC47" s="87">
        <v>1</v>
      </c>
      <c r="AD47" s="87">
        <v>1</v>
      </c>
      <c r="AE47" s="88">
        <v>1.0386</v>
      </c>
      <c r="AF47" s="88">
        <v>1</v>
      </c>
      <c r="AG47" s="88">
        <v>1.0386</v>
      </c>
      <c r="AH47" s="88">
        <v>68850</v>
      </c>
      <c r="AI47" s="88">
        <v>68938.875</v>
      </c>
      <c r="AJ47" s="88">
        <v>56700</v>
      </c>
      <c r="AK47" s="88">
        <v>67412.979976827293</v>
      </c>
      <c r="AL47" s="88">
        <v>68303.57142857142</v>
      </c>
      <c r="AM47" s="88">
        <v>67500</v>
      </c>
      <c r="AN47" s="88">
        <v>44415</v>
      </c>
      <c r="AO47" s="88">
        <v>44885.809167904183</v>
      </c>
      <c r="AP47" s="88">
        <v>43359.908883826873</v>
      </c>
      <c r="AQ47" s="88">
        <v>0</v>
      </c>
      <c r="AR47" s="88">
        <v>65121.26490687389</v>
      </c>
      <c r="AS47" s="88">
        <v>68303.57142857142</v>
      </c>
      <c r="AT47" s="88">
        <v>44885.809167904183</v>
      </c>
      <c r="AU47" s="88">
        <v>43359.908883826873</v>
      </c>
      <c r="AV47" s="88">
        <v>57375</v>
      </c>
      <c r="AW47" s="88">
        <v>56700</v>
      </c>
      <c r="AX47" s="88">
        <v>56700</v>
      </c>
      <c r="AY47" s="88">
        <v>67500</v>
      </c>
      <c r="AZ47" s="88">
        <v>67500</v>
      </c>
      <c r="BA47" s="88">
        <v>67500</v>
      </c>
      <c r="BB47" s="88">
        <v>67500</v>
      </c>
      <c r="BC47" s="88">
        <v>67500</v>
      </c>
      <c r="BD47" s="88">
        <v>67500</v>
      </c>
      <c r="BE47" s="88">
        <v>67500</v>
      </c>
      <c r="BF47" s="88">
        <v>67500</v>
      </c>
      <c r="BG47" s="88">
        <v>67500</v>
      </c>
      <c r="BH47" s="88">
        <v>67500</v>
      </c>
      <c r="BI47" s="88">
        <v>67500</v>
      </c>
      <c r="BJ47" s="88">
        <v>67500</v>
      </c>
      <c r="BK47" s="88">
        <v>1350.0000000000009</v>
      </c>
      <c r="BL47" s="88">
        <v>1350.0000000000009</v>
      </c>
      <c r="BM47" s="88">
        <v>1350.0000000000009</v>
      </c>
      <c r="BN47" s="88">
        <v>1350.0000000000009</v>
      </c>
      <c r="BO47" s="88">
        <v>1350.0000000000009</v>
      </c>
      <c r="BP47" s="88">
        <v>4103.9999999999973</v>
      </c>
      <c r="BQ47" s="88">
        <v>4103.9999999999973</v>
      </c>
      <c r="BR47" s="88">
        <v>4103.9999999999973</v>
      </c>
      <c r="BS47" s="88">
        <v>4103.9999999999973</v>
      </c>
      <c r="BT47" s="88">
        <v>2700.0000000000018</v>
      </c>
      <c r="BU47" s="88">
        <v>2700.0000000000018</v>
      </c>
      <c r="BV47" s="88">
        <v>2700.0000000000018</v>
      </c>
      <c r="BW47" s="88">
        <v>1350.0000000000009</v>
      </c>
      <c r="BX47" s="88">
        <v>1350.0000000000009</v>
      </c>
      <c r="BY47" s="88">
        <v>1350.0000000000009</v>
      </c>
      <c r="BZ47" s="88">
        <v>1350.0000000000009</v>
      </c>
      <c r="CA47" s="88">
        <v>1350.0000000000009</v>
      </c>
      <c r="CB47" s="88">
        <v>4103.9999999999973</v>
      </c>
      <c r="CC47" s="88">
        <v>4103.9999999999973</v>
      </c>
      <c r="CD47" s="88">
        <v>4103.9999999999973</v>
      </c>
      <c r="CE47" s="88">
        <v>4103.9999999999973</v>
      </c>
      <c r="CF47" s="88">
        <v>2700.0000000000018</v>
      </c>
      <c r="CG47" s="88">
        <v>2700.0000000000018</v>
      </c>
      <c r="CH47" s="88">
        <v>2700.0000000000018</v>
      </c>
      <c r="CI47" s="88">
        <v>67500</v>
      </c>
      <c r="CJ47" s="88">
        <v>67500</v>
      </c>
      <c r="CK47" s="88">
        <v>67500</v>
      </c>
      <c r="CL47" s="88">
        <v>67500</v>
      </c>
      <c r="CM47" s="88">
        <v>67500</v>
      </c>
      <c r="CN47" s="88">
        <v>67500</v>
      </c>
      <c r="CO47" s="88">
        <v>67500</v>
      </c>
      <c r="CP47" s="88">
        <v>67500</v>
      </c>
      <c r="CQ47" s="88">
        <v>67500</v>
      </c>
      <c r="CR47" s="88">
        <v>67500</v>
      </c>
      <c r="CS47" s="88">
        <v>67500</v>
      </c>
      <c r="CT47" s="88">
        <v>67500</v>
      </c>
      <c r="CU47" s="88">
        <v>0</v>
      </c>
      <c r="CV47" s="88">
        <v>0</v>
      </c>
      <c r="CW47" s="88">
        <v>0</v>
      </c>
      <c r="CX47" s="88">
        <v>0</v>
      </c>
      <c r="CY47" s="88">
        <v>0</v>
      </c>
      <c r="CZ47" s="88">
        <v>0</v>
      </c>
      <c r="DA47" s="88">
        <v>0</v>
      </c>
      <c r="DB47" s="88">
        <v>0</v>
      </c>
      <c r="DC47" s="88">
        <v>0</v>
      </c>
      <c r="DD47" s="88">
        <v>0</v>
      </c>
      <c r="DE47" s="88">
        <v>0</v>
      </c>
      <c r="DF47" s="88">
        <v>0</v>
      </c>
      <c r="DG47" s="93">
        <v>46296</v>
      </c>
      <c r="DH47" s="91">
        <v>0.02</v>
      </c>
      <c r="DI47" t="s">
        <v>301</v>
      </c>
      <c r="DJ47" s="93">
        <v>46539</v>
      </c>
      <c r="DK47" s="91">
        <v>0.04</v>
      </c>
      <c r="DL47" t="s">
        <v>302</v>
      </c>
      <c r="DM47" s="93"/>
      <c r="DN47" s="91"/>
      <c r="DP47" s="93"/>
      <c r="DQ47" s="91"/>
    </row>
    <row r="48" spans="1:121" x14ac:dyDescent="0.3">
      <c r="A48" t="s">
        <v>22</v>
      </c>
      <c r="B48" t="s">
        <v>47</v>
      </c>
      <c r="C48" t="s">
        <v>57</v>
      </c>
      <c r="D48" t="s">
        <v>393</v>
      </c>
      <c r="E48" t="s">
        <v>394</v>
      </c>
      <c r="F48" s="86">
        <v>49500</v>
      </c>
      <c r="G48" s="87">
        <v>12</v>
      </c>
      <c r="H48" s="88">
        <v>1</v>
      </c>
      <c r="I48" s="88">
        <v>1</v>
      </c>
      <c r="J48" s="89">
        <v>0.84299370897155379</v>
      </c>
      <c r="K48" s="88">
        <v>1</v>
      </c>
      <c r="L48" s="88">
        <v>1.0083112020337539</v>
      </c>
      <c r="M48" s="88">
        <v>1</v>
      </c>
      <c r="N48" s="90">
        <v>0.64200000000000002</v>
      </c>
      <c r="O48" s="90">
        <v>0.64733579170567002</v>
      </c>
      <c r="P48" s="90">
        <v>0.63975368590316362</v>
      </c>
      <c r="Q48" s="91">
        <v>0</v>
      </c>
      <c r="R48" s="88">
        <v>1</v>
      </c>
      <c r="S48" s="88">
        <v>0.99650106838498997</v>
      </c>
      <c r="T48" s="91">
        <v>0</v>
      </c>
      <c r="U48" s="91">
        <v>0</v>
      </c>
      <c r="V48" s="87">
        <v>0</v>
      </c>
      <c r="W48" s="91">
        <v>0</v>
      </c>
      <c r="X48" s="87">
        <v>1</v>
      </c>
      <c r="Y48" s="90">
        <v>0.64733579170567002</v>
      </c>
      <c r="Z48" s="90">
        <v>0.63975368590316362</v>
      </c>
      <c r="AA48" s="92">
        <v>0</v>
      </c>
      <c r="AB48" s="88">
        <v>0</v>
      </c>
      <c r="AC48" s="87">
        <v>0</v>
      </c>
      <c r="AD48" s="87">
        <v>0</v>
      </c>
      <c r="AE48" s="88">
        <v>1</v>
      </c>
      <c r="AF48" s="88">
        <v>1.014313571147019</v>
      </c>
      <c r="AG48" s="88">
        <v>1.014313571147019</v>
      </c>
      <c r="AH48" s="88">
        <v>49500</v>
      </c>
      <c r="AI48" s="88">
        <v>49500</v>
      </c>
      <c r="AJ48" s="88">
        <v>41728.188594091909</v>
      </c>
      <c r="AK48" s="88">
        <v>49500</v>
      </c>
      <c r="AL48" s="88">
        <v>49911.404500670818</v>
      </c>
      <c r="AM48" s="88">
        <v>49500</v>
      </c>
      <c r="AN48" s="88">
        <v>31779</v>
      </c>
      <c r="AO48" s="88">
        <v>32043.121689430671</v>
      </c>
      <c r="AP48" s="88">
        <v>31667.807452206602</v>
      </c>
      <c r="AQ48" s="88">
        <v>0</v>
      </c>
      <c r="AR48" s="88">
        <v>49500</v>
      </c>
      <c r="AS48" s="88">
        <v>49326.802885056997</v>
      </c>
      <c r="AT48" s="88">
        <v>32043.121689430671</v>
      </c>
      <c r="AU48" s="88">
        <v>31667.807452206602</v>
      </c>
      <c r="AV48" s="88">
        <v>42075</v>
      </c>
      <c r="AW48" s="88">
        <v>41580</v>
      </c>
      <c r="AX48" s="88">
        <v>42322.5</v>
      </c>
      <c r="AY48" s="88">
        <v>49500</v>
      </c>
      <c r="AZ48" s="88">
        <v>49500</v>
      </c>
      <c r="BA48" s="88">
        <v>49500</v>
      </c>
      <c r="BB48" s="88">
        <v>49500</v>
      </c>
      <c r="BC48" s="88">
        <v>49500</v>
      </c>
      <c r="BD48" s="88">
        <v>49500</v>
      </c>
      <c r="BE48" s="88">
        <v>49500</v>
      </c>
      <c r="BF48" s="88">
        <v>49500</v>
      </c>
      <c r="BG48" s="88">
        <v>49500</v>
      </c>
      <c r="BH48" s="88">
        <v>49500</v>
      </c>
      <c r="BI48" s="88">
        <v>49500</v>
      </c>
      <c r="BJ48" s="88">
        <v>49500</v>
      </c>
      <c r="BK48" s="88">
        <v>713.15794667350292</v>
      </c>
      <c r="BL48" s="88">
        <v>712.32849708248489</v>
      </c>
      <c r="BM48" s="88">
        <v>711.50097465887256</v>
      </c>
      <c r="BN48" s="88">
        <v>710.64741976085702</v>
      </c>
      <c r="BO48" s="88">
        <v>709.79591034984219</v>
      </c>
      <c r="BP48" s="88">
        <v>708.94643908181092</v>
      </c>
      <c r="BQ48" s="88">
        <v>708.0989986478844</v>
      </c>
      <c r="BR48" s="88">
        <v>707.23973929893225</v>
      </c>
      <c r="BS48" s="88">
        <v>706.39637174023585</v>
      </c>
      <c r="BT48" s="88">
        <v>705.55501317973028</v>
      </c>
      <c r="BU48" s="88">
        <v>704.71565644745488</v>
      </c>
      <c r="BV48" s="88">
        <v>703.87829440754365</v>
      </c>
      <c r="BW48" s="88">
        <v>0</v>
      </c>
      <c r="BX48" s="88">
        <v>0</v>
      </c>
      <c r="BY48" s="88">
        <v>0</v>
      </c>
      <c r="BZ48" s="88">
        <v>0</v>
      </c>
      <c r="CA48" s="88">
        <v>0</v>
      </c>
      <c r="CB48" s="88">
        <v>0</v>
      </c>
      <c r="CC48" s="88">
        <v>0</v>
      </c>
      <c r="CD48" s="88">
        <v>0</v>
      </c>
      <c r="CE48" s="88">
        <v>0</v>
      </c>
      <c r="CF48" s="88">
        <v>0</v>
      </c>
      <c r="CG48" s="88">
        <v>0</v>
      </c>
      <c r="CH48" s="88">
        <v>0</v>
      </c>
      <c r="CI48" s="88">
        <v>49500</v>
      </c>
      <c r="CJ48" s="88">
        <v>49500</v>
      </c>
      <c r="CK48" s="88">
        <v>49500</v>
      </c>
      <c r="CL48" s="88">
        <v>49500</v>
      </c>
      <c r="CM48" s="88">
        <v>49500</v>
      </c>
      <c r="CN48" s="88">
        <v>49500</v>
      </c>
      <c r="CO48" s="88">
        <v>49500</v>
      </c>
      <c r="CP48" s="88">
        <v>49500</v>
      </c>
      <c r="CQ48" s="88">
        <v>49500</v>
      </c>
      <c r="CR48" s="88">
        <v>49500</v>
      </c>
      <c r="CS48" s="88">
        <v>49500</v>
      </c>
      <c r="CT48" s="88">
        <v>49500</v>
      </c>
      <c r="CU48" s="88">
        <v>713.15794667350292</v>
      </c>
      <c r="CV48" s="88">
        <v>712.32849708248489</v>
      </c>
      <c r="CW48" s="88">
        <v>711.50097465887256</v>
      </c>
      <c r="CX48" s="88">
        <v>710.64741976085702</v>
      </c>
      <c r="CY48" s="88">
        <v>709.79591034984219</v>
      </c>
      <c r="CZ48" s="88">
        <v>708.94643908181092</v>
      </c>
      <c r="DA48" s="88">
        <v>708.0989986478844</v>
      </c>
      <c r="DB48" s="88">
        <v>707.23973929893225</v>
      </c>
      <c r="DC48" s="88">
        <v>706.39637174023585</v>
      </c>
      <c r="DD48" s="88">
        <v>705.55501317973028</v>
      </c>
      <c r="DE48" s="88">
        <v>704.71565644745488</v>
      </c>
      <c r="DF48" s="88">
        <v>703.87829440754365</v>
      </c>
      <c r="DG48" s="93"/>
      <c r="DH48" s="91"/>
      <c r="DJ48" s="93"/>
      <c r="DK48" s="91"/>
      <c r="DM48" s="93"/>
      <c r="DN48" s="91"/>
      <c r="DP48" s="93"/>
      <c r="DQ48" s="91"/>
    </row>
    <row r="49" spans="1:121" x14ac:dyDescent="0.3">
      <c r="A49" t="s">
        <v>22</v>
      </c>
      <c r="B49" t="s">
        <v>47</v>
      </c>
      <c r="C49" t="s">
        <v>58</v>
      </c>
      <c r="D49" t="s">
        <v>395</v>
      </c>
      <c r="E49" t="s">
        <v>396</v>
      </c>
      <c r="F49" s="86">
        <v>108000</v>
      </c>
      <c r="G49" s="87">
        <v>12</v>
      </c>
      <c r="H49" s="88">
        <v>1</v>
      </c>
      <c r="I49" s="88">
        <v>1</v>
      </c>
      <c r="J49" s="89">
        <v>0.83900209700948214</v>
      </c>
      <c r="K49" s="88">
        <v>1</v>
      </c>
      <c r="L49" s="88">
        <v>1.0131083140670549</v>
      </c>
      <c r="M49" s="88">
        <v>1</v>
      </c>
      <c r="N49" s="90">
        <v>0.67</v>
      </c>
      <c r="O49" s="90">
        <v>0.67878257042492673</v>
      </c>
      <c r="P49" s="90">
        <v>0.68148761886348608</v>
      </c>
      <c r="Q49" s="91">
        <v>0</v>
      </c>
      <c r="R49" s="88">
        <v>1</v>
      </c>
      <c r="S49" s="88">
        <v>1.017145699796248</v>
      </c>
      <c r="T49" s="91">
        <v>0</v>
      </c>
      <c r="U49" s="91">
        <v>0</v>
      </c>
      <c r="V49" s="87">
        <v>0</v>
      </c>
      <c r="W49" s="91">
        <v>0</v>
      </c>
      <c r="X49" s="87">
        <v>1</v>
      </c>
      <c r="Y49" s="90">
        <v>0.67878257042492673</v>
      </c>
      <c r="Z49" s="90">
        <v>0.68148761886348608</v>
      </c>
      <c r="AA49" s="92">
        <v>0</v>
      </c>
      <c r="AB49" s="88">
        <v>0</v>
      </c>
      <c r="AC49" s="87">
        <v>0</v>
      </c>
      <c r="AD49" s="87">
        <v>0</v>
      </c>
      <c r="AE49" s="88">
        <v>1</v>
      </c>
      <c r="AF49" s="88">
        <v>0.99525154750742739</v>
      </c>
      <c r="AG49" s="88">
        <v>0.99525154750742739</v>
      </c>
      <c r="AH49" s="88">
        <v>108000</v>
      </c>
      <c r="AI49" s="88">
        <v>108000</v>
      </c>
      <c r="AJ49" s="88">
        <v>90612.226477024073</v>
      </c>
      <c r="AK49" s="88">
        <v>108000</v>
      </c>
      <c r="AL49" s="88">
        <v>109415.69791924189</v>
      </c>
      <c r="AM49" s="88">
        <v>108000</v>
      </c>
      <c r="AN49" s="88">
        <v>72360</v>
      </c>
      <c r="AO49" s="88">
        <v>73308.517605892092</v>
      </c>
      <c r="AP49" s="88">
        <v>73600.662837256503</v>
      </c>
      <c r="AQ49" s="88">
        <v>0</v>
      </c>
      <c r="AR49" s="88">
        <v>108000</v>
      </c>
      <c r="AS49" s="88">
        <v>109851.7355779948</v>
      </c>
      <c r="AT49" s="88">
        <v>73308.517605892092</v>
      </c>
      <c r="AU49" s="88">
        <v>73600.662837256503</v>
      </c>
      <c r="AV49" s="88">
        <v>91800</v>
      </c>
      <c r="AW49" s="88">
        <v>90720</v>
      </c>
      <c r="AX49" s="88">
        <v>90180</v>
      </c>
      <c r="AY49" s="88">
        <v>108000</v>
      </c>
      <c r="AZ49" s="88">
        <v>108000</v>
      </c>
      <c r="BA49" s="88">
        <v>108000</v>
      </c>
      <c r="BB49" s="88">
        <v>108000</v>
      </c>
      <c r="BC49" s="88">
        <v>108000</v>
      </c>
      <c r="BD49" s="88">
        <v>108000</v>
      </c>
      <c r="BE49" s="88">
        <v>108000</v>
      </c>
      <c r="BF49" s="88">
        <v>108000</v>
      </c>
      <c r="BG49" s="88">
        <v>108000</v>
      </c>
      <c r="BH49" s="88">
        <v>108000</v>
      </c>
      <c r="BI49" s="88">
        <v>108000</v>
      </c>
      <c r="BJ49" s="88">
        <v>108000</v>
      </c>
      <c r="BK49" s="88">
        <v>-511.72541816222991</v>
      </c>
      <c r="BL49" s="88">
        <v>-511.92145862552468</v>
      </c>
      <c r="BM49" s="88">
        <v>-512.11764935140991</v>
      </c>
      <c r="BN49" s="88">
        <v>-512.32064878352992</v>
      </c>
      <c r="BO49" s="88">
        <v>-512.52380921424833</v>
      </c>
      <c r="BP49" s="88">
        <v>-512.72713083515998</v>
      </c>
      <c r="BQ49" s="88">
        <v>-512.93061383819531</v>
      </c>
      <c r="BR49" s="88">
        <v>-513.13759819841471</v>
      </c>
      <c r="BS49" s="88">
        <v>-513.34140719616528</v>
      </c>
      <c r="BT49" s="88">
        <v>-513.54537815673496</v>
      </c>
      <c r="BU49" s="88">
        <v>-513.74951127328927</v>
      </c>
      <c r="BV49" s="88">
        <v>-513.9538067392815</v>
      </c>
      <c r="BW49" s="88">
        <v>0</v>
      </c>
      <c r="BX49" s="88">
        <v>0</v>
      </c>
      <c r="BY49" s="88">
        <v>0</v>
      </c>
      <c r="BZ49" s="88">
        <v>0</v>
      </c>
      <c r="CA49" s="88">
        <v>0</v>
      </c>
      <c r="CB49" s="88">
        <v>0</v>
      </c>
      <c r="CC49" s="88">
        <v>0</v>
      </c>
      <c r="CD49" s="88">
        <v>0</v>
      </c>
      <c r="CE49" s="88">
        <v>0</v>
      </c>
      <c r="CF49" s="88">
        <v>0</v>
      </c>
      <c r="CG49" s="88">
        <v>0</v>
      </c>
      <c r="CH49" s="88">
        <v>0</v>
      </c>
      <c r="CI49" s="88">
        <v>108000</v>
      </c>
      <c r="CJ49" s="88">
        <v>108000</v>
      </c>
      <c r="CK49" s="88">
        <v>108000</v>
      </c>
      <c r="CL49" s="88">
        <v>108000</v>
      </c>
      <c r="CM49" s="88">
        <v>108000</v>
      </c>
      <c r="CN49" s="88">
        <v>108000</v>
      </c>
      <c r="CO49" s="88">
        <v>108000</v>
      </c>
      <c r="CP49" s="88">
        <v>108000</v>
      </c>
      <c r="CQ49" s="88">
        <v>108000</v>
      </c>
      <c r="CR49" s="88">
        <v>108000</v>
      </c>
      <c r="CS49" s="88">
        <v>108000</v>
      </c>
      <c r="CT49" s="88">
        <v>108000</v>
      </c>
      <c r="CU49" s="88">
        <v>-511.72541816222991</v>
      </c>
      <c r="CV49" s="88">
        <v>-511.92145862552468</v>
      </c>
      <c r="CW49" s="88">
        <v>-512.11764935140991</v>
      </c>
      <c r="CX49" s="88">
        <v>-512.32064878352992</v>
      </c>
      <c r="CY49" s="88">
        <v>-512.52380921424833</v>
      </c>
      <c r="CZ49" s="88">
        <v>-512.72713083515998</v>
      </c>
      <c r="DA49" s="88">
        <v>-512.93061383819531</v>
      </c>
      <c r="DB49" s="88">
        <v>-513.13759819841471</v>
      </c>
      <c r="DC49" s="88">
        <v>-513.34140719616528</v>
      </c>
      <c r="DD49" s="88">
        <v>-513.54537815673496</v>
      </c>
      <c r="DE49" s="88">
        <v>-513.74951127328927</v>
      </c>
      <c r="DF49" s="88">
        <v>-513.9538067392815</v>
      </c>
      <c r="DG49" s="93"/>
      <c r="DH49" s="91"/>
      <c r="DJ49" s="93"/>
      <c r="DK49" s="91"/>
      <c r="DM49" s="93"/>
      <c r="DN49" s="91"/>
      <c r="DP49" s="93"/>
      <c r="DQ49" s="91"/>
    </row>
    <row r="50" spans="1:121" x14ac:dyDescent="0.3">
      <c r="A50" t="s">
        <v>22</v>
      </c>
      <c r="B50" t="s">
        <v>47</v>
      </c>
      <c r="C50" t="s">
        <v>65</v>
      </c>
      <c r="D50" t="s">
        <v>397</v>
      </c>
      <c r="E50" t="s">
        <v>398</v>
      </c>
      <c r="F50" s="86">
        <v>90000</v>
      </c>
      <c r="G50" s="87">
        <v>12</v>
      </c>
      <c r="H50" s="88">
        <v>1</v>
      </c>
      <c r="I50" s="88">
        <v>1.056875</v>
      </c>
      <c r="J50" s="89">
        <v>0.84595039075080514</v>
      </c>
      <c r="K50" s="88">
        <v>0.94618568894145472</v>
      </c>
      <c r="L50" s="88">
        <v>1.00478705287387</v>
      </c>
      <c r="M50" s="88">
        <v>1</v>
      </c>
      <c r="N50" s="90">
        <v>0.65400000000000003</v>
      </c>
      <c r="O50" s="90">
        <v>0.62176769493034711</v>
      </c>
      <c r="P50" s="90">
        <v>0.60611221665959769</v>
      </c>
      <c r="Q50" s="91">
        <v>0</v>
      </c>
      <c r="R50" s="88">
        <v>0.93896713615023475</v>
      </c>
      <c r="S50" s="88">
        <v>0.98701760052365672</v>
      </c>
      <c r="T50" s="91">
        <v>5.6875000000000009E-2</v>
      </c>
      <c r="U50" s="91">
        <v>7.6877587226491517E-3</v>
      </c>
      <c r="V50" s="87">
        <v>0</v>
      </c>
      <c r="W50" s="91">
        <v>0</v>
      </c>
      <c r="X50" s="87">
        <v>1</v>
      </c>
      <c r="Y50" s="90">
        <v>0.62176769493034711</v>
      </c>
      <c r="Z50" s="90">
        <v>0.60611221665959769</v>
      </c>
      <c r="AA50" s="92">
        <v>0</v>
      </c>
      <c r="AB50" s="88">
        <v>0</v>
      </c>
      <c r="AC50" s="87">
        <v>0</v>
      </c>
      <c r="AD50" s="87">
        <v>1</v>
      </c>
      <c r="AE50" s="88">
        <v>1.0325</v>
      </c>
      <c r="AF50" s="88">
        <v>1.0263202148345349</v>
      </c>
      <c r="AG50" s="88">
        <v>1.059683686428825</v>
      </c>
      <c r="AH50" s="88">
        <v>90000</v>
      </c>
      <c r="AI50" s="88">
        <v>95118.75</v>
      </c>
      <c r="AJ50" s="88">
        <v>76135.535167572467</v>
      </c>
      <c r="AK50" s="88">
        <v>85156.712004730929</v>
      </c>
      <c r="AL50" s="88">
        <v>90430.834758648271</v>
      </c>
      <c r="AM50" s="88">
        <v>90000</v>
      </c>
      <c r="AN50" s="88">
        <v>58860</v>
      </c>
      <c r="AO50" s="88">
        <v>55959.09254373124</v>
      </c>
      <c r="AP50" s="88">
        <v>54550.099499363787</v>
      </c>
      <c r="AQ50" s="88">
        <v>0</v>
      </c>
      <c r="AR50" s="88">
        <v>84507.042253521126</v>
      </c>
      <c r="AS50" s="88">
        <v>88831.584047129101</v>
      </c>
      <c r="AT50" s="88">
        <v>55959.09254373124</v>
      </c>
      <c r="AU50" s="88">
        <v>54550.099499363787</v>
      </c>
      <c r="AV50" s="88">
        <v>76500</v>
      </c>
      <c r="AW50" s="88">
        <v>75600</v>
      </c>
      <c r="AX50" s="88">
        <v>76500</v>
      </c>
      <c r="AY50" s="88">
        <v>90000</v>
      </c>
      <c r="AZ50" s="88">
        <v>90000</v>
      </c>
      <c r="BA50" s="88">
        <v>90000</v>
      </c>
      <c r="BB50" s="88">
        <v>90000</v>
      </c>
      <c r="BC50" s="88">
        <v>90000</v>
      </c>
      <c r="BD50" s="88">
        <v>90000</v>
      </c>
      <c r="BE50" s="88">
        <v>90000</v>
      </c>
      <c r="BF50" s="88">
        <v>90000</v>
      </c>
      <c r="BG50" s="88">
        <v>90000</v>
      </c>
      <c r="BH50" s="88">
        <v>90000</v>
      </c>
      <c r="BI50" s="88">
        <v>90000</v>
      </c>
      <c r="BJ50" s="88">
        <v>90000</v>
      </c>
      <c r="BK50" s="88">
        <v>8054.1369214066981</v>
      </c>
      <c r="BL50" s="88">
        <v>7864.1843971631188</v>
      </c>
      <c r="BM50" s="88">
        <v>7674.9664099623296</v>
      </c>
      <c r="BN50" s="88">
        <v>8519.8897959183814</v>
      </c>
      <c r="BO50" s="88">
        <v>9231.7339165061912</v>
      </c>
      <c r="BP50" s="88">
        <v>9034.5505244641263</v>
      </c>
      <c r="BQ50" s="88">
        <v>2805.7739198283539</v>
      </c>
      <c r="BR50" s="88">
        <v>2619.0843905129691</v>
      </c>
      <c r="BS50" s="88">
        <v>2436.1375558577761</v>
      </c>
      <c r="BT50" s="88">
        <v>2253.9120318004129</v>
      </c>
      <c r="BU50" s="88">
        <v>2072.4035608308582</v>
      </c>
      <c r="BV50" s="88">
        <v>1891.6079188797739</v>
      </c>
      <c r="BW50" s="88">
        <v>5849.9999999999955</v>
      </c>
      <c r="BX50" s="88">
        <v>5849.9999999999955</v>
      </c>
      <c r="BY50" s="88">
        <v>5849.9999999999955</v>
      </c>
      <c r="BZ50" s="88">
        <v>5849.9999999999955</v>
      </c>
      <c r="CA50" s="88">
        <v>5849.9999999999955</v>
      </c>
      <c r="CB50" s="88">
        <v>5849.9999999999955</v>
      </c>
      <c r="CC50" s="88">
        <v>0</v>
      </c>
      <c r="CD50" s="88">
        <v>0</v>
      </c>
      <c r="CE50" s="88">
        <v>0</v>
      </c>
      <c r="CF50" s="88">
        <v>0</v>
      </c>
      <c r="CG50" s="88">
        <v>0</v>
      </c>
      <c r="CH50" s="88">
        <v>0</v>
      </c>
      <c r="CI50" s="88">
        <v>90000</v>
      </c>
      <c r="CJ50" s="88">
        <v>90000</v>
      </c>
      <c r="CK50" s="88">
        <v>90000</v>
      </c>
      <c r="CL50" s="88">
        <v>90000</v>
      </c>
      <c r="CM50" s="88">
        <v>90000</v>
      </c>
      <c r="CN50" s="88">
        <v>90000</v>
      </c>
      <c r="CO50" s="88">
        <v>90000</v>
      </c>
      <c r="CP50" s="88">
        <v>90000</v>
      </c>
      <c r="CQ50" s="88">
        <v>90000</v>
      </c>
      <c r="CR50" s="88">
        <v>90000</v>
      </c>
      <c r="CS50" s="88">
        <v>90000</v>
      </c>
      <c r="CT50" s="88">
        <v>90000</v>
      </c>
      <c r="CU50" s="88">
        <v>2069.612132776253</v>
      </c>
      <c r="CV50" s="88">
        <v>1891.252955082738</v>
      </c>
      <c r="CW50" s="88">
        <v>1713.5834835327009</v>
      </c>
      <c r="CX50" s="88">
        <v>2506.9387755102189</v>
      </c>
      <c r="CY50" s="88">
        <v>3175.3370108039398</v>
      </c>
      <c r="CZ50" s="88">
        <v>2990.188285881809</v>
      </c>
      <c r="DA50" s="88">
        <v>2805.7739198283539</v>
      </c>
      <c r="DB50" s="88">
        <v>2619.0843905129691</v>
      </c>
      <c r="DC50" s="88">
        <v>2436.1375558577761</v>
      </c>
      <c r="DD50" s="88">
        <v>2253.9120318004129</v>
      </c>
      <c r="DE50" s="88">
        <v>2072.4035608308582</v>
      </c>
      <c r="DF50" s="88">
        <v>1891.6079188797739</v>
      </c>
      <c r="DG50" s="93">
        <v>46204</v>
      </c>
      <c r="DH50" s="91">
        <v>6.5000000000000002E-2</v>
      </c>
      <c r="DI50" t="s">
        <v>302</v>
      </c>
      <c r="DJ50" s="93"/>
      <c r="DK50" s="91"/>
      <c r="DM50" s="93"/>
      <c r="DN50" s="91"/>
      <c r="DP50" s="93"/>
      <c r="DQ50" s="91"/>
    </row>
    <row r="51" spans="1:121" x14ac:dyDescent="0.3">
      <c r="A51" t="s">
        <v>22</v>
      </c>
      <c r="B51" t="s">
        <v>47</v>
      </c>
      <c r="C51" t="s">
        <v>66</v>
      </c>
      <c r="D51" t="s">
        <v>399</v>
      </c>
      <c r="E51" t="s">
        <v>400</v>
      </c>
      <c r="F51" s="86">
        <v>72000</v>
      </c>
      <c r="G51" s="87">
        <v>12</v>
      </c>
      <c r="H51" s="88">
        <v>1.06</v>
      </c>
      <c r="I51" s="88">
        <v>1.0611166666666669</v>
      </c>
      <c r="J51" s="89">
        <v>0.8380041940189642</v>
      </c>
      <c r="K51" s="88">
        <v>0.99894764948874615</v>
      </c>
      <c r="L51" s="88">
        <v>1.0143147326309969</v>
      </c>
      <c r="M51" s="88">
        <v>1</v>
      </c>
      <c r="N51" s="90">
        <v>0.63800000000000001</v>
      </c>
      <c r="O51" s="90">
        <v>0.64645178888625898</v>
      </c>
      <c r="P51" s="90">
        <v>0.63408747633037044</v>
      </c>
      <c r="Q51" s="91">
        <v>0</v>
      </c>
      <c r="R51" s="88">
        <v>0.97205346294046147</v>
      </c>
      <c r="S51" s="88">
        <v>1.022441208894779</v>
      </c>
      <c r="T51" s="91">
        <v>1.0534591194968359E-3</v>
      </c>
      <c r="U51" s="91">
        <v>2.7667394411547749E-2</v>
      </c>
      <c r="V51" s="87">
        <v>0</v>
      </c>
      <c r="W51" s="91">
        <v>0</v>
      </c>
      <c r="X51" s="87">
        <v>1</v>
      </c>
      <c r="Y51" s="90">
        <v>0.64645178888625898</v>
      </c>
      <c r="Z51" s="90">
        <v>0.63408747633037044</v>
      </c>
      <c r="AA51" s="92">
        <v>0</v>
      </c>
      <c r="AB51" s="88">
        <v>0</v>
      </c>
      <c r="AC51" s="87">
        <v>1</v>
      </c>
      <c r="AD51" s="87">
        <v>1</v>
      </c>
      <c r="AE51" s="88">
        <v>1.0149999999999999</v>
      </c>
      <c r="AF51" s="88">
        <v>0.99051430760215442</v>
      </c>
      <c r="AG51" s="88">
        <v>1.005371887566235</v>
      </c>
      <c r="AH51" s="88">
        <v>76320</v>
      </c>
      <c r="AI51" s="88">
        <v>76400.400000000009</v>
      </c>
      <c r="AJ51" s="88">
        <v>60336.301969365421</v>
      </c>
      <c r="AK51" s="88">
        <v>71924.230763189727</v>
      </c>
      <c r="AL51" s="88">
        <v>73030.660749431787</v>
      </c>
      <c r="AM51" s="88">
        <v>72000</v>
      </c>
      <c r="AN51" s="88">
        <v>45936</v>
      </c>
      <c r="AO51" s="88">
        <v>46544.528799810643</v>
      </c>
      <c r="AP51" s="88">
        <v>45654.29829578667</v>
      </c>
      <c r="AQ51" s="88">
        <v>0</v>
      </c>
      <c r="AR51" s="88">
        <v>69987.849331713223</v>
      </c>
      <c r="AS51" s="88">
        <v>73615.767040424049</v>
      </c>
      <c r="AT51" s="88">
        <v>46544.528799810643</v>
      </c>
      <c r="AU51" s="88">
        <v>45654.29829578667</v>
      </c>
      <c r="AV51" s="88">
        <v>61200</v>
      </c>
      <c r="AW51" s="88">
        <v>60480</v>
      </c>
      <c r="AX51" s="88">
        <v>59760</v>
      </c>
      <c r="AY51" s="88">
        <v>72000</v>
      </c>
      <c r="AZ51" s="88">
        <v>72000</v>
      </c>
      <c r="BA51" s="88">
        <v>72000</v>
      </c>
      <c r="BB51" s="88">
        <v>72000</v>
      </c>
      <c r="BC51" s="88">
        <v>72000</v>
      </c>
      <c r="BD51" s="88">
        <v>72000</v>
      </c>
      <c r="BE51" s="88">
        <v>72000</v>
      </c>
      <c r="BF51" s="88">
        <v>72000</v>
      </c>
      <c r="BG51" s="88">
        <v>72000</v>
      </c>
      <c r="BH51" s="88">
        <v>72000</v>
      </c>
      <c r="BI51" s="88">
        <v>72000</v>
      </c>
      <c r="BJ51" s="88">
        <v>72000</v>
      </c>
      <c r="BK51" s="88">
        <v>3599.170925463508</v>
      </c>
      <c r="BL51" s="88">
        <v>-680.54692355499924</v>
      </c>
      <c r="BM51" s="88">
        <v>-681.06721262617759</v>
      </c>
      <c r="BN51" s="88">
        <v>-681.60597572361678</v>
      </c>
      <c r="BO51" s="88">
        <v>-682.14559188070291</v>
      </c>
      <c r="BP51" s="88">
        <v>-682.68606312507791</v>
      </c>
      <c r="BQ51" s="88">
        <v>-683.22739149085089</v>
      </c>
      <c r="BR51" s="88">
        <v>-683.77847450792649</v>
      </c>
      <c r="BS51" s="88">
        <v>-684.32153737988608</v>
      </c>
      <c r="BT51" s="88">
        <v>2167.7399179099498</v>
      </c>
      <c r="BU51" s="88">
        <v>2167.173334724333</v>
      </c>
      <c r="BV51" s="88">
        <v>2166.6058494185791</v>
      </c>
      <c r="BW51" s="88">
        <v>4320.0000000000036</v>
      </c>
      <c r="BX51" s="88">
        <v>0</v>
      </c>
      <c r="BY51" s="88">
        <v>0</v>
      </c>
      <c r="BZ51" s="88">
        <v>0</v>
      </c>
      <c r="CA51" s="88">
        <v>0</v>
      </c>
      <c r="CB51" s="88">
        <v>0</v>
      </c>
      <c r="CC51" s="88">
        <v>0</v>
      </c>
      <c r="CD51" s="88">
        <v>0</v>
      </c>
      <c r="CE51" s="88">
        <v>0</v>
      </c>
      <c r="CF51" s="88">
        <v>2880.0000000000032</v>
      </c>
      <c r="CG51" s="88">
        <v>2880.0000000000032</v>
      </c>
      <c r="CH51" s="88">
        <v>2880.0000000000032</v>
      </c>
      <c r="CI51" s="88">
        <v>72000</v>
      </c>
      <c r="CJ51" s="88">
        <v>72000</v>
      </c>
      <c r="CK51" s="88">
        <v>72000</v>
      </c>
      <c r="CL51" s="88">
        <v>72000</v>
      </c>
      <c r="CM51" s="88">
        <v>72000</v>
      </c>
      <c r="CN51" s="88">
        <v>72000</v>
      </c>
      <c r="CO51" s="88">
        <v>72000</v>
      </c>
      <c r="CP51" s="88">
        <v>72000</v>
      </c>
      <c r="CQ51" s="88">
        <v>72000</v>
      </c>
      <c r="CR51" s="88">
        <v>72000</v>
      </c>
      <c r="CS51" s="88">
        <v>72000</v>
      </c>
      <c r="CT51" s="88">
        <v>72000</v>
      </c>
      <c r="CU51" s="88">
        <v>-680.02742880801122</v>
      </c>
      <c r="CV51" s="88">
        <v>-680.54692355499924</v>
      </c>
      <c r="CW51" s="88">
        <v>-681.06721262617759</v>
      </c>
      <c r="CX51" s="88">
        <v>-681.60597572361678</v>
      </c>
      <c r="CY51" s="88">
        <v>-682.14559188070291</v>
      </c>
      <c r="CZ51" s="88">
        <v>-682.68606312507791</v>
      </c>
      <c r="DA51" s="88">
        <v>-683.22739149085089</v>
      </c>
      <c r="DB51" s="88">
        <v>-683.77847450792649</v>
      </c>
      <c r="DC51" s="88">
        <v>-684.32153737988608</v>
      </c>
      <c r="DD51" s="88">
        <v>-684.86546354812015</v>
      </c>
      <c r="DE51" s="88">
        <v>-685.41025507276481</v>
      </c>
      <c r="DF51" s="88">
        <v>-685.95591402059858</v>
      </c>
      <c r="DG51" s="93">
        <v>46054</v>
      </c>
      <c r="DH51" s="91">
        <v>0.06</v>
      </c>
      <c r="DI51" t="s">
        <v>301</v>
      </c>
      <c r="DJ51" s="93">
        <v>46661</v>
      </c>
      <c r="DK51" s="91">
        <v>0.04</v>
      </c>
      <c r="DL51" t="s">
        <v>302</v>
      </c>
      <c r="DM51" s="93"/>
      <c r="DN51" s="91"/>
      <c r="DP51" s="93"/>
      <c r="DQ51" s="91"/>
    </row>
    <row r="52" spans="1:121" x14ac:dyDescent="0.3">
      <c r="A52" t="s">
        <v>22</v>
      </c>
      <c r="B52" t="s">
        <v>47</v>
      </c>
      <c r="C52" t="s">
        <v>67</v>
      </c>
      <c r="D52" t="s">
        <v>401</v>
      </c>
      <c r="E52" t="s">
        <v>402</v>
      </c>
      <c r="F52" s="86">
        <v>54000</v>
      </c>
      <c r="G52" s="87">
        <v>12</v>
      </c>
      <c r="H52" s="88">
        <v>1</v>
      </c>
      <c r="I52" s="88">
        <v>1.061403942038158</v>
      </c>
      <c r="J52" s="89">
        <v>0.84099790299051769</v>
      </c>
      <c r="K52" s="88">
        <v>0.94214837574444388</v>
      </c>
      <c r="L52" s="88">
        <v>1</v>
      </c>
      <c r="M52" s="88">
        <v>1</v>
      </c>
      <c r="N52" s="90">
        <v>0.66600000000000004</v>
      </c>
      <c r="O52" s="90">
        <v>0.62747081824579964</v>
      </c>
      <c r="P52" s="90">
        <v>0.57042801658709053</v>
      </c>
      <c r="Q52" s="91">
        <v>0</v>
      </c>
      <c r="R52" s="88">
        <v>0.85649852340403976</v>
      </c>
      <c r="S52" s="88">
        <v>1</v>
      </c>
      <c r="T52" s="91">
        <v>6.1403942038157577E-2</v>
      </c>
      <c r="U52" s="91">
        <v>0.1000000000000001</v>
      </c>
      <c r="V52" s="87">
        <v>1</v>
      </c>
      <c r="W52" s="91">
        <v>0.1</v>
      </c>
      <c r="X52" s="87">
        <v>1</v>
      </c>
      <c r="Y52" s="90">
        <v>0.62082444815901516</v>
      </c>
      <c r="Z52" s="90">
        <v>0.58678384622475599</v>
      </c>
      <c r="AA52" s="92">
        <v>-0.6646370086784481</v>
      </c>
      <c r="AB52" s="88">
        <v>0</v>
      </c>
      <c r="AC52" s="87">
        <v>1</v>
      </c>
      <c r="AD52" s="87">
        <v>1</v>
      </c>
      <c r="AE52" s="88">
        <v>1.107</v>
      </c>
      <c r="AF52" s="88">
        <v>1.00475975841704</v>
      </c>
      <c r="AG52" s="88">
        <v>1.112269180539593</v>
      </c>
      <c r="AH52" s="88">
        <v>54000</v>
      </c>
      <c r="AI52" s="88">
        <v>57315.812870060508</v>
      </c>
      <c r="AJ52" s="88">
        <v>45413.886761487956</v>
      </c>
      <c r="AK52" s="88">
        <v>50876.012290199971</v>
      </c>
      <c r="AL52" s="88">
        <v>54000</v>
      </c>
      <c r="AM52" s="88">
        <v>54000</v>
      </c>
      <c r="AN52" s="88">
        <v>35964</v>
      </c>
      <c r="AO52" s="88">
        <v>33883.424185273179</v>
      </c>
      <c r="AP52" s="88">
        <v>30803.112895702889</v>
      </c>
      <c r="AQ52" s="88">
        <v>0</v>
      </c>
      <c r="AR52" s="88">
        <v>46250.920263818152</v>
      </c>
      <c r="AS52" s="88">
        <v>54000</v>
      </c>
      <c r="AT52" s="88">
        <v>33524.52020058682</v>
      </c>
      <c r="AU52" s="88">
        <v>31686.327696136821</v>
      </c>
      <c r="AV52" s="88">
        <v>45900</v>
      </c>
      <c r="AW52" s="88">
        <v>45360</v>
      </c>
      <c r="AX52" s="88">
        <v>45630</v>
      </c>
      <c r="AY52" s="88">
        <v>54000</v>
      </c>
      <c r="AZ52" s="88">
        <v>54000</v>
      </c>
      <c r="BA52" s="88">
        <v>54000</v>
      </c>
      <c r="BB52" s="88">
        <v>54000</v>
      </c>
      <c r="BC52" s="88">
        <v>54000</v>
      </c>
      <c r="BD52" s="88">
        <v>54000</v>
      </c>
      <c r="BE52" s="88">
        <v>54000</v>
      </c>
      <c r="BF52" s="88">
        <v>54000</v>
      </c>
      <c r="BG52" s="88">
        <v>54000</v>
      </c>
      <c r="BH52" s="88">
        <v>54000</v>
      </c>
      <c r="BI52" s="88">
        <v>54000</v>
      </c>
      <c r="BJ52" s="88">
        <v>54000</v>
      </c>
      <c r="BK52" s="88">
        <v>5683.343243790715</v>
      </c>
      <c r="BL52" s="88">
        <v>5683.2340492240301</v>
      </c>
      <c r="BM52" s="88">
        <v>5683.1249387875077</v>
      </c>
      <c r="BN52" s="88">
        <v>8070.3327067669197</v>
      </c>
      <c r="BO52" s="88">
        <v>8070.2155705030791</v>
      </c>
      <c r="BP52" s="88">
        <v>8070.0985274361155</v>
      </c>
      <c r="BQ52" s="88">
        <v>8069.9815774548824</v>
      </c>
      <c r="BR52" s="88">
        <v>8069.862805533663</v>
      </c>
      <c r="BS52" s="88">
        <v>8069.7460429124312</v>
      </c>
      <c r="BT52" s="88">
        <v>2426.9357936750839</v>
      </c>
      <c r="BU52" s="88">
        <v>2426.8298143760871</v>
      </c>
      <c r="BV52" s="88">
        <v>2426.723919195862</v>
      </c>
      <c r="BW52" s="88">
        <v>5400.0000000000045</v>
      </c>
      <c r="BX52" s="88">
        <v>5400.0000000000045</v>
      </c>
      <c r="BY52" s="88">
        <v>5400.0000000000045</v>
      </c>
      <c r="BZ52" s="88">
        <v>7776.0000000000073</v>
      </c>
      <c r="CA52" s="88">
        <v>7776.0000000000073</v>
      </c>
      <c r="CB52" s="88">
        <v>7776.0000000000073</v>
      </c>
      <c r="CC52" s="88">
        <v>7776.0000000000073</v>
      </c>
      <c r="CD52" s="88">
        <v>7776.0000000000073</v>
      </c>
      <c r="CE52" s="88">
        <v>7776.0000000000073</v>
      </c>
      <c r="CF52" s="88">
        <v>2160.0000000000018</v>
      </c>
      <c r="CG52" s="88">
        <v>2160.0000000000018</v>
      </c>
      <c r="CH52" s="88">
        <v>2160.0000000000018</v>
      </c>
      <c r="CI52" s="88">
        <v>54000</v>
      </c>
      <c r="CJ52" s="88">
        <v>54000</v>
      </c>
      <c r="CK52" s="88">
        <v>54000</v>
      </c>
      <c r="CL52" s="88">
        <v>54000</v>
      </c>
      <c r="CM52" s="88">
        <v>54000</v>
      </c>
      <c r="CN52" s="88">
        <v>54000</v>
      </c>
      <c r="CO52" s="88">
        <v>54000</v>
      </c>
      <c r="CP52" s="88">
        <v>54000</v>
      </c>
      <c r="CQ52" s="88">
        <v>54000</v>
      </c>
      <c r="CR52" s="88">
        <v>54000</v>
      </c>
      <c r="CS52" s="88">
        <v>54000</v>
      </c>
      <c r="CT52" s="88">
        <v>54000</v>
      </c>
      <c r="CU52" s="88">
        <v>257.58476708246559</v>
      </c>
      <c r="CV52" s="88">
        <v>257.48549929456391</v>
      </c>
      <c r="CW52" s="88">
        <v>257.38630798863488</v>
      </c>
      <c r="CX52" s="88">
        <v>257.28383458646317</v>
      </c>
      <c r="CY52" s="88">
        <v>257.18144274743969</v>
      </c>
      <c r="CZ52" s="88">
        <v>257.07913237422628</v>
      </c>
      <c r="DA52" s="88">
        <v>256.97690336964081</v>
      </c>
      <c r="DB52" s="88">
        <v>256.87308176018718</v>
      </c>
      <c r="DC52" s="88">
        <v>256.7710165318382</v>
      </c>
      <c r="DD52" s="88">
        <v>256.6690323798868</v>
      </c>
      <c r="DE52" s="88">
        <v>256.56712920777431</v>
      </c>
      <c r="DF52" s="88">
        <v>256.46530691909771</v>
      </c>
      <c r="DG52" s="93">
        <v>46296</v>
      </c>
      <c r="DH52" s="91">
        <v>0.1</v>
      </c>
      <c r="DI52" t="s">
        <v>403</v>
      </c>
      <c r="DJ52" s="93">
        <v>46478</v>
      </c>
      <c r="DK52" s="91">
        <v>0.04</v>
      </c>
      <c r="DL52" t="s">
        <v>302</v>
      </c>
      <c r="DM52" s="93"/>
      <c r="DN52" s="91"/>
      <c r="DP52" s="93"/>
      <c r="DQ52" s="91"/>
    </row>
    <row r="53" spans="1:121" x14ac:dyDescent="0.3">
      <c r="A53" t="s">
        <v>22</v>
      </c>
      <c r="B53" t="s">
        <v>47</v>
      </c>
      <c r="C53" t="s">
        <v>73</v>
      </c>
      <c r="D53" t="s">
        <v>404</v>
      </c>
      <c r="E53" t="s">
        <v>405</v>
      </c>
      <c r="F53" s="86">
        <v>36000</v>
      </c>
      <c r="G53" s="87">
        <v>12</v>
      </c>
      <c r="H53" s="88">
        <v>1.03</v>
      </c>
      <c r="I53" s="88">
        <v>1.0290625</v>
      </c>
      <c r="J53" s="89">
        <v>0.84399161196207151</v>
      </c>
      <c r="K53" s="88">
        <v>1.000911023382933</v>
      </c>
      <c r="L53" s="88">
        <v>1.0071190139247479</v>
      </c>
      <c r="M53" s="88">
        <v>1</v>
      </c>
      <c r="N53" s="90">
        <v>0.65</v>
      </c>
      <c r="O53" s="90">
        <v>0.65522373988228955</v>
      </c>
      <c r="P53" s="90">
        <v>0.64445562487243646</v>
      </c>
      <c r="Q53" s="91">
        <v>0</v>
      </c>
      <c r="R53" s="88">
        <v>0.99999999999999978</v>
      </c>
      <c r="S53" s="88">
        <v>0.99147019211144083</v>
      </c>
      <c r="T53" s="91">
        <v>-9.1019417475712849E-4</v>
      </c>
      <c r="U53" s="91">
        <v>9.1102338293347351E-4</v>
      </c>
      <c r="V53" s="87">
        <v>0</v>
      </c>
      <c r="W53" s="91">
        <v>0</v>
      </c>
      <c r="X53" s="87">
        <v>1</v>
      </c>
      <c r="Y53" s="90">
        <v>0.65522373988228955</v>
      </c>
      <c r="Z53" s="90">
        <v>0.64445562487243646</v>
      </c>
      <c r="AA53" s="92">
        <v>0</v>
      </c>
      <c r="AB53" s="88">
        <v>0</v>
      </c>
      <c r="AC53" s="87">
        <v>1</v>
      </c>
      <c r="AD53" s="87">
        <v>0</v>
      </c>
      <c r="AE53" s="88">
        <v>1.0075000000000001</v>
      </c>
      <c r="AF53" s="88">
        <v>1.0191078169498311</v>
      </c>
      <c r="AG53" s="88">
        <v>1.0267521544176821</v>
      </c>
      <c r="AH53" s="88">
        <v>37080</v>
      </c>
      <c r="AI53" s="88">
        <v>37046.250000000007</v>
      </c>
      <c r="AJ53" s="88">
        <v>30383.698030634579</v>
      </c>
      <c r="AK53" s="88">
        <v>36032.796841785603</v>
      </c>
      <c r="AL53" s="88">
        <v>36256.284501290917</v>
      </c>
      <c r="AM53" s="88">
        <v>36000</v>
      </c>
      <c r="AN53" s="88">
        <v>23400</v>
      </c>
      <c r="AO53" s="88">
        <v>23588.054635762419</v>
      </c>
      <c r="AP53" s="88">
        <v>23200.40249540771</v>
      </c>
      <c r="AQ53" s="88">
        <v>0</v>
      </c>
      <c r="AR53" s="88">
        <v>35999.999999999993</v>
      </c>
      <c r="AS53" s="88">
        <v>35692.926916011871</v>
      </c>
      <c r="AT53" s="88">
        <v>23588.054635762419</v>
      </c>
      <c r="AU53" s="88">
        <v>23200.40249540771</v>
      </c>
      <c r="AV53" s="88">
        <v>30600</v>
      </c>
      <c r="AW53" s="88">
        <v>30240</v>
      </c>
      <c r="AX53" s="88">
        <v>30960</v>
      </c>
      <c r="AY53" s="88">
        <v>36000</v>
      </c>
      <c r="AZ53" s="88">
        <v>36000</v>
      </c>
      <c r="BA53" s="88">
        <v>36000</v>
      </c>
      <c r="BB53" s="88">
        <v>36000</v>
      </c>
      <c r="BC53" s="88">
        <v>36000</v>
      </c>
      <c r="BD53" s="88">
        <v>36000</v>
      </c>
      <c r="BE53" s="88">
        <v>36000</v>
      </c>
      <c r="BF53" s="88">
        <v>36000</v>
      </c>
      <c r="BG53" s="88">
        <v>36000</v>
      </c>
      <c r="BH53" s="88">
        <v>36000</v>
      </c>
      <c r="BI53" s="88">
        <v>36000</v>
      </c>
      <c r="BJ53" s="88">
        <v>36000</v>
      </c>
      <c r="BK53" s="88">
        <v>1794.714968447176</v>
      </c>
      <c r="BL53" s="88">
        <v>1793.603290098074</v>
      </c>
      <c r="BM53" s="88">
        <v>1792.4950646205671</v>
      </c>
      <c r="BN53" s="88">
        <v>690.633869441819</v>
      </c>
      <c r="BO53" s="88">
        <v>689.52850733345451</v>
      </c>
      <c r="BP53" s="88">
        <v>688.42667784355967</v>
      </c>
      <c r="BQ53" s="88">
        <v>687.32836406433955</v>
      </c>
      <c r="BR53" s="88">
        <v>686.21563046713959</v>
      </c>
      <c r="BS53" s="88">
        <v>685.12435476302608</v>
      </c>
      <c r="BT53" s="88">
        <v>684.03654441812023</v>
      </c>
      <c r="BU53" s="88">
        <v>682.95218295218069</v>
      </c>
      <c r="BV53" s="88">
        <v>681.87125398925912</v>
      </c>
      <c r="BW53" s="88">
        <v>1080.0000000000009</v>
      </c>
      <c r="BX53" s="88">
        <v>1080.0000000000009</v>
      </c>
      <c r="BY53" s="88">
        <v>1080.0000000000009</v>
      </c>
      <c r="BZ53" s="88">
        <v>0</v>
      </c>
      <c r="CA53" s="88">
        <v>0</v>
      </c>
      <c r="CB53" s="88">
        <v>0</v>
      </c>
      <c r="CC53" s="88">
        <v>0</v>
      </c>
      <c r="CD53" s="88">
        <v>0</v>
      </c>
      <c r="CE53" s="88">
        <v>0</v>
      </c>
      <c r="CF53" s="88">
        <v>0</v>
      </c>
      <c r="CG53" s="88">
        <v>0</v>
      </c>
      <c r="CH53" s="88">
        <v>0</v>
      </c>
      <c r="CI53" s="88">
        <v>36000</v>
      </c>
      <c r="CJ53" s="88">
        <v>36000</v>
      </c>
      <c r="CK53" s="88">
        <v>36000</v>
      </c>
      <c r="CL53" s="88">
        <v>36000</v>
      </c>
      <c r="CM53" s="88">
        <v>36000</v>
      </c>
      <c r="CN53" s="88">
        <v>36000</v>
      </c>
      <c r="CO53" s="88">
        <v>36000</v>
      </c>
      <c r="CP53" s="88">
        <v>36000</v>
      </c>
      <c r="CQ53" s="88">
        <v>36000</v>
      </c>
      <c r="CR53" s="88">
        <v>36000</v>
      </c>
      <c r="CS53" s="88">
        <v>36000</v>
      </c>
      <c r="CT53" s="88">
        <v>36000</v>
      </c>
      <c r="CU53" s="88">
        <v>693.89802761861927</v>
      </c>
      <c r="CV53" s="88">
        <v>692.81872825055666</v>
      </c>
      <c r="CW53" s="88">
        <v>691.74278118501763</v>
      </c>
      <c r="CX53" s="88">
        <v>690.633869441819</v>
      </c>
      <c r="CY53" s="88">
        <v>689.52850733345451</v>
      </c>
      <c r="CZ53" s="88">
        <v>688.42667784355967</v>
      </c>
      <c r="DA53" s="88">
        <v>687.32836406433955</v>
      </c>
      <c r="DB53" s="88">
        <v>686.21563046713959</v>
      </c>
      <c r="DC53" s="88">
        <v>685.12435476302608</v>
      </c>
      <c r="DD53" s="88">
        <v>684.03654441812023</v>
      </c>
      <c r="DE53" s="88">
        <v>682.95218295218069</v>
      </c>
      <c r="DF53" s="88">
        <v>681.87125398925912</v>
      </c>
      <c r="DG53" s="93">
        <v>46113</v>
      </c>
      <c r="DH53" s="91">
        <v>0.03</v>
      </c>
      <c r="DI53" t="s">
        <v>301</v>
      </c>
      <c r="DJ53" s="93"/>
      <c r="DK53" s="91"/>
      <c r="DM53" s="93"/>
      <c r="DN53" s="91"/>
      <c r="DP53" s="93"/>
      <c r="DQ53" s="91"/>
    </row>
    <row r="54" spans="1:121" x14ac:dyDescent="0.3">
      <c r="A54" t="s">
        <v>22</v>
      </c>
      <c r="B54" t="s">
        <v>47</v>
      </c>
      <c r="C54" t="s">
        <v>78</v>
      </c>
      <c r="D54" t="s">
        <v>406</v>
      </c>
      <c r="E54" t="s">
        <v>407</v>
      </c>
      <c r="F54" s="86">
        <v>94500</v>
      </c>
      <c r="G54" s="87">
        <v>12</v>
      </c>
      <c r="H54" s="88">
        <v>1.04</v>
      </c>
      <c r="I54" s="88">
        <v>1.0377777777777779</v>
      </c>
      <c r="J54" s="89">
        <v>0.84</v>
      </c>
      <c r="K54" s="88">
        <v>1.0021413276231259</v>
      </c>
      <c r="L54" s="88">
        <v>1.0119047619047621</v>
      </c>
      <c r="M54" s="88">
        <v>1</v>
      </c>
      <c r="N54" s="90">
        <v>0.63400000000000001</v>
      </c>
      <c r="O54" s="90">
        <v>0.64292138268583665</v>
      </c>
      <c r="P54" s="90">
        <v>0.64154761904761892</v>
      </c>
      <c r="Q54" s="91">
        <v>0</v>
      </c>
      <c r="R54" s="88">
        <v>0.99999999999999978</v>
      </c>
      <c r="S54" s="88">
        <v>1.0119047619047621</v>
      </c>
      <c r="T54" s="91">
        <v>-2.1367521367520181E-3</v>
      </c>
      <c r="U54" s="91">
        <v>2.1413276231263541E-3</v>
      </c>
      <c r="V54" s="87">
        <v>0</v>
      </c>
      <c r="W54" s="91">
        <v>0</v>
      </c>
      <c r="X54" s="87">
        <v>1</v>
      </c>
      <c r="Y54" s="90">
        <v>0.64292138268583665</v>
      </c>
      <c r="Z54" s="90">
        <v>0.64154761904761892</v>
      </c>
      <c r="AA54" s="92">
        <v>0</v>
      </c>
      <c r="AB54" s="88">
        <v>0</v>
      </c>
      <c r="AC54" s="87">
        <v>1</v>
      </c>
      <c r="AD54" s="87">
        <v>0</v>
      </c>
      <c r="AE54" s="88">
        <v>1.013333333333333</v>
      </c>
      <c r="AF54" s="88">
        <v>1</v>
      </c>
      <c r="AG54" s="88">
        <v>1.013333333333333</v>
      </c>
      <c r="AH54" s="88">
        <v>98280</v>
      </c>
      <c r="AI54" s="88">
        <v>98070.000000000015</v>
      </c>
      <c r="AJ54" s="88">
        <v>79380</v>
      </c>
      <c r="AK54" s="88">
        <v>94702.355460385443</v>
      </c>
      <c r="AL54" s="88">
        <v>95625</v>
      </c>
      <c r="AM54" s="88">
        <v>94500</v>
      </c>
      <c r="AN54" s="88">
        <v>59913</v>
      </c>
      <c r="AO54" s="88">
        <v>60756.070663811573</v>
      </c>
      <c r="AP54" s="88">
        <v>60626.249999999993</v>
      </c>
      <c r="AQ54" s="88">
        <v>0</v>
      </c>
      <c r="AR54" s="88">
        <v>94499.999999999985</v>
      </c>
      <c r="AS54" s="88">
        <v>95625</v>
      </c>
      <c r="AT54" s="88">
        <v>60756.070663811573</v>
      </c>
      <c r="AU54" s="88">
        <v>60626.249999999993</v>
      </c>
      <c r="AV54" s="88">
        <v>80325</v>
      </c>
      <c r="AW54" s="88">
        <v>79380</v>
      </c>
      <c r="AX54" s="88">
        <v>79380</v>
      </c>
      <c r="AY54" s="88">
        <v>94500</v>
      </c>
      <c r="AZ54" s="88">
        <v>94500</v>
      </c>
      <c r="BA54" s="88">
        <v>94500</v>
      </c>
      <c r="BB54" s="88">
        <v>94500</v>
      </c>
      <c r="BC54" s="88">
        <v>94500</v>
      </c>
      <c r="BD54" s="88">
        <v>94500</v>
      </c>
      <c r="BE54" s="88">
        <v>94500</v>
      </c>
      <c r="BF54" s="88">
        <v>94500</v>
      </c>
      <c r="BG54" s="88">
        <v>94500</v>
      </c>
      <c r="BH54" s="88">
        <v>94500</v>
      </c>
      <c r="BI54" s="88">
        <v>94500</v>
      </c>
      <c r="BJ54" s="88">
        <v>94500</v>
      </c>
      <c r="BK54" s="88">
        <v>3780.0000000000032</v>
      </c>
      <c r="BL54" s="88">
        <v>3780.0000000000032</v>
      </c>
      <c r="BM54" s="88">
        <v>3780.0000000000032</v>
      </c>
      <c r="BN54" s="88">
        <v>3780.0000000000032</v>
      </c>
      <c r="BO54" s="88">
        <v>0</v>
      </c>
      <c r="BP54" s="88">
        <v>0</v>
      </c>
      <c r="BQ54" s="88">
        <v>0</v>
      </c>
      <c r="BR54" s="88">
        <v>0</v>
      </c>
      <c r="BS54" s="88">
        <v>0</v>
      </c>
      <c r="BT54" s="88">
        <v>0</v>
      </c>
      <c r="BU54" s="88">
        <v>0</v>
      </c>
      <c r="BV54" s="88">
        <v>0</v>
      </c>
      <c r="BW54" s="88">
        <v>3780.0000000000032</v>
      </c>
      <c r="BX54" s="88">
        <v>3780.0000000000032</v>
      </c>
      <c r="BY54" s="88">
        <v>3780.0000000000032</v>
      </c>
      <c r="BZ54" s="88">
        <v>3780.0000000000032</v>
      </c>
      <c r="CA54" s="88">
        <v>0</v>
      </c>
      <c r="CB54" s="88">
        <v>0</v>
      </c>
      <c r="CC54" s="88">
        <v>0</v>
      </c>
      <c r="CD54" s="88">
        <v>0</v>
      </c>
      <c r="CE54" s="88">
        <v>0</v>
      </c>
      <c r="CF54" s="88">
        <v>0</v>
      </c>
      <c r="CG54" s="88">
        <v>0</v>
      </c>
      <c r="CH54" s="88">
        <v>0</v>
      </c>
      <c r="CI54" s="88">
        <v>94500</v>
      </c>
      <c r="CJ54" s="88">
        <v>94500</v>
      </c>
      <c r="CK54" s="88">
        <v>94500</v>
      </c>
      <c r="CL54" s="88">
        <v>94500</v>
      </c>
      <c r="CM54" s="88">
        <v>94500</v>
      </c>
      <c r="CN54" s="88">
        <v>94500</v>
      </c>
      <c r="CO54" s="88">
        <v>94500</v>
      </c>
      <c r="CP54" s="88">
        <v>94500</v>
      </c>
      <c r="CQ54" s="88">
        <v>94500</v>
      </c>
      <c r="CR54" s="88">
        <v>94500</v>
      </c>
      <c r="CS54" s="88">
        <v>94500</v>
      </c>
      <c r="CT54" s="88">
        <v>94500</v>
      </c>
      <c r="CU54" s="88">
        <v>0</v>
      </c>
      <c r="CV54" s="88">
        <v>0</v>
      </c>
      <c r="CW54" s="88">
        <v>0</v>
      </c>
      <c r="CX54" s="88">
        <v>0</v>
      </c>
      <c r="CY54" s="88">
        <v>0</v>
      </c>
      <c r="CZ54" s="88">
        <v>0</v>
      </c>
      <c r="DA54" s="88">
        <v>0</v>
      </c>
      <c r="DB54" s="88">
        <v>0</v>
      </c>
      <c r="DC54" s="88">
        <v>0</v>
      </c>
      <c r="DD54" s="88">
        <v>0</v>
      </c>
      <c r="DE54" s="88">
        <v>0</v>
      </c>
      <c r="DF54" s="88">
        <v>0</v>
      </c>
      <c r="DG54" s="93">
        <v>46143</v>
      </c>
      <c r="DH54" s="91">
        <v>0.04</v>
      </c>
      <c r="DI54" t="s">
        <v>301</v>
      </c>
      <c r="DJ54" s="93"/>
      <c r="DK54" s="91"/>
      <c r="DM54" s="93"/>
      <c r="DN54" s="91"/>
      <c r="DP54" s="93"/>
      <c r="DQ54" s="91"/>
    </row>
    <row r="55" spans="1:121" x14ac:dyDescent="0.3">
      <c r="A55" t="s">
        <v>22</v>
      </c>
      <c r="B55" t="s">
        <v>47</v>
      </c>
      <c r="C55" t="s">
        <v>80</v>
      </c>
      <c r="D55" t="s">
        <v>408</v>
      </c>
      <c r="E55" t="s">
        <v>409</v>
      </c>
      <c r="F55" s="86">
        <v>76500</v>
      </c>
      <c r="G55" s="87">
        <v>12</v>
      </c>
      <c r="H55" s="88">
        <v>1</v>
      </c>
      <c r="I55" s="88">
        <v>1.01125</v>
      </c>
      <c r="J55" s="89">
        <v>0.84299370897155379</v>
      </c>
      <c r="K55" s="88">
        <v>0.9888751545117429</v>
      </c>
      <c r="L55" s="88">
        <v>1.0083112020337539</v>
      </c>
      <c r="M55" s="88">
        <v>1</v>
      </c>
      <c r="N55" s="90">
        <v>0.66200000000000003</v>
      </c>
      <c r="O55" s="90">
        <v>0.66007615895806682</v>
      </c>
      <c r="P55" s="90">
        <v>0.63507456776978422</v>
      </c>
      <c r="Q55" s="91">
        <v>0</v>
      </c>
      <c r="R55" s="88">
        <v>0.96269554753309261</v>
      </c>
      <c r="S55" s="88">
        <v>0.99650106838498997</v>
      </c>
      <c r="T55" s="91">
        <v>1.1249999999999981E-2</v>
      </c>
      <c r="U55" s="91">
        <v>2.7194066749073102E-2</v>
      </c>
      <c r="V55" s="87">
        <v>0</v>
      </c>
      <c r="W55" s="91">
        <v>0</v>
      </c>
      <c r="X55" s="87">
        <v>1</v>
      </c>
      <c r="Y55" s="90">
        <v>0.66007615895806682</v>
      </c>
      <c r="Z55" s="90">
        <v>0.63507456776978422</v>
      </c>
      <c r="AA55" s="92">
        <v>0</v>
      </c>
      <c r="AB55" s="88">
        <v>0</v>
      </c>
      <c r="AC55" s="87">
        <v>0</v>
      </c>
      <c r="AD55" s="87">
        <v>1</v>
      </c>
      <c r="AE55" s="88">
        <v>1.03</v>
      </c>
      <c r="AF55" s="88">
        <v>1.014313571147019</v>
      </c>
      <c r="AG55" s="88">
        <v>1.0447422091162391</v>
      </c>
      <c r="AH55" s="88">
        <v>76500</v>
      </c>
      <c r="AI55" s="88">
        <v>77360.625</v>
      </c>
      <c r="AJ55" s="88">
        <v>64489.018736323873</v>
      </c>
      <c r="AK55" s="88">
        <v>75648.949320148327</v>
      </c>
      <c r="AL55" s="88">
        <v>77135.806955582171</v>
      </c>
      <c r="AM55" s="88">
        <v>76500</v>
      </c>
      <c r="AN55" s="88">
        <v>50643</v>
      </c>
      <c r="AO55" s="88">
        <v>50495.826160292112</v>
      </c>
      <c r="AP55" s="88">
        <v>48583.204434388492</v>
      </c>
      <c r="AQ55" s="88">
        <v>0</v>
      </c>
      <c r="AR55" s="88">
        <v>73646.209386281582</v>
      </c>
      <c r="AS55" s="88">
        <v>76232.331731451734</v>
      </c>
      <c r="AT55" s="88">
        <v>50495.826160292112</v>
      </c>
      <c r="AU55" s="88">
        <v>48583.204434388492</v>
      </c>
      <c r="AV55" s="88">
        <v>65025</v>
      </c>
      <c r="AW55" s="88">
        <v>64260</v>
      </c>
      <c r="AX55" s="88">
        <v>65407.5</v>
      </c>
      <c r="AY55" s="88">
        <v>76500</v>
      </c>
      <c r="AZ55" s="88">
        <v>76500</v>
      </c>
      <c r="BA55" s="88">
        <v>76500</v>
      </c>
      <c r="BB55" s="88">
        <v>76500</v>
      </c>
      <c r="BC55" s="88">
        <v>76500</v>
      </c>
      <c r="BD55" s="88">
        <v>76500</v>
      </c>
      <c r="BE55" s="88">
        <v>76500</v>
      </c>
      <c r="BF55" s="88">
        <v>76500</v>
      </c>
      <c r="BG55" s="88">
        <v>76500</v>
      </c>
      <c r="BH55" s="88">
        <v>76500</v>
      </c>
      <c r="BI55" s="88">
        <v>76500</v>
      </c>
      <c r="BJ55" s="88">
        <v>76500</v>
      </c>
      <c r="BK55" s="88">
        <v>1102.153190313596</v>
      </c>
      <c r="BL55" s="88">
        <v>1100.8713136729309</v>
      </c>
      <c r="BM55" s="88">
        <v>1099.5924153818939</v>
      </c>
      <c r="BN55" s="88">
        <v>4202.2042164883624</v>
      </c>
      <c r="BO55" s="88">
        <v>4200.8356086350241</v>
      </c>
      <c r="BP55" s="88">
        <v>4199.4702766333075</v>
      </c>
      <c r="BQ55" s="88">
        <v>4198.10820873587</v>
      </c>
      <c r="BR55" s="88">
        <v>4196.7271446186542</v>
      </c>
      <c r="BS55" s="88">
        <v>4195.3716229424863</v>
      </c>
      <c r="BT55" s="88">
        <v>4194.019330274341</v>
      </c>
      <c r="BU55" s="88">
        <v>4192.6702550900927</v>
      </c>
      <c r="BV55" s="88">
        <v>4191.3243859204831</v>
      </c>
      <c r="BW55" s="88">
        <v>0</v>
      </c>
      <c r="BX55" s="88">
        <v>0</v>
      </c>
      <c r="BY55" s="88">
        <v>0</v>
      </c>
      <c r="BZ55" s="88">
        <v>3060.0000000000032</v>
      </c>
      <c r="CA55" s="88">
        <v>3060.0000000000032</v>
      </c>
      <c r="CB55" s="88">
        <v>3060.0000000000032</v>
      </c>
      <c r="CC55" s="88">
        <v>3060.0000000000032</v>
      </c>
      <c r="CD55" s="88">
        <v>3060.0000000000032</v>
      </c>
      <c r="CE55" s="88">
        <v>3060.0000000000032</v>
      </c>
      <c r="CF55" s="88">
        <v>3060.0000000000032</v>
      </c>
      <c r="CG55" s="88">
        <v>3060.0000000000032</v>
      </c>
      <c r="CH55" s="88">
        <v>3060.0000000000032</v>
      </c>
      <c r="CI55" s="88">
        <v>76500</v>
      </c>
      <c r="CJ55" s="88">
        <v>76500</v>
      </c>
      <c r="CK55" s="88">
        <v>76500</v>
      </c>
      <c r="CL55" s="88">
        <v>76500</v>
      </c>
      <c r="CM55" s="88">
        <v>76500</v>
      </c>
      <c r="CN55" s="88">
        <v>76500</v>
      </c>
      <c r="CO55" s="88">
        <v>76500</v>
      </c>
      <c r="CP55" s="88">
        <v>76500</v>
      </c>
      <c r="CQ55" s="88">
        <v>76500</v>
      </c>
      <c r="CR55" s="88">
        <v>76500</v>
      </c>
      <c r="CS55" s="88">
        <v>76500</v>
      </c>
      <c r="CT55" s="88">
        <v>76500</v>
      </c>
      <c r="CU55" s="88">
        <v>1102.153190313596</v>
      </c>
      <c r="CV55" s="88">
        <v>1100.8713136729309</v>
      </c>
      <c r="CW55" s="88">
        <v>1099.5924153818939</v>
      </c>
      <c r="CX55" s="88">
        <v>1098.2732850849609</v>
      </c>
      <c r="CY55" s="88">
        <v>1096.957315995211</v>
      </c>
      <c r="CZ55" s="88">
        <v>1095.644496762799</v>
      </c>
      <c r="DA55" s="88">
        <v>1094.3348160921851</v>
      </c>
      <c r="DB55" s="88">
        <v>1093.006869825623</v>
      </c>
      <c r="DC55" s="88">
        <v>1091.703483598546</v>
      </c>
      <c r="DD55" s="88">
        <v>1090.4032021868561</v>
      </c>
      <c r="DE55" s="88">
        <v>1089.1060145097031</v>
      </c>
      <c r="DF55" s="88">
        <v>1087.8119095389311</v>
      </c>
      <c r="DG55" s="93">
        <v>46478</v>
      </c>
      <c r="DH55" s="91">
        <v>0.04</v>
      </c>
      <c r="DI55" t="s">
        <v>302</v>
      </c>
      <c r="DJ55" s="93"/>
      <c r="DK55" s="91"/>
      <c r="DM55" s="93"/>
      <c r="DN55" s="91"/>
      <c r="DP55" s="93"/>
      <c r="DQ55" s="91"/>
    </row>
    <row r="56" spans="1:121" x14ac:dyDescent="0.3">
      <c r="A56" t="s">
        <v>22</v>
      </c>
      <c r="B56" t="s">
        <v>47</v>
      </c>
      <c r="C56" t="s">
        <v>82</v>
      </c>
      <c r="D56" t="s">
        <v>410</v>
      </c>
      <c r="E56" t="s">
        <v>411</v>
      </c>
      <c r="F56" s="86">
        <v>58500</v>
      </c>
      <c r="G56" s="87">
        <v>12</v>
      </c>
      <c r="H56" s="88">
        <v>1.06</v>
      </c>
      <c r="I56" s="88">
        <v>1.0525</v>
      </c>
      <c r="J56" s="89">
        <v>0.83900209700948214</v>
      </c>
      <c r="K56" s="88">
        <v>1.0071258907363421</v>
      </c>
      <c r="L56" s="88">
        <v>1.0131083140670549</v>
      </c>
      <c r="M56" s="88">
        <v>1</v>
      </c>
      <c r="N56" s="90">
        <v>0.64600000000000002</v>
      </c>
      <c r="O56" s="90">
        <v>0.65913163813829578</v>
      </c>
      <c r="P56" s="90">
        <v>0.65707612206837596</v>
      </c>
      <c r="Q56" s="91">
        <v>0</v>
      </c>
      <c r="R56" s="88">
        <v>0.99999999999999978</v>
      </c>
      <c r="S56" s="88">
        <v>1.017145699796248</v>
      </c>
      <c r="T56" s="91">
        <v>-7.0754716981130672E-3</v>
      </c>
      <c r="U56" s="91">
        <v>7.1258907363420656E-3</v>
      </c>
      <c r="V56" s="87">
        <v>0</v>
      </c>
      <c r="W56" s="91">
        <v>0</v>
      </c>
      <c r="X56" s="87">
        <v>1</v>
      </c>
      <c r="Y56" s="90">
        <v>0.65913163813829578</v>
      </c>
      <c r="Z56" s="90">
        <v>0.65707612206837596</v>
      </c>
      <c r="AA56" s="92">
        <v>0</v>
      </c>
      <c r="AB56" s="88">
        <v>0</v>
      </c>
      <c r="AC56" s="87">
        <v>1</v>
      </c>
      <c r="AD56" s="87">
        <v>0</v>
      </c>
      <c r="AE56" s="88">
        <v>1.03</v>
      </c>
      <c r="AF56" s="88">
        <v>0.99525154750742739</v>
      </c>
      <c r="AG56" s="88">
        <v>1.025109263428031</v>
      </c>
      <c r="AH56" s="88">
        <v>62010</v>
      </c>
      <c r="AI56" s="88">
        <v>61571.250000000007</v>
      </c>
      <c r="AJ56" s="88">
        <v>49081.622675054707</v>
      </c>
      <c r="AK56" s="88">
        <v>58916.864608076001</v>
      </c>
      <c r="AL56" s="88">
        <v>59266.836372922699</v>
      </c>
      <c r="AM56" s="88">
        <v>58500</v>
      </c>
      <c r="AN56" s="88">
        <v>37791</v>
      </c>
      <c r="AO56" s="88">
        <v>38559.200831090297</v>
      </c>
      <c r="AP56" s="88">
        <v>38438.953140999991</v>
      </c>
      <c r="AQ56" s="88">
        <v>0</v>
      </c>
      <c r="AR56" s="88">
        <v>58499.999999999993</v>
      </c>
      <c r="AS56" s="88">
        <v>59503.023438080498</v>
      </c>
      <c r="AT56" s="88">
        <v>38559.200831090297</v>
      </c>
      <c r="AU56" s="88">
        <v>38438.953140999991</v>
      </c>
      <c r="AV56" s="88">
        <v>49725</v>
      </c>
      <c r="AW56" s="88">
        <v>49140</v>
      </c>
      <c r="AX56" s="88">
        <v>48847.5</v>
      </c>
      <c r="AY56" s="88">
        <v>58500</v>
      </c>
      <c r="AZ56" s="88">
        <v>58500</v>
      </c>
      <c r="BA56" s="88">
        <v>58500</v>
      </c>
      <c r="BB56" s="88">
        <v>58500</v>
      </c>
      <c r="BC56" s="88">
        <v>58500</v>
      </c>
      <c r="BD56" s="88">
        <v>58500</v>
      </c>
      <c r="BE56" s="88">
        <v>58500</v>
      </c>
      <c r="BF56" s="88">
        <v>58500</v>
      </c>
      <c r="BG56" s="88">
        <v>58500</v>
      </c>
      <c r="BH56" s="88">
        <v>58500</v>
      </c>
      <c r="BI56" s="88">
        <v>58500</v>
      </c>
      <c r="BJ56" s="88">
        <v>58500</v>
      </c>
      <c r="BK56" s="88">
        <v>3216.1843224051881</v>
      </c>
      <c r="BL56" s="88">
        <v>3216.0717625058528</v>
      </c>
      <c r="BM56" s="88">
        <v>3215.9591163307409</v>
      </c>
      <c r="BN56" s="88">
        <v>3215.8425608234552</v>
      </c>
      <c r="BO56" s="88">
        <v>3215.725912876158</v>
      </c>
      <c r="BP56" s="88">
        <v>3215.6091723788172</v>
      </c>
      <c r="BQ56" s="88">
        <v>-277.83741582902252</v>
      </c>
      <c r="BR56" s="88">
        <v>-277.94953235747471</v>
      </c>
      <c r="BS56" s="88">
        <v>-278.05992889792287</v>
      </c>
      <c r="BT56" s="88">
        <v>-278.17041316823139</v>
      </c>
      <c r="BU56" s="88">
        <v>-278.28098527303172</v>
      </c>
      <c r="BV56" s="88">
        <v>-278.39164531711077</v>
      </c>
      <c r="BW56" s="88">
        <v>3510.0000000000032</v>
      </c>
      <c r="BX56" s="88">
        <v>3510.0000000000032</v>
      </c>
      <c r="BY56" s="88">
        <v>3510.0000000000032</v>
      </c>
      <c r="BZ56" s="88">
        <v>3510.0000000000032</v>
      </c>
      <c r="CA56" s="88">
        <v>3510.0000000000032</v>
      </c>
      <c r="CB56" s="88">
        <v>3510.0000000000032</v>
      </c>
      <c r="CC56" s="88">
        <v>0</v>
      </c>
      <c r="CD56" s="88">
        <v>0</v>
      </c>
      <c r="CE56" s="88">
        <v>0</v>
      </c>
      <c r="CF56" s="88">
        <v>0</v>
      </c>
      <c r="CG56" s="88">
        <v>0</v>
      </c>
      <c r="CH56" s="88">
        <v>0</v>
      </c>
      <c r="CI56" s="88">
        <v>58500</v>
      </c>
      <c r="CJ56" s="88">
        <v>58500</v>
      </c>
      <c r="CK56" s="88">
        <v>58500</v>
      </c>
      <c r="CL56" s="88">
        <v>58500</v>
      </c>
      <c r="CM56" s="88">
        <v>58500</v>
      </c>
      <c r="CN56" s="88">
        <v>58500</v>
      </c>
      <c r="CO56" s="88">
        <v>58500</v>
      </c>
      <c r="CP56" s="88">
        <v>58500</v>
      </c>
      <c r="CQ56" s="88">
        <v>58500</v>
      </c>
      <c r="CR56" s="88">
        <v>58500</v>
      </c>
      <c r="CS56" s="88">
        <v>58500</v>
      </c>
      <c r="CT56" s="88">
        <v>58500</v>
      </c>
      <c r="CU56" s="88">
        <v>-277.18460150454121</v>
      </c>
      <c r="CV56" s="88">
        <v>-277.29079008882587</v>
      </c>
      <c r="CW56" s="88">
        <v>-277.39706006534698</v>
      </c>
      <c r="CX56" s="88">
        <v>-277.50701809107869</v>
      </c>
      <c r="CY56" s="88">
        <v>-277.6170633243845</v>
      </c>
      <c r="CZ56" s="88">
        <v>-277.72719586904498</v>
      </c>
      <c r="DA56" s="88">
        <v>-277.83741582902252</v>
      </c>
      <c r="DB56" s="88">
        <v>-277.94953235747471</v>
      </c>
      <c r="DC56" s="88">
        <v>-278.05992889792287</v>
      </c>
      <c r="DD56" s="88">
        <v>-278.17041316823139</v>
      </c>
      <c r="DE56" s="88">
        <v>-278.28098527303172</v>
      </c>
      <c r="DF56" s="88">
        <v>-278.39164531711077</v>
      </c>
      <c r="DG56" s="93">
        <v>46204</v>
      </c>
      <c r="DH56" s="91">
        <v>0.06</v>
      </c>
      <c r="DI56" t="s">
        <v>301</v>
      </c>
      <c r="DJ56" s="93"/>
      <c r="DK56" s="91"/>
      <c r="DM56" s="93"/>
      <c r="DN56" s="91"/>
      <c r="DP56" s="93"/>
      <c r="DQ56" s="91"/>
    </row>
    <row r="57" spans="1:121" x14ac:dyDescent="0.3">
      <c r="A57" t="s">
        <v>22</v>
      </c>
      <c r="B57" t="s">
        <v>47</v>
      </c>
      <c r="C57" t="s">
        <v>85</v>
      </c>
      <c r="D57" t="s">
        <v>412</v>
      </c>
      <c r="E57" t="s">
        <v>413</v>
      </c>
      <c r="F57" s="86">
        <v>40500</v>
      </c>
      <c r="G57" s="87">
        <v>12</v>
      </c>
      <c r="H57" s="88">
        <v>1.02</v>
      </c>
      <c r="I57" s="88">
        <v>1.0165972222222219</v>
      </c>
      <c r="J57" s="89">
        <v>0.84199580598103541</v>
      </c>
      <c r="K57" s="88">
        <v>1.0033472231709819</v>
      </c>
      <c r="L57" s="88">
        <v>1.0095062160192581</v>
      </c>
      <c r="M57" s="88">
        <v>1</v>
      </c>
      <c r="N57" s="90">
        <v>0.63</v>
      </c>
      <c r="O57" s="90">
        <v>0.63811771292856334</v>
      </c>
      <c r="P57" s="90">
        <v>0.63099745377562688</v>
      </c>
      <c r="Q57" s="91">
        <v>0</v>
      </c>
      <c r="R57" s="88">
        <v>1</v>
      </c>
      <c r="S57" s="88">
        <v>1.0015832599613119</v>
      </c>
      <c r="T57" s="91">
        <v>-3.336056644880236E-3</v>
      </c>
      <c r="U57" s="91">
        <v>3.3472231709814611E-3</v>
      </c>
      <c r="V57" s="87">
        <v>0</v>
      </c>
      <c r="W57" s="91">
        <v>0</v>
      </c>
      <c r="X57" s="87">
        <v>1</v>
      </c>
      <c r="Y57" s="90">
        <v>0.63811771292856334</v>
      </c>
      <c r="Z57" s="90">
        <v>0.63099745377562688</v>
      </c>
      <c r="AA57" s="92">
        <v>0</v>
      </c>
      <c r="AB57" s="88">
        <v>0</v>
      </c>
      <c r="AC57" s="87">
        <v>1</v>
      </c>
      <c r="AD57" s="87">
        <v>0</v>
      </c>
      <c r="AE57" s="88">
        <v>1.011666666666666</v>
      </c>
      <c r="AF57" s="88">
        <v>1.009530917047716</v>
      </c>
      <c r="AG57" s="88">
        <v>1.021308999104988</v>
      </c>
      <c r="AH57" s="88">
        <v>41310</v>
      </c>
      <c r="AI57" s="88">
        <v>41172.1875</v>
      </c>
      <c r="AJ57" s="88">
        <v>34100.830142231927</v>
      </c>
      <c r="AK57" s="88">
        <v>40635.562538424761</v>
      </c>
      <c r="AL57" s="88">
        <v>40885.001748779927</v>
      </c>
      <c r="AM57" s="88">
        <v>40500</v>
      </c>
      <c r="AN57" s="88">
        <v>25515</v>
      </c>
      <c r="AO57" s="88">
        <v>25843.76737360681</v>
      </c>
      <c r="AP57" s="88">
        <v>25555.396877912892</v>
      </c>
      <c r="AQ57" s="88">
        <v>0</v>
      </c>
      <c r="AR57" s="88">
        <v>40500.000000000007</v>
      </c>
      <c r="AS57" s="88">
        <v>40564.12202843315</v>
      </c>
      <c r="AT57" s="88">
        <v>25843.76737360681</v>
      </c>
      <c r="AU57" s="88">
        <v>25555.396877912892</v>
      </c>
      <c r="AV57" s="88">
        <v>34425</v>
      </c>
      <c r="AW57" s="88">
        <v>34020</v>
      </c>
      <c r="AX57" s="88">
        <v>34425</v>
      </c>
      <c r="AY57" s="88">
        <v>40500</v>
      </c>
      <c r="AZ57" s="88">
        <v>40500</v>
      </c>
      <c r="BA57" s="88">
        <v>40500</v>
      </c>
      <c r="BB57" s="88">
        <v>40500</v>
      </c>
      <c r="BC57" s="88">
        <v>40500</v>
      </c>
      <c r="BD57" s="88">
        <v>40500</v>
      </c>
      <c r="BE57" s="88">
        <v>40500</v>
      </c>
      <c r="BF57" s="88">
        <v>40500</v>
      </c>
      <c r="BG57" s="88">
        <v>40500</v>
      </c>
      <c r="BH57" s="88">
        <v>40500</v>
      </c>
      <c r="BI57" s="88">
        <v>40500</v>
      </c>
      <c r="BJ57" s="88">
        <v>40500</v>
      </c>
      <c r="BK57" s="88">
        <v>1205.4354125962141</v>
      </c>
      <c r="BL57" s="88">
        <v>1205.1297169811271</v>
      </c>
      <c r="BM57" s="88">
        <v>1204.824493643544</v>
      </c>
      <c r="BN57" s="88">
        <v>1204.509419152276</v>
      </c>
      <c r="BO57" s="88">
        <v>1204.1948471261769</v>
      </c>
      <c r="BP57" s="88">
        <v>1203.8807763642551</v>
      </c>
      <c r="BQ57" s="88">
        <v>1203.567205669317</v>
      </c>
      <c r="BR57" s="88">
        <v>385.53824085545568</v>
      </c>
      <c r="BS57" s="88">
        <v>385.23180361191748</v>
      </c>
      <c r="BT57" s="88">
        <v>384.9258531123495</v>
      </c>
      <c r="BU57" s="88">
        <v>384.62038819794748</v>
      </c>
      <c r="BV57" s="88">
        <v>384.31540771361261</v>
      </c>
      <c r="BW57" s="88">
        <v>810.00000000000068</v>
      </c>
      <c r="BX57" s="88">
        <v>810.00000000000068</v>
      </c>
      <c r="BY57" s="88">
        <v>810.00000000000068</v>
      </c>
      <c r="BZ57" s="88">
        <v>810.00000000000068</v>
      </c>
      <c r="CA57" s="88">
        <v>810.00000000000068</v>
      </c>
      <c r="CB57" s="88">
        <v>810.00000000000068</v>
      </c>
      <c r="CC57" s="88">
        <v>810.00000000000068</v>
      </c>
      <c r="CD57" s="88">
        <v>0</v>
      </c>
      <c r="CE57" s="88">
        <v>0</v>
      </c>
      <c r="CF57" s="88">
        <v>0</v>
      </c>
      <c r="CG57" s="88">
        <v>0</v>
      </c>
      <c r="CH57" s="88">
        <v>0</v>
      </c>
      <c r="CI57" s="88">
        <v>40500</v>
      </c>
      <c r="CJ57" s="88">
        <v>40500</v>
      </c>
      <c r="CK57" s="88">
        <v>40500</v>
      </c>
      <c r="CL57" s="88">
        <v>40500</v>
      </c>
      <c r="CM57" s="88">
        <v>40500</v>
      </c>
      <c r="CN57" s="88">
        <v>40500</v>
      </c>
      <c r="CO57" s="88">
        <v>40500</v>
      </c>
      <c r="CP57" s="88">
        <v>40500</v>
      </c>
      <c r="CQ57" s="88">
        <v>40500</v>
      </c>
      <c r="CR57" s="88">
        <v>40500</v>
      </c>
      <c r="CS57" s="88">
        <v>40500</v>
      </c>
      <c r="CT57" s="88">
        <v>40500</v>
      </c>
      <c r="CU57" s="88">
        <v>387.68177705511488</v>
      </c>
      <c r="CV57" s="88">
        <v>387.38207547169333</v>
      </c>
      <c r="CW57" s="88">
        <v>387.08283690543237</v>
      </c>
      <c r="CX57" s="88">
        <v>386.77394034536883</v>
      </c>
      <c r="CY57" s="88">
        <v>386.46553639821468</v>
      </c>
      <c r="CZ57" s="88">
        <v>386.15762388652388</v>
      </c>
      <c r="DA57" s="88">
        <v>385.85020163658231</v>
      </c>
      <c r="DB57" s="88">
        <v>385.53824085545568</v>
      </c>
      <c r="DC57" s="88">
        <v>385.23180361191748</v>
      </c>
      <c r="DD57" s="88">
        <v>384.9258531123495</v>
      </c>
      <c r="DE57" s="88">
        <v>384.62038819794748</v>
      </c>
      <c r="DF57" s="88">
        <v>384.31540771361261</v>
      </c>
      <c r="DG57" s="93">
        <v>46235</v>
      </c>
      <c r="DH57" s="91">
        <v>0.02</v>
      </c>
      <c r="DI57" t="s">
        <v>301</v>
      </c>
      <c r="DJ57" s="93"/>
      <c r="DK57" s="91"/>
      <c r="DM57" s="93"/>
      <c r="DN57" s="91"/>
      <c r="DP57" s="93"/>
      <c r="DQ57" s="91"/>
    </row>
    <row r="58" spans="1:121" x14ac:dyDescent="0.3">
      <c r="A58" t="s">
        <v>22</v>
      </c>
      <c r="B58" t="s">
        <v>47</v>
      </c>
      <c r="C58" t="s">
        <v>87</v>
      </c>
      <c r="D58" t="s">
        <v>414</v>
      </c>
      <c r="E58" t="s">
        <v>415</v>
      </c>
      <c r="F58" s="86">
        <v>99000</v>
      </c>
      <c r="G58" s="87">
        <v>12</v>
      </c>
      <c r="H58" s="88">
        <v>1</v>
      </c>
      <c r="I58" s="88">
        <v>1</v>
      </c>
      <c r="J58" s="89">
        <v>0.8380041940189642</v>
      </c>
      <c r="K58" s="88">
        <v>1</v>
      </c>
      <c r="L58" s="88">
        <v>1.0143147326309969</v>
      </c>
      <c r="M58" s="88">
        <v>1</v>
      </c>
      <c r="N58" s="90">
        <v>0.65800000000000003</v>
      </c>
      <c r="O58" s="90">
        <v>0.66741909407119615</v>
      </c>
      <c r="P58" s="90">
        <v>0.67276631545276433</v>
      </c>
      <c r="Q58" s="91">
        <v>0</v>
      </c>
      <c r="R58" s="88">
        <v>1</v>
      </c>
      <c r="S58" s="88">
        <v>1.022441208894779</v>
      </c>
      <c r="T58" s="91">
        <v>0</v>
      </c>
      <c r="U58" s="91">
        <v>0</v>
      </c>
      <c r="V58" s="87">
        <v>0</v>
      </c>
      <c r="W58" s="91">
        <v>0</v>
      </c>
      <c r="X58" s="87">
        <v>1</v>
      </c>
      <c r="Y58" s="90">
        <v>0.66741909407119615</v>
      </c>
      <c r="Z58" s="90">
        <v>0.67276631545276433</v>
      </c>
      <c r="AA58" s="92">
        <v>0</v>
      </c>
      <c r="AB58" s="88">
        <v>0</v>
      </c>
      <c r="AC58" s="87">
        <v>0</v>
      </c>
      <c r="AD58" s="87">
        <v>0</v>
      </c>
      <c r="AE58" s="88">
        <v>1</v>
      </c>
      <c r="AF58" s="88">
        <v>0.99051430760215442</v>
      </c>
      <c r="AG58" s="88">
        <v>0.99051430760215442</v>
      </c>
      <c r="AH58" s="88">
        <v>99000</v>
      </c>
      <c r="AI58" s="88">
        <v>99000</v>
      </c>
      <c r="AJ58" s="88">
        <v>82962.41520787745</v>
      </c>
      <c r="AK58" s="88">
        <v>99000</v>
      </c>
      <c r="AL58" s="88">
        <v>100417.1585304687</v>
      </c>
      <c r="AM58" s="88">
        <v>99000</v>
      </c>
      <c r="AN58" s="88">
        <v>65142</v>
      </c>
      <c r="AO58" s="88">
        <v>66074.490313048416</v>
      </c>
      <c r="AP58" s="88">
        <v>66603.86522982367</v>
      </c>
      <c r="AQ58" s="88">
        <v>0</v>
      </c>
      <c r="AR58" s="88">
        <v>99000</v>
      </c>
      <c r="AS58" s="88">
        <v>101221.6796805831</v>
      </c>
      <c r="AT58" s="88">
        <v>66074.490313048416</v>
      </c>
      <c r="AU58" s="88">
        <v>66603.86522982367</v>
      </c>
      <c r="AV58" s="88">
        <v>84150</v>
      </c>
      <c r="AW58" s="88">
        <v>83160</v>
      </c>
      <c r="AX58" s="88">
        <v>82170</v>
      </c>
      <c r="AY58" s="88">
        <v>99000</v>
      </c>
      <c r="AZ58" s="88">
        <v>99000</v>
      </c>
      <c r="BA58" s="88">
        <v>99000</v>
      </c>
      <c r="BB58" s="88">
        <v>99000</v>
      </c>
      <c r="BC58" s="88">
        <v>99000</v>
      </c>
      <c r="BD58" s="88">
        <v>99000</v>
      </c>
      <c r="BE58" s="88">
        <v>99000</v>
      </c>
      <c r="BF58" s="88">
        <v>99000</v>
      </c>
      <c r="BG58" s="88">
        <v>99000</v>
      </c>
      <c r="BH58" s="88">
        <v>99000</v>
      </c>
      <c r="BI58" s="88">
        <v>99000</v>
      </c>
      <c r="BJ58" s="88">
        <v>99000</v>
      </c>
      <c r="BK58" s="88">
        <v>-935.03771461101553</v>
      </c>
      <c r="BL58" s="88">
        <v>-935.75201988812398</v>
      </c>
      <c r="BM58" s="88">
        <v>-936.4674173609942</v>
      </c>
      <c r="BN58" s="88">
        <v>-937.20821661997309</v>
      </c>
      <c r="BO58" s="88">
        <v>-937.95018883596651</v>
      </c>
      <c r="BP58" s="88">
        <v>-938.69333679698218</v>
      </c>
      <c r="BQ58" s="88">
        <v>-939.4376632999199</v>
      </c>
      <c r="BR58" s="88">
        <v>-940.19540244839891</v>
      </c>
      <c r="BS58" s="88">
        <v>-940.94211389734335</v>
      </c>
      <c r="BT58" s="88">
        <v>-941.69001237866519</v>
      </c>
      <c r="BU58" s="88">
        <v>-942.4391007250515</v>
      </c>
      <c r="BV58" s="88">
        <v>-943.18938177832308</v>
      </c>
      <c r="BW58" s="88">
        <v>0</v>
      </c>
      <c r="BX58" s="88">
        <v>0</v>
      </c>
      <c r="BY58" s="88">
        <v>0</v>
      </c>
      <c r="BZ58" s="88">
        <v>0</v>
      </c>
      <c r="CA58" s="88">
        <v>0</v>
      </c>
      <c r="CB58" s="88">
        <v>0</v>
      </c>
      <c r="CC58" s="88">
        <v>0</v>
      </c>
      <c r="CD58" s="88">
        <v>0</v>
      </c>
      <c r="CE58" s="88">
        <v>0</v>
      </c>
      <c r="CF58" s="88">
        <v>0</v>
      </c>
      <c r="CG58" s="88">
        <v>0</v>
      </c>
      <c r="CH58" s="88">
        <v>0</v>
      </c>
      <c r="CI58" s="88">
        <v>99000</v>
      </c>
      <c r="CJ58" s="88">
        <v>99000</v>
      </c>
      <c r="CK58" s="88">
        <v>99000</v>
      </c>
      <c r="CL58" s="88">
        <v>99000</v>
      </c>
      <c r="CM58" s="88">
        <v>99000</v>
      </c>
      <c r="CN58" s="88">
        <v>99000</v>
      </c>
      <c r="CO58" s="88">
        <v>99000</v>
      </c>
      <c r="CP58" s="88">
        <v>99000</v>
      </c>
      <c r="CQ58" s="88">
        <v>99000</v>
      </c>
      <c r="CR58" s="88">
        <v>99000</v>
      </c>
      <c r="CS58" s="88">
        <v>99000</v>
      </c>
      <c r="CT58" s="88">
        <v>99000</v>
      </c>
      <c r="CU58" s="88">
        <v>-935.03771461101553</v>
      </c>
      <c r="CV58" s="88">
        <v>-935.75201988812398</v>
      </c>
      <c r="CW58" s="88">
        <v>-936.4674173609942</v>
      </c>
      <c r="CX58" s="88">
        <v>-937.20821661997309</v>
      </c>
      <c r="CY58" s="88">
        <v>-937.95018883596651</v>
      </c>
      <c r="CZ58" s="88">
        <v>-938.69333679698218</v>
      </c>
      <c r="DA58" s="88">
        <v>-939.4376632999199</v>
      </c>
      <c r="DB58" s="88">
        <v>-940.19540244839891</v>
      </c>
      <c r="DC58" s="88">
        <v>-940.94211389734335</v>
      </c>
      <c r="DD58" s="88">
        <v>-941.69001237866519</v>
      </c>
      <c r="DE58" s="88">
        <v>-942.4391007250515</v>
      </c>
      <c r="DF58" s="88">
        <v>-943.18938177832308</v>
      </c>
      <c r="DG58" s="93"/>
      <c r="DH58" s="91"/>
      <c r="DJ58" s="93"/>
      <c r="DK58" s="91"/>
      <c r="DM58" s="93"/>
      <c r="DN58" s="91"/>
      <c r="DP58" s="93"/>
      <c r="DQ58" s="91"/>
    </row>
    <row r="59" spans="1:121" x14ac:dyDescent="0.3">
      <c r="A59" t="s">
        <v>22</v>
      </c>
      <c r="B59" t="s">
        <v>47</v>
      </c>
      <c r="C59" t="s">
        <v>89</v>
      </c>
      <c r="D59" t="s">
        <v>416</v>
      </c>
      <c r="E59" t="s">
        <v>417</v>
      </c>
      <c r="F59" s="86">
        <v>81000</v>
      </c>
      <c r="G59" s="87">
        <v>12</v>
      </c>
      <c r="H59" s="88">
        <v>1.04</v>
      </c>
      <c r="I59" s="88">
        <v>1.0323611111111111</v>
      </c>
      <c r="J59" s="89">
        <v>0.84099790299051769</v>
      </c>
      <c r="K59" s="88">
        <v>1.0073994349522399</v>
      </c>
      <c r="L59" s="88">
        <v>1.0107040659405591</v>
      </c>
      <c r="M59" s="88">
        <v>1</v>
      </c>
      <c r="N59" s="90">
        <v>0.64200000000000002</v>
      </c>
      <c r="O59" s="90">
        <v>0.65367329656663331</v>
      </c>
      <c r="P59" s="90">
        <v>0.62554795413772502</v>
      </c>
      <c r="Q59" s="91">
        <v>0</v>
      </c>
      <c r="R59" s="88">
        <v>0.96787202580992038</v>
      </c>
      <c r="S59" s="88">
        <v>1.006717555994838</v>
      </c>
      <c r="T59" s="91">
        <v>-7.3450854700855004E-3</v>
      </c>
      <c r="U59" s="91">
        <v>4.0839499529127243E-2</v>
      </c>
      <c r="V59" s="87">
        <v>0</v>
      </c>
      <c r="W59" s="91">
        <v>0</v>
      </c>
      <c r="X59" s="87">
        <v>1</v>
      </c>
      <c r="Y59" s="90">
        <v>0.65367329656663331</v>
      </c>
      <c r="Z59" s="90">
        <v>0.62554795413772502</v>
      </c>
      <c r="AA59" s="92">
        <v>0</v>
      </c>
      <c r="AB59" s="88">
        <v>0</v>
      </c>
      <c r="AC59" s="87">
        <v>1</v>
      </c>
      <c r="AD59" s="87">
        <v>1</v>
      </c>
      <c r="AE59" s="88">
        <v>1.046933333333333</v>
      </c>
      <c r="AF59" s="88">
        <v>1.00475975841704</v>
      </c>
      <c r="AG59" s="88">
        <v>1.0519164567699091</v>
      </c>
      <c r="AH59" s="88">
        <v>84240</v>
      </c>
      <c r="AI59" s="88">
        <v>83621.25</v>
      </c>
      <c r="AJ59" s="88">
        <v>68120.830142231935</v>
      </c>
      <c r="AK59" s="88">
        <v>81599.354231131452</v>
      </c>
      <c r="AL59" s="88">
        <v>81867.029341185262</v>
      </c>
      <c r="AM59" s="88">
        <v>81000</v>
      </c>
      <c r="AN59" s="88">
        <v>52002</v>
      </c>
      <c r="AO59" s="88">
        <v>52947.537021897297</v>
      </c>
      <c r="AP59" s="88">
        <v>50669.384285155727</v>
      </c>
      <c r="AQ59" s="88">
        <v>0</v>
      </c>
      <c r="AR59" s="88">
        <v>78397.634090603548</v>
      </c>
      <c r="AS59" s="88">
        <v>81544.122035581851</v>
      </c>
      <c r="AT59" s="88">
        <v>52947.537021897297</v>
      </c>
      <c r="AU59" s="88">
        <v>50669.384285155727</v>
      </c>
      <c r="AV59" s="88">
        <v>68850</v>
      </c>
      <c r="AW59" s="88">
        <v>68040</v>
      </c>
      <c r="AX59" s="88">
        <v>68445</v>
      </c>
      <c r="AY59" s="88">
        <v>81000</v>
      </c>
      <c r="AZ59" s="88">
        <v>81000</v>
      </c>
      <c r="BA59" s="88">
        <v>81000</v>
      </c>
      <c r="BB59" s="88">
        <v>81000</v>
      </c>
      <c r="BC59" s="88">
        <v>81000</v>
      </c>
      <c r="BD59" s="88">
        <v>81000</v>
      </c>
      <c r="BE59" s="88">
        <v>81000</v>
      </c>
      <c r="BF59" s="88">
        <v>81000</v>
      </c>
      <c r="BG59" s="88">
        <v>81000</v>
      </c>
      <c r="BH59" s="88">
        <v>81000</v>
      </c>
      <c r="BI59" s="88">
        <v>81000</v>
      </c>
      <c r="BJ59" s="88">
        <v>81000</v>
      </c>
      <c r="BK59" s="88">
        <v>3641.8322366486482</v>
      </c>
      <c r="BL59" s="88">
        <v>3641.677378899522</v>
      </c>
      <c r="BM59" s="88">
        <v>3641.5226404622758</v>
      </c>
      <c r="BN59" s="88">
        <v>3641.3627819548769</v>
      </c>
      <c r="BO59" s="88">
        <v>3641.2030506860128</v>
      </c>
      <c r="BP59" s="88">
        <v>3641.043446503797</v>
      </c>
      <c r="BQ59" s="88">
        <v>3640.8839692566439</v>
      </c>
      <c r="BR59" s="88">
        <v>7026.3508878477414</v>
      </c>
      <c r="BS59" s="88">
        <v>7026.18529722127</v>
      </c>
      <c r="BT59" s="88">
        <v>3640.403690512625</v>
      </c>
      <c r="BU59" s="88">
        <v>3640.24472156413</v>
      </c>
      <c r="BV59" s="88">
        <v>3640.0858787937941</v>
      </c>
      <c r="BW59" s="88">
        <v>3240.0000000000032</v>
      </c>
      <c r="BX59" s="88">
        <v>3240.0000000000032</v>
      </c>
      <c r="BY59" s="88">
        <v>3240.0000000000032</v>
      </c>
      <c r="BZ59" s="88">
        <v>3240.0000000000032</v>
      </c>
      <c r="CA59" s="88">
        <v>3240.0000000000032</v>
      </c>
      <c r="CB59" s="88">
        <v>3240.0000000000032</v>
      </c>
      <c r="CC59" s="88">
        <v>3240.0000000000032</v>
      </c>
      <c r="CD59" s="88">
        <v>6609.6000000000085</v>
      </c>
      <c r="CE59" s="88">
        <v>6609.6000000000085</v>
      </c>
      <c r="CF59" s="88">
        <v>3240.0000000000032</v>
      </c>
      <c r="CG59" s="88">
        <v>3240.0000000000032</v>
      </c>
      <c r="CH59" s="88">
        <v>3240.0000000000032</v>
      </c>
      <c r="CI59" s="88">
        <v>81000</v>
      </c>
      <c r="CJ59" s="88">
        <v>81000</v>
      </c>
      <c r="CK59" s="88">
        <v>81000</v>
      </c>
      <c r="CL59" s="88">
        <v>81000</v>
      </c>
      <c r="CM59" s="88">
        <v>81000</v>
      </c>
      <c r="CN59" s="88">
        <v>81000</v>
      </c>
      <c r="CO59" s="88">
        <v>81000</v>
      </c>
      <c r="CP59" s="88">
        <v>81000</v>
      </c>
      <c r="CQ59" s="88">
        <v>81000</v>
      </c>
      <c r="CR59" s="88">
        <v>81000</v>
      </c>
      <c r="CS59" s="88">
        <v>81000</v>
      </c>
      <c r="CT59" s="88">
        <v>81000</v>
      </c>
      <c r="CU59" s="88">
        <v>386.37715062369841</v>
      </c>
      <c r="CV59" s="88">
        <v>386.22824894184578</v>
      </c>
      <c r="CW59" s="88">
        <v>386.07946198295241</v>
      </c>
      <c r="CX59" s="88">
        <v>385.92575187969481</v>
      </c>
      <c r="CY59" s="88">
        <v>385.77216412115962</v>
      </c>
      <c r="CZ59" s="88">
        <v>385.61869856133939</v>
      </c>
      <c r="DA59" s="88">
        <v>385.4653550544611</v>
      </c>
      <c r="DB59" s="88">
        <v>385.30962264028079</v>
      </c>
      <c r="DC59" s="88">
        <v>385.1565247977573</v>
      </c>
      <c r="DD59" s="88">
        <v>385.00354856983017</v>
      </c>
      <c r="DE59" s="88">
        <v>384.85069381166142</v>
      </c>
      <c r="DF59" s="88">
        <v>384.69796037864643</v>
      </c>
      <c r="DG59" s="93">
        <v>46296</v>
      </c>
      <c r="DH59" s="91">
        <v>0.04</v>
      </c>
      <c r="DI59" t="s">
        <v>301</v>
      </c>
      <c r="DJ59" s="93">
        <v>46600</v>
      </c>
      <c r="DK59" s="91">
        <v>0.04</v>
      </c>
      <c r="DL59" t="s">
        <v>302</v>
      </c>
      <c r="DM59" s="93"/>
      <c r="DN59" s="91"/>
      <c r="DP59" s="93"/>
      <c r="DQ59" s="91"/>
    </row>
    <row r="60" spans="1:121" x14ac:dyDescent="0.3">
      <c r="A60" t="s">
        <v>22</v>
      </c>
      <c r="B60" t="s">
        <v>47</v>
      </c>
      <c r="C60" t="s">
        <v>91</v>
      </c>
      <c r="D60" t="s">
        <v>418</v>
      </c>
      <c r="E60" t="s">
        <v>419</v>
      </c>
      <c r="F60" s="86">
        <v>63000</v>
      </c>
      <c r="G60" s="87">
        <v>12</v>
      </c>
      <c r="H60" s="88">
        <v>1.05</v>
      </c>
      <c r="I60" s="88">
        <v>1.0326388888888891</v>
      </c>
      <c r="J60" s="89">
        <v>0.84399161196207151</v>
      </c>
      <c r="K60" s="88">
        <v>1.0168123739071959</v>
      </c>
      <c r="L60" s="88">
        <v>1.0071190139247479</v>
      </c>
      <c r="M60" s="88">
        <v>1</v>
      </c>
      <c r="N60" s="90">
        <v>0.67</v>
      </c>
      <c r="O60" s="90">
        <v>0.68611422048845094</v>
      </c>
      <c r="P60" s="90">
        <v>0.66428502871466544</v>
      </c>
      <c r="Q60" s="91">
        <v>0</v>
      </c>
      <c r="R60" s="88">
        <v>1</v>
      </c>
      <c r="S60" s="88">
        <v>0.99147019211144083</v>
      </c>
      <c r="T60" s="91">
        <v>-1.653439153439162E-2</v>
      </c>
      <c r="U60" s="91">
        <v>1.6812373907195699E-2</v>
      </c>
      <c r="V60" s="87">
        <v>0</v>
      </c>
      <c r="W60" s="91">
        <v>0</v>
      </c>
      <c r="X60" s="87">
        <v>1</v>
      </c>
      <c r="Y60" s="90">
        <v>0.68611422048845094</v>
      </c>
      <c r="Z60" s="90">
        <v>0.66428502871466544</v>
      </c>
      <c r="AA60" s="92">
        <v>0</v>
      </c>
      <c r="AB60" s="88">
        <v>0</v>
      </c>
      <c r="AC60" s="87">
        <v>1</v>
      </c>
      <c r="AD60" s="87">
        <v>0</v>
      </c>
      <c r="AE60" s="88">
        <v>1.041666666666667</v>
      </c>
      <c r="AF60" s="88">
        <v>1.0191078169498311</v>
      </c>
      <c r="AG60" s="88">
        <v>1.061571908788417</v>
      </c>
      <c r="AH60" s="88">
        <v>66150</v>
      </c>
      <c r="AI60" s="88">
        <v>65056.25</v>
      </c>
      <c r="AJ60" s="88">
        <v>53171.471553610507</v>
      </c>
      <c r="AK60" s="88">
        <v>64059.179556153329</v>
      </c>
      <c r="AL60" s="88">
        <v>63448.49787725912</v>
      </c>
      <c r="AM60" s="88">
        <v>63000</v>
      </c>
      <c r="AN60" s="88">
        <v>42210</v>
      </c>
      <c r="AO60" s="88">
        <v>43225.195890772411</v>
      </c>
      <c r="AP60" s="88">
        <v>41849.956809023919</v>
      </c>
      <c r="AQ60" s="88">
        <v>0</v>
      </c>
      <c r="AR60" s="88">
        <v>63000</v>
      </c>
      <c r="AS60" s="88">
        <v>62462.622103020767</v>
      </c>
      <c r="AT60" s="88">
        <v>43225.195890772411</v>
      </c>
      <c r="AU60" s="88">
        <v>41849.956809023919</v>
      </c>
      <c r="AV60" s="88">
        <v>53550</v>
      </c>
      <c r="AW60" s="88">
        <v>52920</v>
      </c>
      <c r="AX60" s="88">
        <v>54180</v>
      </c>
      <c r="AY60" s="88">
        <v>63000</v>
      </c>
      <c r="AZ60" s="88">
        <v>63000</v>
      </c>
      <c r="BA60" s="88">
        <v>63000</v>
      </c>
      <c r="BB60" s="88">
        <v>63000</v>
      </c>
      <c r="BC60" s="88">
        <v>63000</v>
      </c>
      <c r="BD60" s="88">
        <v>63000</v>
      </c>
      <c r="BE60" s="88">
        <v>63000</v>
      </c>
      <c r="BF60" s="88">
        <v>63000</v>
      </c>
      <c r="BG60" s="88">
        <v>63000</v>
      </c>
      <c r="BH60" s="88">
        <v>63000</v>
      </c>
      <c r="BI60" s="88">
        <v>63000</v>
      </c>
      <c r="BJ60" s="88">
        <v>63000</v>
      </c>
      <c r="BK60" s="88">
        <v>4425.0376257492189</v>
      </c>
      <c r="BL60" s="88">
        <v>4423.0544131603983</v>
      </c>
      <c r="BM60" s="88">
        <v>4421.0773604274718</v>
      </c>
      <c r="BN60" s="88">
        <v>4419.0397350993417</v>
      </c>
      <c r="BO60" s="88">
        <v>4417.0086322252328</v>
      </c>
      <c r="BP60" s="88">
        <v>4414.9840205375376</v>
      </c>
      <c r="BQ60" s="88">
        <v>4412.9658689682292</v>
      </c>
      <c r="BR60" s="88">
        <v>4410.9212209833686</v>
      </c>
      <c r="BS60" s="88">
        <v>4408.9160018770663</v>
      </c>
      <c r="BT60" s="88">
        <v>4406.9171503682928</v>
      </c>
      <c r="BU60" s="88">
        <v>1195.1663201663159</v>
      </c>
      <c r="BV60" s="88">
        <v>1193.2746944812029</v>
      </c>
      <c r="BW60" s="88">
        <v>3150.0000000000032</v>
      </c>
      <c r="BX60" s="88">
        <v>3150.0000000000032</v>
      </c>
      <c r="BY60" s="88">
        <v>3150.0000000000032</v>
      </c>
      <c r="BZ60" s="88">
        <v>3150.0000000000032</v>
      </c>
      <c r="CA60" s="88">
        <v>3150.0000000000032</v>
      </c>
      <c r="CB60" s="88">
        <v>3150.0000000000032</v>
      </c>
      <c r="CC60" s="88">
        <v>3150.0000000000032</v>
      </c>
      <c r="CD60" s="88">
        <v>3150.0000000000032</v>
      </c>
      <c r="CE60" s="88">
        <v>3150.0000000000032</v>
      </c>
      <c r="CF60" s="88">
        <v>3150.0000000000032</v>
      </c>
      <c r="CG60" s="88">
        <v>0</v>
      </c>
      <c r="CH60" s="88">
        <v>0</v>
      </c>
      <c r="CI60" s="88">
        <v>63000</v>
      </c>
      <c r="CJ60" s="88">
        <v>63000</v>
      </c>
      <c r="CK60" s="88">
        <v>63000</v>
      </c>
      <c r="CL60" s="88">
        <v>63000</v>
      </c>
      <c r="CM60" s="88">
        <v>63000</v>
      </c>
      <c r="CN60" s="88">
        <v>63000</v>
      </c>
      <c r="CO60" s="88">
        <v>63000</v>
      </c>
      <c r="CP60" s="88">
        <v>63000</v>
      </c>
      <c r="CQ60" s="88">
        <v>63000</v>
      </c>
      <c r="CR60" s="88">
        <v>63000</v>
      </c>
      <c r="CS60" s="88">
        <v>63000</v>
      </c>
      <c r="CT60" s="88">
        <v>63000</v>
      </c>
      <c r="CU60" s="88">
        <v>1214.3215483325839</v>
      </c>
      <c r="CV60" s="88">
        <v>1212.4327744384741</v>
      </c>
      <c r="CW60" s="88">
        <v>1210.5498670737809</v>
      </c>
      <c r="CX60" s="88">
        <v>1208.609271523183</v>
      </c>
      <c r="CY60" s="88">
        <v>1206.674887833545</v>
      </c>
      <c r="CZ60" s="88">
        <v>1204.746686226229</v>
      </c>
      <c r="DA60" s="88">
        <v>1202.824637112594</v>
      </c>
      <c r="DB60" s="88">
        <v>1200.877353317494</v>
      </c>
      <c r="DC60" s="88">
        <v>1198.967620835296</v>
      </c>
      <c r="DD60" s="88">
        <v>1197.0639527317101</v>
      </c>
      <c r="DE60" s="88">
        <v>1195.1663201663159</v>
      </c>
      <c r="DF60" s="88">
        <v>1193.2746944812029</v>
      </c>
      <c r="DG60" s="93">
        <v>46327</v>
      </c>
      <c r="DH60" s="91">
        <v>0.05</v>
      </c>
      <c r="DI60" t="s">
        <v>301</v>
      </c>
      <c r="DJ60" s="93"/>
      <c r="DK60" s="91"/>
      <c r="DM60" s="93"/>
      <c r="DN60" s="91"/>
      <c r="DP60" s="93"/>
      <c r="DQ60" s="91"/>
    </row>
    <row r="61" spans="1:121" x14ac:dyDescent="0.3">
      <c r="A61" t="s">
        <v>22</v>
      </c>
      <c r="B61" t="s">
        <v>47</v>
      </c>
      <c r="C61" t="s">
        <v>92</v>
      </c>
      <c r="D61" t="s">
        <v>420</v>
      </c>
      <c r="E61" t="s">
        <v>421</v>
      </c>
      <c r="F61" s="86">
        <v>45000</v>
      </c>
      <c r="G61" s="87">
        <v>12</v>
      </c>
      <c r="H61" s="88">
        <v>1</v>
      </c>
      <c r="I61" s="88">
        <v>1</v>
      </c>
      <c r="J61" s="89">
        <v>0.84</v>
      </c>
      <c r="K61" s="88">
        <v>1</v>
      </c>
      <c r="L61" s="88">
        <v>1.0119047619047621</v>
      </c>
      <c r="M61" s="88">
        <v>1</v>
      </c>
      <c r="N61" s="90">
        <v>0.65400000000000003</v>
      </c>
      <c r="O61" s="90">
        <v>0.66178571428571431</v>
      </c>
      <c r="P61" s="90">
        <v>0.66178571428571431</v>
      </c>
      <c r="Q61" s="91">
        <v>0</v>
      </c>
      <c r="R61" s="88">
        <v>1</v>
      </c>
      <c r="S61" s="88">
        <v>1.0119047619047621</v>
      </c>
      <c r="T61" s="91">
        <v>0</v>
      </c>
      <c r="U61" s="91">
        <v>0</v>
      </c>
      <c r="V61" s="87">
        <v>0</v>
      </c>
      <c r="W61" s="91">
        <v>0</v>
      </c>
      <c r="X61" s="87">
        <v>1</v>
      </c>
      <c r="Y61" s="90">
        <v>0.66178571428571431</v>
      </c>
      <c r="Z61" s="90">
        <v>0.66178571428571431</v>
      </c>
      <c r="AA61" s="92">
        <v>0</v>
      </c>
      <c r="AB61" s="88">
        <v>0</v>
      </c>
      <c r="AC61" s="87">
        <v>0</v>
      </c>
      <c r="AD61" s="87">
        <v>0</v>
      </c>
      <c r="AE61" s="88">
        <v>1</v>
      </c>
      <c r="AF61" s="88">
        <v>1</v>
      </c>
      <c r="AG61" s="88">
        <v>1</v>
      </c>
      <c r="AH61" s="88">
        <v>45000</v>
      </c>
      <c r="AI61" s="88">
        <v>45000</v>
      </c>
      <c r="AJ61" s="88">
        <v>37800</v>
      </c>
      <c r="AK61" s="88">
        <v>45000</v>
      </c>
      <c r="AL61" s="88">
        <v>45535.714285714283</v>
      </c>
      <c r="AM61" s="88">
        <v>45000</v>
      </c>
      <c r="AN61" s="88">
        <v>29430</v>
      </c>
      <c r="AO61" s="88">
        <v>29780.357142857141</v>
      </c>
      <c r="AP61" s="88">
        <v>29780.357142857141</v>
      </c>
      <c r="AQ61" s="88">
        <v>0</v>
      </c>
      <c r="AR61" s="88">
        <v>45000</v>
      </c>
      <c r="AS61" s="88">
        <v>45535.714285714283</v>
      </c>
      <c r="AT61" s="88">
        <v>29780.357142857141</v>
      </c>
      <c r="AU61" s="88">
        <v>29780.357142857141</v>
      </c>
      <c r="AV61" s="88">
        <v>38250</v>
      </c>
      <c r="AW61" s="88">
        <v>37800</v>
      </c>
      <c r="AX61" s="88">
        <v>37800</v>
      </c>
      <c r="AY61" s="88">
        <v>45000</v>
      </c>
      <c r="AZ61" s="88">
        <v>45000</v>
      </c>
      <c r="BA61" s="88">
        <v>45000</v>
      </c>
      <c r="BB61" s="88">
        <v>45000</v>
      </c>
      <c r="BC61" s="88">
        <v>45000</v>
      </c>
      <c r="BD61" s="88">
        <v>45000</v>
      </c>
      <c r="BE61" s="88">
        <v>45000</v>
      </c>
      <c r="BF61" s="88">
        <v>45000</v>
      </c>
      <c r="BG61" s="88">
        <v>45000</v>
      </c>
      <c r="BH61" s="88">
        <v>45000</v>
      </c>
      <c r="BI61" s="88">
        <v>45000</v>
      </c>
      <c r="BJ61" s="88">
        <v>45000</v>
      </c>
      <c r="BK61" s="88">
        <v>0</v>
      </c>
      <c r="BL61" s="88">
        <v>0</v>
      </c>
      <c r="BM61" s="88">
        <v>0</v>
      </c>
      <c r="BN61" s="88">
        <v>0</v>
      </c>
      <c r="BO61" s="88">
        <v>0</v>
      </c>
      <c r="BP61" s="88">
        <v>0</v>
      </c>
      <c r="BQ61" s="88">
        <v>0</v>
      </c>
      <c r="BR61" s="88">
        <v>0</v>
      </c>
      <c r="BS61" s="88">
        <v>0</v>
      </c>
      <c r="BT61" s="88">
        <v>0</v>
      </c>
      <c r="BU61" s="88">
        <v>0</v>
      </c>
      <c r="BV61" s="88">
        <v>0</v>
      </c>
      <c r="BW61" s="88">
        <v>0</v>
      </c>
      <c r="BX61" s="88">
        <v>0</v>
      </c>
      <c r="BY61" s="88">
        <v>0</v>
      </c>
      <c r="BZ61" s="88">
        <v>0</v>
      </c>
      <c r="CA61" s="88">
        <v>0</v>
      </c>
      <c r="CB61" s="88">
        <v>0</v>
      </c>
      <c r="CC61" s="88">
        <v>0</v>
      </c>
      <c r="CD61" s="88">
        <v>0</v>
      </c>
      <c r="CE61" s="88">
        <v>0</v>
      </c>
      <c r="CF61" s="88">
        <v>0</v>
      </c>
      <c r="CG61" s="88">
        <v>0</v>
      </c>
      <c r="CH61" s="88">
        <v>0</v>
      </c>
      <c r="CI61" s="88">
        <v>45000</v>
      </c>
      <c r="CJ61" s="88">
        <v>45000</v>
      </c>
      <c r="CK61" s="88">
        <v>45000</v>
      </c>
      <c r="CL61" s="88">
        <v>45000</v>
      </c>
      <c r="CM61" s="88">
        <v>45000</v>
      </c>
      <c r="CN61" s="88">
        <v>45000</v>
      </c>
      <c r="CO61" s="88">
        <v>45000</v>
      </c>
      <c r="CP61" s="88">
        <v>45000</v>
      </c>
      <c r="CQ61" s="88">
        <v>45000</v>
      </c>
      <c r="CR61" s="88">
        <v>45000</v>
      </c>
      <c r="CS61" s="88">
        <v>45000</v>
      </c>
      <c r="CT61" s="88">
        <v>45000</v>
      </c>
      <c r="CU61" s="88">
        <v>0</v>
      </c>
      <c r="CV61" s="88">
        <v>0</v>
      </c>
      <c r="CW61" s="88">
        <v>0</v>
      </c>
      <c r="CX61" s="88">
        <v>0</v>
      </c>
      <c r="CY61" s="88">
        <v>0</v>
      </c>
      <c r="CZ61" s="88">
        <v>0</v>
      </c>
      <c r="DA61" s="88">
        <v>0</v>
      </c>
      <c r="DB61" s="88">
        <v>0</v>
      </c>
      <c r="DC61" s="88">
        <v>0</v>
      </c>
      <c r="DD61" s="88">
        <v>0</v>
      </c>
      <c r="DE61" s="88">
        <v>0</v>
      </c>
      <c r="DF61" s="88">
        <v>0</v>
      </c>
      <c r="DG61" s="93"/>
      <c r="DH61" s="91"/>
      <c r="DJ61" s="93"/>
      <c r="DK61" s="91"/>
      <c r="DM61" s="93"/>
      <c r="DN61" s="91"/>
      <c r="DP61" s="93"/>
      <c r="DQ61" s="91"/>
    </row>
    <row r="62" spans="1:121" x14ac:dyDescent="0.3">
      <c r="A62" t="s">
        <v>22</v>
      </c>
      <c r="B62" t="s">
        <v>47</v>
      </c>
      <c r="C62" t="s">
        <v>94</v>
      </c>
      <c r="D62" t="s">
        <v>422</v>
      </c>
      <c r="E62" t="s">
        <v>423</v>
      </c>
      <c r="F62" s="86">
        <v>103500</v>
      </c>
      <c r="G62" s="87">
        <v>12</v>
      </c>
      <c r="H62" s="88">
        <v>1.02</v>
      </c>
      <c r="I62" s="88">
        <v>1.02</v>
      </c>
      <c r="J62" s="89">
        <v>0.84299370897155379</v>
      </c>
      <c r="K62" s="88">
        <v>1</v>
      </c>
      <c r="L62" s="88">
        <v>1.0083112020337539</v>
      </c>
      <c r="M62" s="88">
        <v>1</v>
      </c>
      <c r="N62" s="90">
        <v>0.63800000000000001</v>
      </c>
      <c r="O62" s="90">
        <v>0.64330254689753508</v>
      </c>
      <c r="P62" s="90">
        <v>0.63576768162962372</v>
      </c>
      <c r="Q62" s="91">
        <v>0</v>
      </c>
      <c r="R62" s="88">
        <v>1</v>
      </c>
      <c r="S62" s="88">
        <v>0.99650106838498997</v>
      </c>
      <c r="T62" s="91">
        <v>0</v>
      </c>
      <c r="U62" s="91">
        <v>0</v>
      </c>
      <c r="V62" s="87">
        <v>0</v>
      </c>
      <c r="W62" s="91">
        <v>0</v>
      </c>
      <c r="X62" s="87">
        <v>1</v>
      </c>
      <c r="Y62" s="90">
        <v>0.64330254689753508</v>
      </c>
      <c r="Z62" s="90">
        <v>0.63576768162962372</v>
      </c>
      <c r="AA62" s="92">
        <v>0</v>
      </c>
      <c r="AB62" s="88">
        <v>0</v>
      </c>
      <c r="AC62" s="87">
        <v>1</v>
      </c>
      <c r="AD62" s="87">
        <v>0</v>
      </c>
      <c r="AE62" s="88">
        <v>1</v>
      </c>
      <c r="AF62" s="88">
        <v>1.014313571147019</v>
      </c>
      <c r="AG62" s="88">
        <v>1.014313571147019</v>
      </c>
      <c r="AH62" s="88">
        <v>105570</v>
      </c>
      <c r="AI62" s="88">
        <v>105570</v>
      </c>
      <c r="AJ62" s="88">
        <v>87249.848878555815</v>
      </c>
      <c r="AK62" s="88">
        <v>103500</v>
      </c>
      <c r="AL62" s="88">
        <v>104360.20941049349</v>
      </c>
      <c r="AM62" s="88">
        <v>103500</v>
      </c>
      <c r="AN62" s="88">
        <v>66033</v>
      </c>
      <c r="AO62" s="88">
        <v>66581.813603894887</v>
      </c>
      <c r="AP62" s="88">
        <v>65801.955048666059</v>
      </c>
      <c r="AQ62" s="88">
        <v>0</v>
      </c>
      <c r="AR62" s="88">
        <v>103500</v>
      </c>
      <c r="AS62" s="88">
        <v>103137.8605778465</v>
      </c>
      <c r="AT62" s="88">
        <v>66581.813603894887</v>
      </c>
      <c r="AU62" s="88">
        <v>65801.955048666059</v>
      </c>
      <c r="AV62" s="88">
        <v>87975</v>
      </c>
      <c r="AW62" s="88">
        <v>86940</v>
      </c>
      <c r="AX62" s="88">
        <v>88492.5</v>
      </c>
      <c r="AY62" s="88">
        <v>103500</v>
      </c>
      <c r="AZ62" s="88">
        <v>103500</v>
      </c>
      <c r="BA62" s="88">
        <v>103500</v>
      </c>
      <c r="BB62" s="88">
        <v>103500</v>
      </c>
      <c r="BC62" s="88">
        <v>103500</v>
      </c>
      <c r="BD62" s="88">
        <v>103500</v>
      </c>
      <c r="BE62" s="88">
        <v>103500</v>
      </c>
      <c r="BF62" s="88">
        <v>103500</v>
      </c>
      <c r="BG62" s="88">
        <v>103500</v>
      </c>
      <c r="BH62" s="88">
        <v>103500</v>
      </c>
      <c r="BI62" s="88">
        <v>103500</v>
      </c>
      <c r="BJ62" s="88">
        <v>103500</v>
      </c>
      <c r="BK62" s="88">
        <v>1491.148433953688</v>
      </c>
      <c r="BL62" s="88">
        <v>1489.414130263378</v>
      </c>
      <c r="BM62" s="88">
        <v>1487.6838561049151</v>
      </c>
      <c r="BN62" s="88">
        <v>1485.899150409065</v>
      </c>
      <c r="BO62" s="88">
        <v>1484.118721640579</v>
      </c>
      <c r="BP62" s="88">
        <v>1482.342554443786</v>
      </c>
      <c r="BQ62" s="88">
        <v>1480.570633536486</v>
      </c>
      <c r="BR62" s="88">
        <v>1478.7740003523129</v>
      </c>
      <c r="BS62" s="88">
        <v>1477.0105954568569</v>
      </c>
      <c r="BT62" s="88">
        <v>1475.2513911939809</v>
      </c>
      <c r="BU62" s="88">
        <v>1473.496372571951</v>
      </c>
      <c r="BV62" s="88">
        <v>1471.7455246703189</v>
      </c>
      <c r="BW62" s="88">
        <v>0</v>
      </c>
      <c r="BX62" s="88">
        <v>0</v>
      </c>
      <c r="BY62" s="88">
        <v>0</v>
      </c>
      <c r="BZ62" s="88">
        <v>0</v>
      </c>
      <c r="CA62" s="88">
        <v>0</v>
      </c>
      <c r="CB62" s="88">
        <v>0</v>
      </c>
      <c r="CC62" s="88">
        <v>0</v>
      </c>
      <c r="CD62" s="88">
        <v>0</v>
      </c>
      <c r="CE62" s="88">
        <v>0</v>
      </c>
      <c r="CF62" s="88">
        <v>0</v>
      </c>
      <c r="CG62" s="88">
        <v>0</v>
      </c>
      <c r="CH62" s="88">
        <v>0</v>
      </c>
      <c r="CI62" s="88">
        <v>103500</v>
      </c>
      <c r="CJ62" s="88">
        <v>103500</v>
      </c>
      <c r="CK62" s="88">
        <v>103500</v>
      </c>
      <c r="CL62" s="88">
        <v>103500</v>
      </c>
      <c r="CM62" s="88">
        <v>103500</v>
      </c>
      <c r="CN62" s="88">
        <v>103500</v>
      </c>
      <c r="CO62" s="88">
        <v>103500</v>
      </c>
      <c r="CP62" s="88">
        <v>103500</v>
      </c>
      <c r="CQ62" s="88">
        <v>103500</v>
      </c>
      <c r="CR62" s="88">
        <v>103500</v>
      </c>
      <c r="CS62" s="88">
        <v>103500</v>
      </c>
      <c r="CT62" s="88">
        <v>103500</v>
      </c>
      <c r="CU62" s="88">
        <v>1491.148433953688</v>
      </c>
      <c r="CV62" s="88">
        <v>1489.414130263378</v>
      </c>
      <c r="CW62" s="88">
        <v>1487.6838561049151</v>
      </c>
      <c r="CX62" s="88">
        <v>1485.899150409065</v>
      </c>
      <c r="CY62" s="88">
        <v>1484.118721640579</v>
      </c>
      <c r="CZ62" s="88">
        <v>1482.342554443786</v>
      </c>
      <c r="DA62" s="88">
        <v>1480.570633536486</v>
      </c>
      <c r="DB62" s="88">
        <v>1478.7740003523129</v>
      </c>
      <c r="DC62" s="88">
        <v>1477.0105954568569</v>
      </c>
      <c r="DD62" s="88">
        <v>1475.2513911939809</v>
      </c>
      <c r="DE62" s="88">
        <v>1473.496372571951</v>
      </c>
      <c r="DF62" s="88">
        <v>1471.7455246703189</v>
      </c>
      <c r="DG62" s="93">
        <v>46023</v>
      </c>
      <c r="DH62" s="91">
        <v>0.02</v>
      </c>
      <c r="DI62" t="s">
        <v>301</v>
      </c>
      <c r="DJ62" s="93"/>
      <c r="DK62" s="91"/>
      <c r="DM62" s="93"/>
      <c r="DN62" s="91"/>
      <c r="DP62" s="93"/>
      <c r="DQ62" s="91"/>
    </row>
    <row r="63" spans="1:121" x14ac:dyDescent="0.3">
      <c r="A63" t="s">
        <v>22</v>
      </c>
      <c r="B63" t="s">
        <v>47</v>
      </c>
      <c r="C63" t="s">
        <v>95</v>
      </c>
      <c r="D63" t="s">
        <v>424</v>
      </c>
      <c r="E63" t="s">
        <v>425</v>
      </c>
      <c r="F63" s="86">
        <v>85500</v>
      </c>
      <c r="G63" s="87">
        <v>12</v>
      </c>
      <c r="H63" s="88">
        <v>1.03</v>
      </c>
      <c r="I63" s="88">
        <v>1.0472055555555559</v>
      </c>
      <c r="J63" s="89">
        <v>0.83900209700948214</v>
      </c>
      <c r="K63" s="88">
        <v>0.98357003029225942</v>
      </c>
      <c r="L63" s="88">
        <v>1.0131083140670549</v>
      </c>
      <c r="M63" s="88">
        <v>1</v>
      </c>
      <c r="N63" s="90">
        <v>0.66600000000000004</v>
      </c>
      <c r="O63" s="90">
        <v>0.6636443414540778</v>
      </c>
      <c r="P63" s="90">
        <v>0.65145145714745112</v>
      </c>
      <c r="Q63" s="91">
        <v>0</v>
      </c>
      <c r="R63" s="88">
        <v>0.96166688927474275</v>
      </c>
      <c r="S63" s="88">
        <v>1.017145699796248</v>
      </c>
      <c r="T63" s="91">
        <v>1.6704422869471269E-2</v>
      </c>
      <c r="U63" s="91">
        <v>2.277622455529826E-2</v>
      </c>
      <c r="V63" s="87">
        <v>0</v>
      </c>
      <c r="W63" s="91">
        <v>0</v>
      </c>
      <c r="X63" s="87">
        <v>1</v>
      </c>
      <c r="Y63" s="90">
        <v>0.6636443414540778</v>
      </c>
      <c r="Z63" s="90">
        <v>0.65145145714745112</v>
      </c>
      <c r="AA63" s="92">
        <v>0</v>
      </c>
      <c r="AB63" s="88">
        <v>0</v>
      </c>
      <c r="AC63" s="87">
        <v>1</v>
      </c>
      <c r="AD63" s="87">
        <v>1</v>
      </c>
      <c r="AE63" s="88">
        <v>1.039166666666667</v>
      </c>
      <c r="AF63" s="88">
        <v>0.99525154750742739</v>
      </c>
      <c r="AG63" s="88">
        <v>1.034232224572988</v>
      </c>
      <c r="AH63" s="88">
        <v>88065</v>
      </c>
      <c r="AI63" s="88">
        <v>89536.074999999997</v>
      </c>
      <c r="AJ63" s="88">
        <v>71734.679294310728</v>
      </c>
      <c r="AK63" s="88">
        <v>84095.237589988174</v>
      </c>
      <c r="AL63" s="88">
        <v>86620.760852733176</v>
      </c>
      <c r="AM63" s="88">
        <v>85500</v>
      </c>
      <c r="AN63" s="88">
        <v>56943</v>
      </c>
      <c r="AO63" s="88">
        <v>56741.59119432365</v>
      </c>
      <c r="AP63" s="88">
        <v>55699.09958610707</v>
      </c>
      <c r="AQ63" s="88">
        <v>0</v>
      </c>
      <c r="AR63" s="88">
        <v>82222.519032990502</v>
      </c>
      <c r="AS63" s="88">
        <v>86965.957332579186</v>
      </c>
      <c r="AT63" s="88">
        <v>56741.59119432365</v>
      </c>
      <c r="AU63" s="88">
        <v>55699.09958610707</v>
      </c>
      <c r="AV63" s="88">
        <v>72675</v>
      </c>
      <c r="AW63" s="88">
        <v>71820</v>
      </c>
      <c r="AX63" s="88">
        <v>71392.5</v>
      </c>
      <c r="AY63" s="88">
        <v>85500</v>
      </c>
      <c r="AZ63" s="88">
        <v>85500</v>
      </c>
      <c r="BA63" s="88">
        <v>85500</v>
      </c>
      <c r="BB63" s="88">
        <v>85500</v>
      </c>
      <c r="BC63" s="88">
        <v>85500</v>
      </c>
      <c r="BD63" s="88">
        <v>85500</v>
      </c>
      <c r="BE63" s="88">
        <v>85500</v>
      </c>
      <c r="BF63" s="88">
        <v>85500</v>
      </c>
      <c r="BG63" s="88">
        <v>85500</v>
      </c>
      <c r="BH63" s="88">
        <v>85500</v>
      </c>
      <c r="BI63" s="88">
        <v>85500</v>
      </c>
      <c r="BJ63" s="88">
        <v>85500</v>
      </c>
      <c r="BK63" s="88">
        <v>2147.730565273544</v>
      </c>
      <c r="BL63" s="88">
        <v>2998.5179990649899</v>
      </c>
      <c r="BM63" s="88">
        <v>2998.356468700681</v>
      </c>
      <c r="BN63" s="88">
        <v>2998.1893325015649</v>
      </c>
      <c r="BO63" s="88">
        <v>2998.0220637469479</v>
      </c>
      <c r="BP63" s="88">
        <v>2997.8546622790468</v>
      </c>
      <c r="BQ63" s="88">
        <v>2997.6871279398911</v>
      </c>
      <c r="BR63" s="88">
        <v>2997.5167108166479</v>
      </c>
      <c r="BS63" s="88">
        <v>2997.3489080751692</v>
      </c>
      <c r="BT63" s="88">
        <v>2997.1809719842831</v>
      </c>
      <c r="BU63" s="88">
        <v>2997.0129023849909</v>
      </c>
      <c r="BV63" s="88">
        <v>2996.8446991179921</v>
      </c>
      <c r="BW63" s="88">
        <v>2565.0000000000018</v>
      </c>
      <c r="BX63" s="88">
        <v>3420.0000000000032</v>
      </c>
      <c r="BY63" s="88">
        <v>3420.0000000000032</v>
      </c>
      <c r="BZ63" s="88">
        <v>3420.0000000000032</v>
      </c>
      <c r="CA63" s="88">
        <v>3420.0000000000032</v>
      </c>
      <c r="CB63" s="88">
        <v>3420.0000000000032</v>
      </c>
      <c r="CC63" s="88">
        <v>3420.0000000000032</v>
      </c>
      <c r="CD63" s="88">
        <v>3420.0000000000032</v>
      </c>
      <c r="CE63" s="88">
        <v>3420.0000000000032</v>
      </c>
      <c r="CF63" s="88">
        <v>3420.0000000000032</v>
      </c>
      <c r="CG63" s="88">
        <v>3420.0000000000032</v>
      </c>
      <c r="CH63" s="88">
        <v>3420.0000000000032</v>
      </c>
      <c r="CI63" s="88">
        <v>85500</v>
      </c>
      <c r="CJ63" s="88">
        <v>85500</v>
      </c>
      <c r="CK63" s="88">
        <v>85500</v>
      </c>
      <c r="CL63" s="88">
        <v>85500</v>
      </c>
      <c r="CM63" s="88">
        <v>85500</v>
      </c>
      <c r="CN63" s="88">
        <v>85500</v>
      </c>
      <c r="CO63" s="88">
        <v>85500</v>
      </c>
      <c r="CP63" s="88">
        <v>85500</v>
      </c>
      <c r="CQ63" s="88">
        <v>85500</v>
      </c>
      <c r="CR63" s="88">
        <v>85500</v>
      </c>
      <c r="CS63" s="88">
        <v>85500</v>
      </c>
      <c r="CT63" s="88">
        <v>85500</v>
      </c>
      <c r="CU63" s="88">
        <v>-405.1159560450987</v>
      </c>
      <c r="CV63" s="88">
        <v>-405.27115474520713</v>
      </c>
      <c r="CW63" s="88">
        <v>-405.42647240319951</v>
      </c>
      <c r="CX63" s="88">
        <v>-405.58718028696109</v>
      </c>
      <c r="CY63" s="88">
        <v>-405.74801562794659</v>
      </c>
      <c r="CZ63" s="88">
        <v>-405.908978577835</v>
      </c>
      <c r="DA63" s="88">
        <v>-406.07006928857118</v>
      </c>
      <c r="DB63" s="88">
        <v>-406.23393190707827</v>
      </c>
      <c r="DC63" s="88">
        <v>-406.39528069696422</v>
      </c>
      <c r="DD63" s="88">
        <v>-406.55675770741522</v>
      </c>
      <c r="DE63" s="88">
        <v>-406.71836309135398</v>
      </c>
      <c r="DF63" s="88">
        <v>-406.88009700193118</v>
      </c>
      <c r="DG63" s="93">
        <v>46054</v>
      </c>
      <c r="DH63" s="91">
        <v>0.03</v>
      </c>
      <c r="DI63" t="s">
        <v>301</v>
      </c>
      <c r="DJ63" s="93">
        <v>46419</v>
      </c>
      <c r="DK63" s="91">
        <v>0.04</v>
      </c>
      <c r="DL63" t="s">
        <v>302</v>
      </c>
      <c r="DM63" s="93"/>
      <c r="DN63" s="91"/>
      <c r="DP63" s="93"/>
      <c r="DQ63" s="91"/>
    </row>
    <row r="64" spans="1:121" x14ac:dyDescent="0.3">
      <c r="A64" t="s">
        <v>22</v>
      </c>
      <c r="B64" t="s">
        <v>47</v>
      </c>
      <c r="C64" t="s">
        <v>96</v>
      </c>
      <c r="D64" t="s">
        <v>426</v>
      </c>
      <c r="E64" t="s">
        <v>427</v>
      </c>
      <c r="F64" s="86">
        <v>67500</v>
      </c>
      <c r="G64" s="87">
        <v>12</v>
      </c>
      <c r="H64" s="88">
        <v>1</v>
      </c>
      <c r="I64" s="88">
        <v>1</v>
      </c>
      <c r="J64" s="89">
        <v>0.84199580598103541</v>
      </c>
      <c r="K64" s="88">
        <v>1</v>
      </c>
      <c r="L64" s="88">
        <v>1.0095062160192581</v>
      </c>
      <c r="M64" s="88">
        <v>1</v>
      </c>
      <c r="N64" s="90">
        <v>0.65</v>
      </c>
      <c r="O64" s="90">
        <v>0.65617904041251751</v>
      </c>
      <c r="P64" s="90">
        <v>0.65102911897485305</v>
      </c>
      <c r="Q64" s="91">
        <v>0</v>
      </c>
      <c r="R64" s="88">
        <v>1</v>
      </c>
      <c r="S64" s="88">
        <v>1.0015832599613119</v>
      </c>
      <c r="T64" s="91">
        <v>0</v>
      </c>
      <c r="U64" s="91">
        <v>0</v>
      </c>
      <c r="V64" s="87">
        <v>0</v>
      </c>
      <c r="W64" s="91">
        <v>0</v>
      </c>
      <c r="X64" s="87">
        <v>1</v>
      </c>
      <c r="Y64" s="90">
        <v>0.65617904041251751</v>
      </c>
      <c r="Z64" s="90">
        <v>0.65102911897485305</v>
      </c>
      <c r="AA64" s="92">
        <v>0</v>
      </c>
      <c r="AB64" s="88">
        <v>0</v>
      </c>
      <c r="AC64" s="87">
        <v>0</v>
      </c>
      <c r="AD64" s="87">
        <v>0</v>
      </c>
      <c r="AE64" s="88">
        <v>1</v>
      </c>
      <c r="AF64" s="88">
        <v>1.009530917047716</v>
      </c>
      <c r="AG64" s="88">
        <v>1.009530917047716</v>
      </c>
      <c r="AH64" s="88">
        <v>67500</v>
      </c>
      <c r="AI64" s="88">
        <v>67500</v>
      </c>
      <c r="AJ64" s="88">
        <v>56834.716903719891</v>
      </c>
      <c r="AK64" s="88">
        <v>67500</v>
      </c>
      <c r="AL64" s="88">
        <v>68141.669581299895</v>
      </c>
      <c r="AM64" s="88">
        <v>67500</v>
      </c>
      <c r="AN64" s="88">
        <v>43875</v>
      </c>
      <c r="AO64" s="88">
        <v>44292.085227844931</v>
      </c>
      <c r="AP64" s="88">
        <v>43944.465530802583</v>
      </c>
      <c r="AQ64" s="88">
        <v>0</v>
      </c>
      <c r="AR64" s="88">
        <v>67500</v>
      </c>
      <c r="AS64" s="88">
        <v>67606.870047388584</v>
      </c>
      <c r="AT64" s="88">
        <v>44292.085227844931</v>
      </c>
      <c r="AU64" s="88">
        <v>43944.465530802583</v>
      </c>
      <c r="AV64" s="88">
        <v>57375</v>
      </c>
      <c r="AW64" s="88">
        <v>56700</v>
      </c>
      <c r="AX64" s="88">
        <v>57375</v>
      </c>
      <c r="AY64" s="88">
        <v>67500</v>
      </c>
      <c r="AZ64" s="88">
        <v>67500</v>
      </c>
      <c r="BA64" s="88">
        <v>67500</v>
      </c>
      <c r="BB64" s="88">
        <v>67500</v>
      </c>
      <c r="BC64" s="88">
        <v>67500</v>
      </c>
      <c r="BD64" s="88">
        <v>67500</v>
      </c>
      <c r="BE64" s="88">
        <v>67500</v>
      </c>
      <c r="BF64" s="88">
        <v>67500</v>
      </c>
      <c r="BG64" s="88">
        <v>67500</v>
      </c>
      <c r="BH64" s="88">
        <v>67500</v>
      </c>
      <c r="BI64" s="88">
        <v>67500</v>
      </c>
      <c r="BJ64" s="88">
        <v>67500</v>
      </c>
      <c r="BK64" s="88">
        <v>646.13629509185807</v>
      </c>
      <c r="BL64" s="88">
        <v>645.63679245282219</v>
      </c>
      <c r="BM64" s="88">
        <v>645.13806150905407</v>
      </c>
      <c r="BN64" s="88">
        <v>644.62323390894801</v>
      </c>
      <c r="BO64" s="88">
        <v>644.10922733035784</v>
      </c>
      <c r="BP64" s="88">
        <v>643.59603981087309</v>
      </c>
      <c r="BQ64" s="88">
        <v>643.08366939430368</v>
      </c>
      <c r="BR64" s="88">
        <v>642.56373475909288</v>
      </c>
      <c r="BS64" s="88">
        <v>642.05300601986255</v>
      </c>
      <c r="BT64" s="88">
        <v>641.5430885205825</v>
      </c>
      <c r="BU64" s="88">
        <v>641.03398032991254</v>
      </c>
      <c r="BV64" s="88">
        <v>640.52567952268771</v>
      </c>
      <c r="BW64" s="88">
        <v>0</v>
      </c>
      <c r="BX64" s="88">
        <v>0</v>
      </c>
      <c r="BY64" s="88">
        <v>0</v>
      </c>
      <c r="BZ64" s="88">
        <v>0</v>
      </c>
      <c r="CA64" s="88">
        <v>0</v>
      </c>
      <c r="CB64" s="88">
        <v>0</v>
      </c>
      <c r="CC64" s="88">
        <v>0</v>
      </c>
      <c r="CD64" s="88">
        <v>0</v>
      </c>
      <c r="CE64" s="88">
        <v>0</v>
      </c>
      <c r="CF64" s="88">
        <v>0</v>
      </c>
      <c r="CG64" s="88">
        <v>0</v>
      </c>
      <c r="CH64" s="88">
        <v>0</v>
      </c>
      <c r="CI64" s="88">
        <v>67500</v>
      </c>
      <c r="CJ64" s="88">
        <v>67500</v>
      </c>
      <c r="CK64" s="88">
        <v>67500</v>
      </c>
      <c r="CL64" s="88">
        <v>67500</v>
      </c>
      <c r="CM64" s="88">
        <v>67500</v>
      </c>
      <c r="CN64" s="88">
        <v>67500</v>
      </c>
      <c r="CO64" s="88">
        <v>67500</v>
      </c>
      <c r="CP64" s="88">
        <v>67500</v>
      </c>
      <c r="CQ64" s="88">
        <v>67500</v>
      </c>
      <c r="CR64" s="88">
        <v>67500</v>
      </c>
      <c r="CS64" s="88">
        <v>67500</v>
      </c>
      <c r="CT64" s="88">
        <v>67500</v>
      </c>
      <c r="CU64" s="88">
        <v>646.13629509185807</v>
      </c>
      <c r="CV64" s="88">
        <v>645.63679245282219</v>
      </c>
      <c r="CW64" s="88">
        <v>645.13806150905407</v>
      </c>
      <c r="CX64" s="88">
        <v>644.62323390894801</v>
      </c>
      <c r="CY64" s="88">
        <v>644.10922733035784</v>
      </c>
      <c r="CZ64" s="88">
        <v>643.59603981087309</v>
      </c>
      <c r="DA64" s="88">
        <v>643.08366939430368</v>
      </c>
      <c r="DB64" s="88">
        <v>642.56373475909288</v>
      </c>
      <c r="DC64" s="88">
        <v>642.05300601986255</v>
      </c>
      <c r="DD64" s="88">
        <v>641.5430885205825</v>
      </c>
      <c r="DE64" s="88">
        <v>641.03398032991254</v>
      </c>
      <c r="DF64" s="88">
        <v>640.52567952268771</v>
      </c>
      <c r="DG64" s="93"/>
      <c r="DH64" s="91"/>
      <c r="DJ64" s="93"/>
      <c r="DK64" s="91"/>
      <c r="DM64" s="93"/>
      <c r="DN64" s="91"/>
      <c r="DP64" s="93"/>
      <c r="DQ64" s="91"/>
    </row>
    <row r="65" spans="1:121" x14ac:dyDescent="0.3">
      <c r="A65" t="s">
        <v>24</v>
      </c>
      <c r="B65" t="s">
        <v>42</v>
      </c>
      <c r="C65" t="s">
        <v>43</v>
      </c>
      <c r="D65" t="s">
        <v>299</v>
      </c>
      <c r="E65" t="s">
        <v>428</v>
      </c>
      <c r="F65" s="86">
        <v>28000</v>
      </c>
      <c r="G65" s="87">
        <v>12</v>
      </c>
      <c r="H65" s="88">
        <v>1.1024</v>
      </c>
      <c r="I65" s="88">
        <v>1.1101025</v>
      </c>
      <c r="J65" s="89">
        <v>0.8659874179431073</v>
      </c>
      <c r="K65" s="88">
        <v>0.99306145153262859</v>
      </c>
      <c r="L65" s="88">
        <v>0.98153851013092008</v>
      </c>
      <c r="M65" s="88">
        <v>1</v>
      </c>
      <c r="N65" s="90">
        <v>0.65</v>
      </c>
      <c r="O65" s="90">
        <v>0.63357323744376037</v>
      </c>
      <c r="P65" s="90">
        <v>0.59480029614224839</v>
      </c>
      <c r="Q65" s="91">
        <v>0</v>
      </c>
      <c r="R65" s="88">
        <v>0.95380029806259314</v>
      </c>
      <c r="S65" s="88">
        <v>0.95940143921021315</v>
      </c>
      <c r="T65" s="91">
        <v>6.9870283018869106E-3</v>
      </c>
      <c r="U65" s="91">
        <v>4.1162865591240383E-2</v>
      </c>
      <c r="V65" s="87">
        <v>0</v>
      </c>
      <c r="W65" s="91">
        <v>0</v>
      </c>
      <c r="X65" s="87">
        <v>1</v>
      </c>
      <c r="Y65" s="90">
        <v>0.63357323744376037</v>
      </c>
      <c r="Z65" s="90">
        <v>0.59480029614224839</v>
      </c>
      <c r="AA65" s="92">
        <v>0</v>
      </c>
      <c r="AB65" s="88">
        <v>0</v>
      </c>
      <c r="AC65" s="87">
        <v>2</v>
      </c>
      <c r="AD65" s="87">
        <v>1</v>
      </c>
      <c r="AE65" s="88">
        <v>1.0682499999999999</v>
      </c>
      <c r="AF65" s="88">
        <v>1.028058522028005</v>
      </c>
      <c r="AG65" s="88">
        <v>1.098225804678618</v>
      </c>
      <c r="AH65" s="88">
        <v>30867.200000000001</v>
      </c>
      <c r="AI65" s="88">
        <v>31082.87000000001</v>
      </c>
      <c r="AJ65" s="88">
        <v>24247.647702407001</v>
      </c>
      <c r="AK65" s="88">
        <v>27805.720642913599</v>
      </c>
      <c r="AL65" s="88">
        <v>27483.07828366576</v>
      </c>
      <c r="AM65" s="88">
        <v>28000</v>
      </c>
      <c r="AN65" s="88">
        <v>18200</v>
      </c>
      <c r="AO65" s="88">
        <v>17740.050648425291</v>
      </c>
      <c r="AP65" s="88">
        <v>16654.40829198296</v>
      </c>
      <c r="AQ65" s="88">
        <v>0</v>
      </c>
      <c r="AR65" s="88">
        <v>26706.40834575261</v>
      </c>
      <c r="AS65" s="88">
        <v>26863.240297885972</v>
      </c>
      <c r="AT65" s="88">
        <v>17740.050648425291</v>
      </c>
      <c r="AU65" s="88">
        <v>16654.40829198296</v>
      </c>
      <c r="AV65" s="88">
        <v>23800</v>
      </c>
      <c r="AW65" s="88">
        <v>24080</v>
      </c>
      <c r="AX65" s="88">
        <v>24920</v>
      </c>
      <c r="AY65" s="88">
        <v>28000</v>
      </c>
      <c r="AZ65" s="88">
        <v>28000</v>
      </c>
      <c r="BA65" s="88">
        <v>28000</v>
      </c>
      <c r="BB65" s="88">
        <v>28000</v>
      </c>
      <c r="BC65" s="88">
        <v>28000</v>
      </c>
      <c r="BD65" s="88">
        <v>28000</v>
      </c>
      <c r="BE65" s="88">
        <v>28000</v>
      </c>
      <c r="BF65" s="88">
        <v>28000</v>
      </c>
      <c r="BG65" s="88">
        <v>28000</v>
      </c>
      <c r="BH65" s="88">
        <v>28000</v>
      </c>
      <c r="BI65" s="88">
        <v>28000</v>
      </c>
      <c r="BJ65" s="88">
        <v>28000</v>
      </c>
      <c r="BK65" s="88">
        <v>2523.4991370248831</v>
      </c>
      <c r="BL65" s="88">
        <v>2521.5661090683111</v>
      </c>
      <c r="BM65" s="88">
        <v>2519.641920607653</v>
      </c>
      <c r="BN65" s="88">
        <v>4043.544821898035</v>
      </c>
      <c r="BO65" s="88">
        <v>4041.4754111006841</v>
      </c>
      <c r="BP65" s="88">
        <v>4039.415715348503</v>
      </c>
      <c r="BQ65" s="88">
        <v>2223.9298739522678</v>
      </c>
      <c r="BR65" s="88">
        <v>2221.9734204848728</v>
      </c>
      <c r="BS65" s="88">
        <v>2220.0575693506889</v>
      </c>
      <c r="BT65" s="88">
        <v>2218.1506283594049</v>
      </c>
      <c r="BU65" s="88">
        <v>2216.2525354969662</v>
      </c>
      <c r="BV65" s="88">
        <v>2214.3632293234541</v>
      </c>
      <c r="BW65" s="88">
        <v>1680.000000000002</v>
      </c>
      <c r="BX65" s="88">
        <v>1680.000000000002</v>
      </c>
      <c r="BY65" s="88">
        <v>1680.000000000002</v>
      </c>
      <c r="BZ65" s="88">
        <v>3164</v>
      </c>
      <c r="CA65" s="88">
        <v>3164</v>
      </c>
      <c r="CB65" s="88">
        <v>3164</v>
      </c>
      <c r="CC65" s="88">
        <v>1400.0000000000009</v>
      </c>
      <c r="CD65" s="88">
        <v>1400.0000000000009</v>
      </c>
      <c r="CE65" s="88">
        <v>1400.0000000000009</v>
      </c>
      <c r="CF65" s="88">
        <v>1400.0000000000009</v>
      </c>
      <c r="CG65" s="88">
        <v>1400.0000000000009</v>
      </c>
      <c r="CH65" s="88">
        <v>1400.0000000000009</v>
      </c>
      <c r="CI65" s="88">
        <v>28000</v>
      </c>
      <c r="CJ65" s="88">
        <v>28000</v>
      </c>
      <c r="CK65" s="88">
        <v>28000</v>
      </c>
      <c r="CL65" s="88">
        <v>28000</v>
      </c>
      <c r="CM65" s="88">
        <v>28000</v>
      </c>
      <c r="CN65" s="88">
        <v>28000</v>
      </c>
      <c r="CO65" s="88">
        <v>28000</v>
      </c>
      <c r="CP65" s="88">
        <v>28000</v>
      </c>
      <c r="CQ65" s="88">
        <v>28000</v>
      </c>
      <c r="CR65" s="88">
        <v>28000</v>
      </c>
      <c r="CS65" s="88">
        <v>28000</v>
      </c>
      <c r="CT65" s="88">
        <v>28000</v>
      </c>
      <c r="CU65" s="88">
        <v>795.75390285366063</v>
      </c>
      <c r="CV65" s="88">
        <v>793.93029157387923</v>
      </c>
      <c r="CW65" s="88">
        <v>792.11501944118106</v>
      </c>
      <c r="CX65" s="88">
        <v>790.2469199443276</v>
      </c>
      <c r="CY65" s="88">
        <v>788.38761105182618</v>
      </c>
      <c r="CZ65" s="88">
        <v>786.53703086119003</v>
      </c>
      <c r="DA65" s="88">
        <v>784.6951180497781</v>
      </c>
      <c r="DB65" s="88">
        <v>782.83182903320812</v>
      </c>
      <c r="DC65" s="88">
        <v>781.00720890541629</v>
      </c>
      <c r="DD65" s="88">
        <v>779.1910746280015</v>
      </c>
      <c r="DE65" s="88">
        <v>777.383367139965</v>
      </c>
      <c r="DF65" s="88">
        <v>775.58402792709649</v>
      </c>
      <c r="DG65" s="93">
        <v>45839</v>
      </c>
      <c r="DH65" s="91">
        <v>0.04</v>
      </c>
      <c r="DI65" t="s">
        <v>301</v>
      </c>
      <c r="DJ65" s="93">
        <v>46204</v>
      </c>
      <c r="DK65" s="91">
        <v>0.06</v>
      </c>
      <c r="DL65" t="s">
        <v>301</v>
      </c>
      <c r="DM65" s="93">
        <v>46478</v>
      </c>
      <c r="DN65" s="91">
        <v>0.05</v>
      </c>
      <c r="DO65" t="s">
        <v>302</v>
      </c>
      <c r="DP65" s="93"/>
      <c r="DQ65" s="91"/>
    </row>
    <row r="66" spans="1:121" x14ac:dyDescent="0.3">
      <c r="A66" t="s">
        <v>24</v>
      </c>
      <c r="B66" t="s">
        <v>42</v>
      </c>
      <c r="C66" t="s">
        <v>46</v>
      </c>
      <c r="D66" t="s">
        <v>303</v>
      </c>
      <c r="E66" t="s">
        <v>429</v>
      </c>
      <c r="F66" s="86">
        <v>73500</v>
      </c>
      <c r="G66" s="87">
        <v>12</v>
      </c>
      <c r="H66" s="88">
        <v>1.03</v>
      </c>
      <c r="I66" s="88">
        <v>1.0472055555555559</v>
      </c>
      <c r="J66" s="89">
        <v>0.94099790299051811</v>
      </c>
      <c r="K66" s="88">
        <v>0.98357003029225942</v>
      </c>
      <c r="L66" s="88">
        <v>1.009566543114361</v>
      </c>
      <c r="M66" s="88">
        <v>1</v>
      </c>
      <c r="N66" s="90">
        <v>0.628</v>
      </c>
      <c r="O66" s="90">
        <v>0.62359106030683131</v>
      </c>
      <c r="P66" s="90">
        <v>0.60755411031364992</v>
      </c>
      <c r="Q66" s="91">
        <v>0</v>
      </c>
      <c r="R66" s="88">
        <v>0.96166688927474275</v>
      </c>
      <c r="S66" s="88">
        <v>1.006006197788017</v>
      </c>
      <c r="T66" s="91">
        <v>1.6704422869471269E-2</v>
      </c>
      <c r="U66" s="91">
        <v>2.277622455529826E-2</v>
      </c>
      <c r="V66" s="87">
        <v>0</v>
      </c>
      <c r="W66" s="91">
        <v>0</v>
      </c>
      <c r="X66" s="87">
        <v>1</v>
      </c>
      <c r="Y66" s="90">
        <v>0.62359106030683131</v>
      </c>
      <c r="Z66" s="90">
        <v>0.60755411031364992</v>
      </c>
      <c r="AA66" s="92">
        <v>0</v>
      </c>
      <c r="AB66" s="88">
        <v>0</v>
      </c>
      <c r="AC66" s="87">
        <v>1</v>
      </c>
      <c r="AD66" s="87">
        <v>1</v>
      </c>
      <c r="AE66" s="88">
        <v>1.039166666666667</v>
      </c>
      <c r="AF66" s="88">
        <v>1.004252860915166</v>
      </c>
      <c r="AG66" s="88">
        <v>1.04358609109627</v>
      </c>
      <c r="AH66" s="88">
        <v>75705</v>
      </c>
      <c r="AI66" s="88">
        <v>76969.608333333323</v>
      </c>
      <c r="AJ66" s="88">
        <v>69163.345869803088</v>
      </c>
      <c r="AK66" s="88">
        <v>72292.397226481073</v>
      </c>
      <c r="AL66" s="88">
        <v>74203.140918905512</v>
      </c>
      <c r="AM66" s="88">
        <v>73500</v>
      </c>
      <c r="AN66" s="88">
        <v>46158</v>
      </c>
      <c r="AO66" s="88">
        <v>45833.942932552112</v>
      </c>
      <c r="AP66" s="88">
        <v>44655.227108053266</v>
      </c>
      <c r="AQ66" s="88">
        <v>0</v>
      </c>
      <c r="AR66" s="88">
        <v>70682.51636169359</v>
      </c>
      <c r="AS66" s="88">
        <v>73941.455537419257</v>
      </c>
      <c r="AT66" s="88">
        <v>45833.942932552112</v>
      </c>
      <c r="AU66" s="88">
        <v>44655.227108053266</v>
      </c>
      <c r="AV66" s="88">
        <v>69825</v>
      </c>
      <c r="AW66" s="88">
        <v>69090</v>
      </c>
      <c r="AX66" s="88">
        <v>69457.5</v>
      </c>
      <c r="AY66" s="88">
        <v>73500</v>
      </c>
      <c r="AZ66" s="88">
        <v>73500</v>
      </c>
      <c r="BA66" s="88">
        <v>73500</v>
      </c>
      <c r="BB66" s="88">
        <v>73500</v>
      </c>
      <c r="BC66" s="88">
        <v>73500</v>
      </c>
      <c r="BD66" s="88">
        <v>73500</v>
      </c>
      <c r="BE66" s="88">
        <v>73500</v>
      </c>
      <c r="BF66" s="88">
        <v>73500</v>
      </c>
      <c r="BG66" s="88">
        <v>73500</v>
      </c>
      <c r="BH66" s="88">
        <v>73500</v>
      </c>
      <c r="BI66" s="88">
        <v>73500</v>
      </c>
      <c r="BJ66" s="88">
        <v>73500</v>
      </c>
      <c r="BK66" s="88">
        <v>2527.5870754215962</v>
      </c>
      <c r="BL66" s="88">
        <v>3265.6068527681782</v>
      </c>
      <c r="BM66" s="88">
        <v>3265.4947939452368</v>
      </c>
      <c r="BN66" s="88">
        <v>3265.3790175864169</v>
      </c>
      <c r="BO66" s="88">
        <v>3265.2633235601061</v>
      </c>
      <c r="BP66" s="88">
        <v>3265.147711778483</v>
      </c>
      <c r="BQ66" s="88">
        <v>3265.0321821539092</v>
      </c>
      <c r="BR66" s="88">
        <v>3264.914842699171</v>
      </c>
      <c r="BS66" s="88">
        <v>3264.7994784694069</v>
      </c>
      <c r="BT66" s="88">
        <v>3264.6841961329728</v>
      </c>
      <c r="BU66" s="88">
        <v>3264.5689956027181</v>
      </c>
      <c r="BV66" s="88">
        <v>3264.4538767915728</v>
      </c>
      <c r="BW66" s="88">
        <v>2205.0000000000018</v>
      </c>
      <c r="BX66" s="88">
        <v>2940.0000000000032</v>
      </c>
      <c r="BY66" s="88">
        <v>2940.0000000000032</v>
      </c>
      <c r="BZ66" s="88">
        <v>2940.0000000000032</v>
      </c>
      <c r="CA66" s="88">
        <v>2940.0000000000032</v>
      </c>
      <c r="CB66" s="88">
        <v>2940.0000000000032</v>
      </c>
      <c r="CC66" s="88">
        <v>2940.0000000000032</v>
      </c>
      <c r="CD66" s="88">
        <v>2940.0000000000032</v>
      </c>
      <c r="CE66" s="88">
        <v>2940.0000000000032</v>
      </c>
      <c r="CF66" s="88">
        <v>2940.0000000000032</v>
      </c>
      <c r="CG66" s="88">
        <v>2940.0000000000032</v>
      </c>
      <c r="CH66" s="88">
        <v>2940.0000000000032</v>
      </c>
      <c r="CI66" s="88">
        <v>73500</v>
      </c>
      <c r="CJ66" s="88">
        <v>73500</v>
      </c>
      <c r="CK66" s="88">
        <v>73500</v>
      </c>
      <c r="CL66" s="88">
        <v>73500</v>
      </c>
      <c r="CM66" s="88">
        <v>73500</v>
      </c>
      <c r="CN66" s="88">
        <v>73500</v>
      </c>
      <c r="CO66" s="88">
        <v>73500</v>
      </c>
      <c r="CP66" s="88">
        <v>73500</v>
      </c>
      <c r="CQ66" s="88">
        <v>73500</v>
      </c>
      <c r="CR66" s="88">
        <v>73500</v>
      </c>
      <c r="CS66" s="88">
        <v>73500</v>
      </c>
      <c r="CT66" s="88">
        <v>73500</v>
      </c>
      <c r="CU66" s="88">
        <v>313.19133536076612</v>
      </c>
      <c r="CV66" s="88">
        <v>313.08351227709448</v>
      </c>
      <c r="CW66" s="88">
        <v>312.97576340887753</v>
      </c>
      <c r="CX66" s="88">
        <v>312.86443998693738</v>
      </c>
      <c r="CY66" s="88">
        <v>312.75319573086551</v>
      </c>
      <c r="CZ66" s="88">
        <v>312.64203055623688</v>
      </c>
      <c r="DA66" s="88">
        <v>312.53094437875762</v>
      </c>
      <c r="DB66" s="88">
        <v>312.41811797997389</v>
      </c>
      <c r="DC66" s="88">
        <v>312.30719083597018</v>
      </c>
      <c r="DD66" s="88">
        <v>312.19634243554759</v>
      </c>
      <c r="DE66" s="88">
        <v>312.08557269491757</v>
      </c>
      <c r="DF66" s="88">
        <v>311.97488153035738</v>
      </c>
      <c r="DG66" s="93">
        <v>46054</v>
      </c>
      <c r="DH66" s="91">
        <v>0.03</v>
      </c>
      <c r="DI66" t="s">
        <v>301</v>
      </c>
      <c r="DJ66" s="93">
        <v>46419</v>
      </c>
      <c r="DK66" s="91">
        <v>0.04</v>
      </c>
      <c r="DL66" t="s">
        <v>302</v>
      </c>
      <c r="DM66" s="93"/>
      <c r="DN66" s="91"/>
      <c r="DP66" s="93"/>
      <c r="DQ66" s="91"/>
    </row>
    <row r="67" spans="1:121" x14ac:dyDescent="0.3">
      <c r="A67" t="s">
        <v>24</v>
      </c>
      <c r="B67" t="s">
        <v>42</v>
      </c>
      <c r="C67" t="s">
        <v>48</v>
      </c>
      <c r="D67" t="s">
        <v>305</v>
      </c>
      <c r="E67" t="s">
        <v>430</v>
      </c>
      <c r="F67" s="86">
        <v>59500</v>
      </c>
      <c r="G67" s="87">
        <v>12</v>
      </c>
      <c r="H67" s="88">
        <v>1</v>
      </c>
      <c r="I67" s="88">
        <v>1</v>
      </c>
      <c r="J67" s="89">
        <v>0.9439916119620716</v>
      </c>
      <c r="K67" s="88">
        <v>1</v>
      </c>
      <c r="L67" s="88">
        <v>1.0063648743927289</v>
      </c>
      <c r="M67" s="88">
        <v>1</v>
      </c>
      <c r="N67" s="90">
        <v>0.61199999999999999</v>
      </c>
      <c r="O67" s="90">
        <v>0.61589530312835006</v>
      </c>
      <c r="P67" s="90">
        <v>0.60732505926498503</v>
      </c>
      <c r="Q67" s="91">
        <v>0</v>
      </c>
      <c r="R67" s="88">
        <v>1</v>
      </c>
      <c r="S67" s="88">
        <v>0.99236120794932203</v>
      </c>
      <c r="T67" s="91">
        <v>0</v>
      </c>
      <c r="U67" s="91">
        <v>0</v>
      </c>
      <c r="V67" s="87">
        <v>0</v>
      </c>
      <c r="W67" s="91">
        <v>0</v>
      </c>
      <c r="X67" s="87">
        <v>1</v>
      </c>
      <c r="Y67" s="90">
        <v>0.61589530312835006</v>
      </c>
      <c r="Z67" s="90">
        <v>0.60732505926498503</v>
      </c>
      <c r="AA67" s="92">
        <v>0</v>
      </c>
      <c r="AB67" s="88">
        <v>0</v>
      </c>
      <c r="AC67" s="87">
        <v>0</v>
      </c>
      <c r="AD67" s="87">
        <v>0</v>
      </c>
      <c r="AE67" s="88">
        <v>1</v>
      </c>
      <c r="AF67" s="88">
        <v>1.017066289316704</v>
      </c>
      <c r="AG67" s="88">
        <v>1.017066289316704</v>
      </c>
      <c r="AH67" s="88">
        <v>59500</v>
      </c>
      <c r="AI67" s="88">
        <v>59500</v>
      </c>
      <c r="AJ67" s="88">
        <v>56167.500911743256</v>
      </c>
      <c r="AK67" s="88">
        <v>59500</v>
      </c>
      <c r="AL67" s="88">
        <v>59878.710026367371</v>
      </c>
      <c r="AM67" s="88">
        <v>59500</v>
      </c>
      <c r="AN67" s="88">
        <v>36414</v>
      </c>
      <c r="AO67" s="88">
        <v>36645.770536136828</v>
      </c>
      <c r="AP67" s="88">
        <v>36135.841026266608</v>
      </c>
      <c r="AQ67" s="88">
        <v>0</v>
      </c>
      <c r="AR67" s="88">
        <v>59500</v>
      </c>
      <c r="AS67" s="88">
        <v>59045.491872984661</v>
      </c>
      <c r="AT67" s="88">
        <v>36645.770536136828</v>
      </c>
      <c r="AU67" s="88">
        <v>36135.841026266608</v>
      </c>
      <c r="AV67" s="88">
        <v>56525</v>
      </c>
      <c r="AW67" s="88">
        <v>55930</v>
      </c>
      <c r="AX67" s="88">
        <v>57120</v>
      </c>
      <c r="AY67" s="88">
        <v>59500</v>
      </c>
      <c r="AZ67" s="88">
        <v>59500</v>
      </c>
      <c r="BA67" s="88">
        <v>59500</v>
      </c>
      <c r="BB67" s="88">
        <v>59500</v>
      </c>
      <c r="BC67" s="88">
        <v>59500</v>
      </c>
      <c r="BD67" s="88">
        <v>59500</v>
      </c>
      <c r="BE67" s="88">
        <v>59500</v>
      </c>
      <c r="BF67" s="88">
        <v>59500</v>
      </c>
      <c r="BG67" s="88">
        <v>59500</v>
      </c>
      <c r="BH67" s="88">
        <v>59500</v>
      </c>
      <c r="BI67" s="88">
        <v>59500</v>
      </c>
      <c r="BJ67" s="88">
        <v>59500</v>
      </c>
      <c r="BK67" s="88">
        <v>1023.372523148701</v>
      </c>
      <c r="BL67" s="88">
        <v>1021.951908145502</v>
      </c>
      <c r="BM67" s="88">
        <v>1020.5352317849751</v>
      </c>
      <c r="BN67" s="88">
        <v>1019.074656280798</v>
      </c>
      <c r="BO67" s="88">
        <v>1017.618255511563</v>
      </c>
      <c r="BP67" s="88">
        <v>1016.166011603976</v>
      </c>
      <c r="BQ67" s="88">
        <v>1014.717906786594</v>
      </c>
      <c r="BR67" s="88">
        <v>1013.250285767611</v>
      </c>
      <c r="BS67" s="88">
        <v>1011.8104733507359</v>
      </c>
      <c r="BT67" s="88">
        <v>1010.374747028301</v>
      </c>
      <c r="BU67" s="88">
        <v>1008.943089430894</v>
      </c>
      <c r="BV67" s="88">
        <v>1007.515483287328</v>
      </c>
      <c r="BW67" s="88">
        <v>0</v>
      </c>
      <c r="BX67" s="88">
        <v>0</v>
      </c>
      <c r="BY67" s="88">
        <v>0</v>
      </c>
      <c r="BZ67" s="88">
        <v>0</v>
      </c>
      <c r="CA67" s="88">
        <v>0</v>
      </c>
      <c r="CB67" s="88">
        <v>0</v>
      </c>
      <c r="CC67" s="88">
        <v>0</v>
      </c>
      <c r="CD67" s="88">
        <v>0</v>
      </c>
      <c r="CE67" s="88">
        <v>0</v>
      </c>
      <c r="CF67" s="88">
        <v>0</v>
      </c>
      <c r="CG67" s="88">
        <v>0</v>
      </c>
      <c r="CH67" s="88">
        <v>0</v>
      </c>
      <c r="CI67" s="88">
        <v>59500</v>
      </c>
      <c r="CJ67" s="88">
        <v>59500</v>
      </c>
      <c r="CK67" s="88">
        <v>59500</v>
      </c>
      <c r="CL67" s="88">
        <v>59500</v>
      </c>
      <c r="CM67" s="88">
        <v>59500</v>
      </c>
      <c r="CN67" s="88">
        <v>59500</v>
      </c>
      <c r="CO67" s="88">
        <v>59500</v>
      </c>
      <c r="CP67" s="88">
        <v>59500</v>
      </c>
      <c r="CQ67" s="88">
        <v>59500</v>
      </c>
      <c r="CR67" s="88">
        <v>59500</v>
      </c>
      <c r="CS67" s="88">
        <v>59500</v>
      </c>
      <c r="CT67" s="88">
        <v>59500</v>
      </c>
      <c r="CU67" s="88">
        <v>1023.372523148701</v>
      </c>
      <c r="CV67" s="88">
        <v>1021.951908145502</v>
      </c>
      <c r="CW67" s="88">
        <v>1020.5352317849751</v>
      </c>
      <c r="CX67" s="88">
        <v>1019.074656280798</v>
      </c>
      <c r="CY67" s="88">
        <v>1017.618255511563</v>
      </c>
      <c r="CZ67" s="88">
        <v>1016.166011603976</v>
      </c>
      <c r="DA67" s="88">
        <v>1014.717906786594</v>
      </c>
      <c r="DB67" s="88">
        <v>1013.250285767611</v>
      </c>
      <c r="DC67" s="88">
        <v>1011.8104733507359</v>
      </c>
      <c r="DD67" s="88">
        <v>1010.374747028301</v>
      </c>
      <c r="DE67" s="88">
        <v>1008.943089430894</v>
      </c>
      <c r="DF67" s="88">
        <v>1007.515483287328</v>
      </c>
      <c r="DG67" s="93"/>
      <c r="DH67" s="91"/>
      <c r="DJ67" s="93"/>
      <c r="DK67" s="91"/>
      <c r="DM67" s="93"/>
      <c r="DN67" s="91"/>
      <c r="DP67" s="93"/>
      <c r="DQ67" s="91"/>
    </row>
    <row r="68" spans="1:121" x14ac:dyDescent="0.3">
      <c r="A68" t="s">
        <v>24</v>
      </c>
      <c r="B68" t="s">
        <v>42</v>
      </c>
      <c r="C68" t="s">
        <v>50</v>
      </c>
      <c r="D68" t="s">
        <v>307</v>
      </c>
      <c r="E68" t="s">
        <v>431</v>
      </c>
      <c r="F68" s="86">
        <v>45500</v>
      </c>
      <c r="G68" s="87">
        <v>12</v>
      </c>
      <c r="H68" s="88">
        <v>1.05</v>
      </c>
      <c r="I68" s="88">
        <v>1.0484374999999999</v>
      </c>
      <c r="J68" s="89">
        <v>0.94999999999999973</v>
      </c>
      <c r="K68" s="88">
        <v>1.0014903129657231</v>
      </c>
      <c r="L68" s="88">
        <v>1</v>
      </c>
      <c r="M68" s="88">
        <v>1</v>
      </c>
      <c r="N68" s="90">
        <v>0.64</v>
      </c>
      <c r="O68" s="90">
        <v>0.6409538002980627</v>
      </c>
      <c r="P68" s="90">
        <v>0.64</v>
      </c>
      <c r="Q68" s="91">
        <v>0</v>
      </c>
      <c r="R68" s="88">
        <v>1</v>
      </c>
      <c r="S68" s="88">
        <v>1</v>
      </c>
      <c r="T68" s="91">
        <v>-1.488095238095344E-3</v>
      </c>
      <c r="U68" s="91">
        <v>1.490312965722884E-3</v>
      </c>
      <c r="V68" s="87">
        <v>0</v>
      </c>
      <c r="W68" s="91">
        <v>0</v>
      </c>
      <c r="X68" s="87">
        <v>0</v>
      </c>
      <c r="Y68" s="90">
        <v>0.6409538002980627</v>
      </c>
      <c r="Z68" s="90">
        <v>0.64</v>
      </c>
      <c r="AA68" s="92">
        <v>0</v>
      </c>
      <c r="AB68" s="88">
        <v>0</v>
      </c>
      <c r="AC68" s="87">
        <v>1</v>
      </c>
      <c r="AD68" s="87">
        <v>0</v>
      </c>
      <c r="AE68" s="88">
        <v>1.0125</v>
      </c>
      <c r="AF68" s="88">
        <v>1</v>
      </c>
      <c r="AG68" s="88">
        <v>1.0125</v>
      </c>
      <c r="AH68" s="88">
        <v>47775</v>
      </c>
      <c r="AI68" s="88">
        <v>47703.906249999993</v>
      </c>
      <c r="AJ68" s="88">
        <v>43224.999999999993</v>
      </c>
      <c r="AK68" s="88">
        <v>45567.80923994039</v>
      </c>
      <c r="AL68" s="88">
        <v>45500</v>
      </c>
      <c r="AM68" s="88">
        <v>45500</v>
      </c>
      <c r="AN68" s="88">
        <v>29120</v>
      </c>
      <c r="AO68" s="88">
        <v>29163.39791356185</v>
      </c>
      <c r="AP68" s="88">
        <v>29120</v>
      </c>
      <c r="AQ68" s="88">
        <v>0</v>
      </c>
      <c r="AR68" s="88">
        <v>45500</v>
      </c>
      <c r="AS68" s="88">
        <v>45500</v>
      </c>
      <c r="AT68" s="88">
        <v>29163.39791356185</v>
      </c>
      <c r="AU68" s="88">
        <v>29120</v>
      </c>
      <c r="AV68" s="88">
        <v>43225</v>
      </c>
      <c r="AW68" s="88">
        <v>43225</v>
      </c>
      <c r="AX68" s="88">
        <v>43225</v>
      </c>
      <c r="AY68" s="88">
        <v>45500</v>
      </c>
      <c r="AZ68" s="88">
        <v>45500</v>
      </c>
      <c r="BA68" s="88">
        <v>45500</v>
      </c>
      <c r="BB68" s="88">
        <v>45500</v>
      </c>
      <c r="BC68" s="88">
        <v>45500</v>
      </c>
      <c r="BD68" s="88">
        <v>45500</v>
      </c>
      <c r="BE68" s="88">
        <v>45500</v>
      </c>
      <c r="BF68" s="88">
        <v>45500</v>
      </c>
      <c r="BG68" s="88">
        <v>45500</v>
      </c>
      <c r="BH68" s="88">
        <v>45500</v>
      </c>
      <c r="BI68" s="88">
        <v>45500</v>
      </c>
      <c r="BJ68" s="88">
        <v>45500</v>
      </c>
      <c r="BK68" s="88">
        <v>2275.0000000000018</v>
      </c>
      <c r="BL68" s="88">
        <v>2275.0000000000018</v>
      </c>
      <c r="BM68" s="88">
        <v>2275.0000000000018</v>
      </c>
      <c r="BN68" s="88">
        <v>0</v>
      </c>
      <c r="BO68" s="88">
        <v>0</v>
      </c>
      <c r="BP68" s="88">
        <v>0</v>
      </c>
      <c r="BQ68" s="88">
        <v>0</v>
      </c>
      <c r="BR68" s="88">
        <v>0</v>
      </c>
      <c r="BS68" s="88">
        <v>0</v>
      </c>
      <c r="BT68" s="88">
        <v>0</v>
      </c>
      <c r="BU68" s="88">
        <v>0</v>
      </c>
      <c r="BV68" s="88">
        <v>0</v>
      </c>
      <c r="BW68" s="88">
        <v>2275.0000000000018</v>
      </c>
      <c r="BX68" s="88">
        <v>2275.0000000000018</v>
      </c>
      <c r="BY68" s="88">
        <v>2275.0000000000018</v>
      </c>
      <c r="BZ68" s="88">
        <v>0</v>
      </c>
      <c r="CA68" s="88">
        <v>0</v>
      </c>
      <c r="CB68" s="88">
        <v>0</v>
      </c>
      <c r="CC68" s="88">
        <v>0</v>
      </c>
      <c r="CD68" s="88">
        <v>0</v>
      </c>
      <c r="CE68" s="88">
        <v>0</v>
      </c>
      <c r="CF68" s="88">
        <v>0</v>
      </c>
      <c r="CG68" s="88">
        <v>0</v>
      </c>
      <c r="CH68" s="88">
        <v>0</v>
      </c>
      <c r="CI68" s="88">
        <v>0</v>
      </c>
      <c r="CJ68" s="88">
        <v>0</v>
      </c>
      <c r="CK68" s="88">
        <v>0</v>
      </c>
      <c r="CL68" s="88">
        <v>0</v>
      </c>
      <c r="CM68" s="88">
        <v>0</v>
      </c>
      <c r="CN68" s="88">
        <v>0</v>
      </c>
      <c r="CO68" s="88">
        <v>0</v>
      </c>
      <c r="CP68" s="88">
        <v>0</v>
      </c>
      <c r="CQ68" s="88">
        <v>0</v>
      </c>
      <c r="CR68" s="88">
        <v>0</v>
      </c>
      <c r="CS68" s="88">
        <v>0</v>
      </c>
      <c r="CT68" s="88">
        <v>0</v>
      </c>
      <c r="CU68" s="88">
        <v>0</v>
      </c>
      <c r="CV68" s="88">
        <v>0</v>
      </c>
      <c r="CW68" s="88">
        <v>0</v>
      </c>
      <c r="CX68" s="88">
        <v>0</v>
      </c>
      <c r="CY68" s="88">
        <v>0</v>
      </c>
      <c r="CZ68" s="88">
        <v>0</v>
      </c>
      <c r="DA68" s="88">
        <v>0</v>
      </c>
      <c r="DB68" s="88">
        <v>0</v>
      </c>
      <c r="DC68" s="88">
        <v>0</v>
      </c>
      <c r="DD68" s="88">
        <v>0</v>
      </c>
      <c r="DE68" s="88">
        <v>0</v>
      </c>
      <c r="DF68" s="88">
        <v>0</v>
      </c>
      <c r="DG68" s="93">
        <v>46113</v>
      </c>
      <c r="DH68" s="91">
        <v>0.05</v>
      </c>
      <c r="DI68" t="s">
        <v>301</v>
      </c>
      <c r="DJ68" s="93"/>
      <c r="DK68" s="91"/>
      <c r="DM68" s="93"/>
      <c r="DN68" s="91"/>
      <c r="DP68" s="93"/>
      <c r="DQ68" s="91"/>
    </row>
    <row r="69" spans="1:121" x14ac:dyDescent="0.3">
      <c r="A69" t="s">
        <v>24</v>
      </c>
      <c r="B69" t="s">
        <v>42</v>
      </c>
      <c r="C69" t="s">
        <v>57</v>
      </c>
      <c r="D69" t="s">
        <v>309</v>
      </c>
      <c r="E69" t="s">
        <v>432</v>
      </c>
      <c r="F69" s="86">
        <v>31500</v>
      </c>
      <c r="G69" s="87">
        <v>12</v>
      </c>
      <c r="H69" s="88">
        <v>1.06</v>
      </c>
      <c r="I69" s="88">
        <v>1.0566666666666671</v>
      </c>
      <c r="J69" s="89">
        <v>0.94299370897155343</v>
      </c>
      <c r="K69" s="88">
        <v>1.0031545741324921</v>
      </c>
      <c r="L69" s="88">
        <v>1.007429838568157</v>
      </c>
      <c r="M69" s="88">
        <v>1</v>
      </c>
      <c r="N69" s="90">
        <v>0.624</v>
      </c>
      <c r="O69" s="90">
        <v>0.63061929882257584</v>
      </c>
      <c r="P69" s="90">
        <v>0.62204577147389617</v>
      </c>
      <c r="Q69" s="91">
        <v>0</v>
      </c>
      <c r="R69" s="88">
        <v>0.99999999999999978</v>
      </c>
      <c r="S69" s="88">
        <v>0.99686822351585935</v>
      </c>
      <c r="T69" s="91">
        <v>-3.1446540880502032E-3</v>
      </c>
      <c r="U69" s="91">
        <v>3.154574132492094E-3</v>
      </c>
      <c r="V69" s="87">
        <v>0</v>
      </c>
      <c r="W69" s="91">
        <v>0</v>
      </c>
      <c r="X69" s="87">
        <v>1</v>
      </c>
      <c r="Y69" s="90">
        <v>0.63061929882257584</v>
      </c>
      <c r="Z69" s="90">
        <v>0.62204577147389617</v>
      </c>
      <c r="AA69" s="92">
        <v>0</v>
      </c>
      <c r="AB69" s="88">
        <v>0</v>
      </c>
      <c r="AC69" s="87">
        <v>1</v>
      </c>
      <c r="AD69" s="87">
        <v>0</v>
      </c>
      <c r="AE69" s="88">
        <v>1.02</v>
      </c>
      <c r="AF69" s="88">
        <v>1.012785937399076</v>
      </c>
      <c r="AG69" s="88">
        <v>1.033042747911729</v>
      </c>
      <c r="AH69" s="88">
        <v>33390</v>
      </c>
      <c r="AI69" s="88">
        <v>33285.000000000007</v>
      </c>
      <c r="AJ69" s="88">
        <v>29704.301832603931</v>
      </c>
      <c r="AK69" s="88">
        <v>31599.36908517349</v>
      </c>
      <c r="AL69" s="88">
        <v>31734.039914896959</v>
      </c>
      <c r="AM69" s="88">
        <v>31500</v>
      </c>
      <c r="AN69" s="88">
        <v>19656</v>
      </c>
      <c r="AO69" s="88">
        <v>19864.50791291114</v>
      </c>
      <c r="AP69" s="88">
        <v>19594.441801427729</v>
      </c>
      <c r="AQ69" s="88">
        <v>0</v>
      </c>
      <c r="AR69" s="88">
        <v>31499.999999999989</v>
      </c>
      <c r="AS69" s="88">
        <v>31401.34904074957</v>
      </c>
      <c r="AT69" s="88">
        <v>19864.50791291114</v>
      </c>
      <c r="AU69" s="88">
        <v>19594.441801427729</v>
      </c>
      <c r="AV69" s="88">
        <v>29925</v>
      </c>
      <c r="AW69" s="88">
        <v>29610</v>
      </c>
      <c r="AX69" s="88">
        <v>30082.5</v>
      </c>
      <c r="AY69" s="88">
        <v>31500</v>
      </c>
      <c r="AZ69" s="88">
        <v>31500</v>
      </c>
      <c r="BA69" s="88">
        <v>31500</v>
      </c>
      <c r="BB69" s="88">
        <v>31500</v>
      </c>
      <c r="BC69" s="88">
        <v>31500</v>
      </c>
      <c r="BD69" s="88">
        <v>31500</v>
      </c>
      <c r="BE69" s="88">
        <v>31500</v>
      </c>
      <c r="BF69" s="88">
        <v>31500</v>
      </c>
      <c r="BG69" s="88">
        <v>31500</v>
      </c>
      <c r="BH69" s="88">
        <v>31500</v>
      </c>
      <c r="BI69" s="88">
        <v>31500</v>
      </c>
      <c r="BJ69" s="88">
        <v>31500</v>
      </c>
      <c r="BK69" s="88">
        <v>2319.416808094571</v>
      </c>
      <c r="BL69" s="88">
        <v>2318.9709264126191</v>
      </c>
      <c r="BM69" s="88">
        <v>2318.5259697259212</v>
      </c>
      <c r="BN69" s="88">
        <v>2318.0668992647429</v>
      </c>
      <c r="BO69" s="88">
        <v>403.40453899547941</v>
      </c>
      <c r="BP69" s="88">
        <v>402.97330451544832</v>
      </c>
      <c r="BQ69" s="88">
        <v>402.54299101959032</v>
      </c>
      <c r="BR69" s="88">
        <v>402.10656392261581</v>
      </c>
      <c r="BS69" s="88">
        <v>401.67809854316459</v>
      </c>
      <c r="BT69" s="88">
        <v>401.25054529591421</v>
      </c>
      <c r="BU69" s="88">
        <v>400.82390127129003</v>
      </c>
      <c r="BV69" s="88">
        <v>400.39816357209747</v>
      </c>
      <c r="BW69" s="88">
        <v>1890.000000000002</v>
      </c>
      <c r="BX69" s="88">
        <v>1890.000000000002</v>
      </c>
      <c r="BY69" s="88">
        <v>1890.000000000002</v>
      </c>
      <c r="BZ69" s="88">
        <v>1890.000000000002</v>
      </c>
      <c r="CA69" s="88">
        <v>0</v>
      </c>
      <c r="CB69" s="88">
        <v>0</v>
      </c>
      <c r="CC69" s="88">
        <v>0</v>
      </c>
      <c r="CD69" s="88">
        <v>0</v>
      </c>
      <c r="CE69" s="88">
        <v>0</v>
      </c>
      <c r="CF69" s="88">
        <v>0</v>
      </c>
      <c r="CG69" s="88">
        <v>0</v>
      </c>
      <c r="CH69" s="88">
        <v>0</v>
      </c>
      <c r="CI69" s="88">
        <v>31500</v>
      </c>
      <c r="CJ69" s="88">
        <v>31500</v>
      </c>
      <c r="CK69" s="88">
        <v>31500</v>
      </c>
      <c r="CL69" s="88">
        <v>31500</v>
      </c>
      <c r="CM69" s="88">
        <v>31500</v>
      </c>
      <c r="CN69" s="88">
        <v>31500</v>
      </c>
      <c r="CO69" s="88">
        <v>31500</v>
      </c>
      <c r="CP69" s="88">
        <v>31500</v>
      </c>
      <c r="CQ69" s="88">
        <v>31500</v>
      </c>
      <c r="CR69" s="88">
        <v>31500</v>
      </c>
      <c r="CS69" s="88">
        <v>31500</v>
      </c>
      <c r="CT69" s="88">
        <v>31500</v>
      </c>
      <c r="CU69" s="88">
        <v>405.11019631562891</v>
      </c>
      <c r="CV69" s="88">
        <v>404.68955321945282</v>
      </c>
      <c r="CW69" s="88">
        <v>404.26978276030331</v>
      </c>
      <c r="CX69" s="88">
        <v>403.83669741956862</v>
      </c>
      <c r="CY69" s="88">
        <v>403.40453899547941</v>
      </c>
      <c r="CZ69" s="88">
        <v>402.97330451544832</v>
      </c>
      <c r="DA69" s="88">
        <v>402.54299101959032</v>
      </c>
      <c r="DB69" s="88">
        <v>402.10656392261581</v>
      </c>
      <c r="DC69" s="88">
        <v>401.67809854316459</v>
      </c>
      <c r="DD69" s="88">
        <v>401.25054529591421</v>
      </c>
      <c r="DE69" s="88">
        <v>400.82390127129003</v>
      </c>
      <c r="DF69" s="88">
        <v>400.39816357209747</v>
      </c>
      <c r="DG69" s="93">
        <v>46143</v>
      </c>
      <c r="DH69" s="91">
        <v>0.06</v>
      </c>
      <c r="DI69" t="s">
        <v>301</v>
      </c>
      <c r="DJ69" s="93"/>
      <c r="DK69" s="91"/>
      <c r="DM69" s="93"/>
      <c r="DN69" s="91"/>
      <c r="DP69" s="93"/>
      <c r="DQ69" s="91"/>
    </row>
    <row r="70" spans="1:121" x14ac:dyDescent="0.3">
      <c r="A70" t="s">
        <v>24</v>
      </c>
      <c r="B70" t="s">
        <v>42</v>
      </c>
      <c r="C70" t="s">
        <v>58</v>
      </c>
      <c r="D70" t="s">
        <v>311</v>
      </c>
      <c r="E70" t="s">
        <v>433</v>
      </c>
      <c r="F70" s="86">
        <v>77000</v>
      </c>
      <c r="G70" s="87">
        <v>12</v>
      </c>
      <c r="H70" s="88">
        <v>1.0449999999999999</v>
      </c>
      <c r="I70" s="88">
        <v>1.0482055555555549</v>
      </c>
      <c r="J70" s="89">
        <v>0.93800949758575369</v>
      </c>
      <c r="K70" s="88">
        <v>0.99694186360817705</v>
      </c>
      <c r="L70" s="88">
        <v>1.0127829221826721</v>
      </c>
      <c r="M70" s="88">
        <v>1</v>
      </c>
      <c r="N70" s="90">
        <v>0.60799999999999998</v>
      </c>
      <c r="O70" s="90">
        <v>0.61388890187376777</v>
      </c>
      <c r="P70" s="90">
        <v>0.59502620019585351</v>
      </c>
      <c r="Q70" s="91">
        <v>0</v>
      </c>
      <c r="R70" s="88">
        <v>0.96475948010183565</v>
      </c>
      <c r="S70" s="88">
        <v>1.0144098437640841</v>
      </c>
      <c r="T70" s="91">
        <v>3.0675172780434412E-3</v>
      </c>
      <c r="U70" s="91">
        <v>3.3357934459420369E-2</v>
      </c>
      <c r="V70" s="87">
        <v>0</v>
      </c>
      <c r="W70" s="91">
        <v>0</v>
      </c>
      <c r="X70" s="87">
        <v>1</v>
      </c>
      <c r="Y70" s="90">
        <v>0.61388890187376777</v>
      </c>
      <c r="Z70" s="90">
        <v>0.59502620019585351</v>
      </c>
      <c r="AA70" s="92">
        <v>0</v>
      </c>
      <c r="AB70" s="88">
        <v>0</v>
      </c>
      <c r="AC70" s="87">
        <v>1</v>
      </c>
      <c r="AD70" s="87">
        <v>1</v>
      </c>
      <c r="AE70" s="88">
        <v>1.042083333333333</v>
      </c>
      <c r="AF70" s="88">
        <v>0.9999530526615702</v>
      </c>
      <c r="AG70" s="88">
        <v>1.042042523569729</v>
      </c>
      <c r="AH70" s="88">
        <v>80465</v>
      </c>
      <c r="AI70" s="88">
        <v>80711.827777777769</v>
      </c>
      <c r="AJ70" s="88">
        <v>72226.731314103032</v>
      </c>
      <c r="AK70" s="88">
        <v>76764.523497829636</v>
      </c>
      <c r="AL70" s="88">
        <v>77984.285008065766</v>
      </c>
      <c r="AM70" s="88">
        <v>77000</v>
      </c>
      <c r="AN70" s="88">
        <v>46816</v>
      </c>
      <c r="AO70" s="88">
        <v>47269.445444280122</v>
      </c>
      <c r="AP70" s="88">
        <v>45817.017415080722</v>
      </c>
      <c r="AQ70" s="88">
        <v>0</v>
      </c>
      <c r="AR70" s="88">
        <v>74286.47996784134</v>
      </c>
      <c r="AS70" s="88">
        <v>78109.557969834495</v>
      </c>
      <c r="AT70" s="88">
        <v>47269.445444280122</v>
      </c>
      <c r="AU70" s="88">
        <v>45817.017415080722</v>
      </c>
      <c r="AV70" s="88">
        <v>73150</v>
      </c>
      <c r="AW70" s="88">
        <v>72380</v>
      </c>
      <c r="AX70" s="88">
        <v>71995</v>
      </c>
      <c r="AY70" s="88">
        <v>77000</v>
      </c>
      <c r="AZ70" s="88">
        <v>77000</v>
      </c>
      <c r="BA70" s="88">
        <v>77000</v>
      </c>
      <c r="BB70" s="88">
        <v>77000</v>
      </c>
      <c r="BC70" s="88">
        <v>77000</v>
      </c>
      <c r="BD70" s="88">
        <v>77000</v>
      </c>
      <c r="BE70" s="88">
        <v>77000</v>
      </c>
      <c r="BF70" s="88">
        <v>77000</v>
      </c>
      <c r="BG70" s="88">
        <v>77000</v>
      </c>
      <c r="BH70" s="88">
        <v>77000</v>
      </c>
      <c r="BI70" s="88">
        <v>77000</v>
      </c>
      <c r="BJ70" s="88">
        <v>77000</v>
      </c>
      <c r="BK70" s="88">
        <v>3972.0235908897948</v>
      </c>
      <c r="BL70" s="88">
        <v>3874.124305141534</v>
      </c>
      <c r="BM70" s="88">
        <v>3776.3943481492179</v>
      </c>
      <c r="BN70" s="88">
        <v>3675.5290805346508</v>
      </c>
      <c r="BO70" s="88">
        <v>3574.843863584369</v>
      </c>
      <c r="BP70" s="88">
        <v>3089.2935351685728</v>
      </c>
      <c r="BQ70" s="88">
        <v>2989.4470076290072</v>
      </c>
      <c r="BR70" s="88">
        <v>2888.14580024308</v>
      </c>
      <c r="BS70" s="88">
        <v>2788.657213142636</v>
      </c>
      <c r="BT70" s="88">
        <v>2739.7318991158631</v>
      </c>
      <c r="BU70" s="88">
        <v>2739.61103994411</v>
      </c>
      <c r="BV70" s="88">
        <v>2739.4900948864029</v>
      </c>
      <c r="BW70" s="88">
        <v>3464.999999999995</v>
      </c>
      <c r="BX70" s="88">
        <v>3464.999999999995</v>
      </c>
      <c r="BY70" s="88">
        <v>3464.999999999995</v>
      </c>
      <c r="BZ70" s="88">
        <v>3464.999999999995</v>
      </c>
      <c r="CA70" s="88">
        <v>3464.999999999995</v>
      </c>
      <c r="CB70" s="88">
        <v>3080.0000000000032</v>
      </c>
      <c r="CC70" s="88">
        <v>3080.0000000000032</v>
      </c>
      <c r="CD70" s="88">
        <v>3080.0000000000032</v>
      </c>
      <c r="CE70" s="88">
        <v>3080.0000000000032</v>
      </c>
      <c r="CF70" s="88">
        <v>3080.0000000000032</v>
      </c>
      <c r="CG70" s="88">
        <v>3080.0000000000032</v>
      </c>
      <c r="CH70" s="88">
        <v>3080.0000000000032</v>
      </c>
      <c r="CI70" s="88">
        <v>77000</v>
      </c>
      <c r="CJ70" s="88">
        <v>77000</v>
      </c>
      <c r="CK70" s="88">
        <v>77000</v>
      </c>
      <c r="CL70" s="88">
        <v>77000</v>
      </c>
      <c r="CM70" s="88">
        <v>77000</v>
      </c>
      <c r="CN70" s="88">
        <v>77000</v>
      </c>
      <c r="CO70" s="88">
        <v>77000</v>
      </c>
      <c r="CP70" s="88">
        <v>77000</v>
      </c>
      <c r="CQ70" s="88">
        <v>77000</v>
      </c>
      <c r="CR70" s="88">
        <v>77000</v>
      </c>
      <c r="CS70" s="88">
        <v>77000</v>
      </c>
      <c r="CT70" s="88">
        <v>77000</v>
      </c>
      <c r="CU70" s="88">
        <v>485.1900391289916</v>
      </c>
      <c r="CV70" s="88">
        <v>391.50651209716523</v>
      </c>
      <c r="CW70" s="88">
        <v>297.98502215236681</v>
      </c>
      <c r="CX70" s="88">
        <v>201.4632349614001</v>
      </c>
      <c r="CY70" s="88">
        <v>105.1137450568127</v>
      </c>
      <c r="CZ70" s="88">
        <v>8.9360915082332681</v>
      </c>
      <c r="DA70" s="88">
        <v>-87.070184972107839</v>
      </c>
      <c r="DB70" s="88">
        <v>-184.47519207396019</v>
      </c>
      <c r="DC70" s="88">
        <v>-280.13729505516108</v>
      </c>
      <c r="DD70" s="88">
        <v>-327.18086623475779</v>
      </c>
      <c r="DE70" s="88">
        <v>-327.29707697681351</v>
      </c>
      <c r="DF70" s="88">
        <v>-327.41337030153852</v>
      </c>
      <c r="DG70" s="93">
        <v>46174</v>
      </c>
      <c r="DH70" s="91">
        <v>4.4999999999999998E-2</v>
      </c>
      <c r="DI70" t="s">
        <v>301</v>
      </c>
      <c r="DJ70" s="93">
        <v>46539</v>
      </c>
      <c r="DK70" s="91">
        <v>0.04</v>
      </c>
      <c r="DL70" t="s">
        <v>302</v>
      </c>
      <c r="DM70" s="93"/>
      <c r="DN70" s="91"/>
      <c r="DP70" s="93"/>
      <c r="DQ70" s="91"/>
    </row>
    <row r="71" spans="1:121" x14ac:dyDescent="0.3">
      <c r="A71" t="s">
        <v>24</v>
      </c>
      <c r="B71" t="s">
        <v>42</v>
      </c>
      <c r="C71" t="s">
        <v>65</v>
      </c>
      <c r="D71" t="s">
        <v>313</v>
      </c>
      <c r="E71" t="s">
        <v>434</v>
      </c>
      <c r="F71" s="86">
        <v>63000</v>
      </c>
      <c r="G71" s="87">
        <v>12</v>
      </c>
      <c r="H71" s="88">
        <v>1.03</v>
      </c>
      <c r="I71" s="88">
        <v>1.0262500000000001</v>
      </c>
      <c r="J71" s="89">
        <v>0.94199580598103549</v>
      </c>
      <c r="K71" s="88">
        <v>1.003654080389768</v>
      </c>
      <c r="L71" s="88">
        <v>1.008497059082581</v>
      </c>
      <c r="M71" s="88">
        <v>1</v>
      </c>
      <c r="N71" s="90">
        <v>0.63600000000000001</v>
      </c>
      <c r="O71" s="90">
        <v>0.64374787182832349</v>
      </c>
      <c r="P71" s="90">
        <v>0.63690080811972904</v>
      </c>
      <c r="Q71" s="91">
        <v>0</v>
      </c>
      <c r="R71" s="88">
        <v>0.99999999999999978</v>
      </c>
      <c r="S71" s="88">
        <v>1.001416364968128</v>
      </c>
      <c r="T71" s="91">
        <v>-3.640776699028847E-3</v>
      </c>
      <c r="U71" s="91">
        <v>3.6540803897684442E-3</v>
      </c>
      <c r="V71" s="87">
        <v>0</v>
      </c>
      <c r="W71" s="91">
        <v>0</v>
      </c>
      <c r="X71" s="87">
        <v>1</v>
      </c>
      <c r="Y71" s="90">
        <v>0.64374787182832349</v>
      </c>
      <c r="Z71" s="90">
        <v>0.63690080811972904</v>
      </c>
      <c r="AA71" s="92">
        <v>0</v>
      </c>
      <c r="AB71" s="88">
        <v>0</v>
      </c>
      <c r="AC71" s="87">
        <v>1</v>
      </c>
      <c r="AD71" s="87">
        <v>0</v>
      </c>
      <c r="AE71" s="88">
        <v>1.0149999999999999</v>
      </c>
      <c r="AF71" s="88">
        <v>1.008514817427199</v>
      </c>
      <c r="AG71" s="88">
        <v>1.0236428121887149</v>
      </c>
      <c r="AH71" s="88">
        <v>64890</v>
      </c>
      <c r="AI71" s="88">
        <v>64653.750000000022</v>
      </c>
      <c r="AJ71" s="88">
        <v>59345.735776805239</v>
      </c>
      <c r="AK71" s="88">
        <v>63230.207064555398</v>
      </c>
      <c r="AL71" s="88">
        <v>63535.314722202602</v>
      </c>
      <c r="AM71" s="88">
        <v>63000</v>
      </c>
      <c r="AN71" s="88">
        <v>40068</v>
      </c>
      <c r="AO71" s="88">
        <v>40556.115925184378</v>
      </c>
      <c r="AP71" s="88">
        <v>40124.750911542927</v>
      </c>
      <c r="AQ71" s="88">
        <v>0</v>
      </c>
      <c r="AR71" s="88">
        <v>62999.999999999993</v>
      </c>
      <c r="AS71" s="88">
        <v>63089.230992992037</v>
      </c>
      <c r="AT71" s="88">
        <v>40556.115925184378</v>
      </c>
      <c r="AU71" s="88">
        <v>40124.750911542927</v>
      </c>
      <c r="AV71" s="88">
        <v>59850</v>
      </c>
      <c r="AW71" s="88">
        <v>59220</v>
      </c>
      <c r="AX71" s="88">
        <v>59850</v>
      </c>
      <c r="AY71" s="88">
        <v>63000</v>
      </c>
      <c r="AZ71" s="88">
        <v>63000</v>
      </c>
      <c r="BA71" s="88">
        <v>63000</v>
      </c>
      <c r="BB71" s="88">
        <v>63000</v>
      </c>
      <c r="BC71" s="88">
        <v>63000</v>
      </c>
      <c r="BD71" s="88">
        <v>63000</v>
      </c>
      <c r="BE71" s="88">
        <v>63000</v>
      </c>
      <c r="BF71" s="88">
        <v>63000</v>
      </c>
      <c r="BG71" s="88">
        <v>63000</v>
      </c>
      <c r="BH71" s="88">
        <v>63000</v>
      </c>
      <c r="BI71" s="88">
        <v>63000</v>
      </c>
      <c r="BJ71" s="88">
        <v>63000</v>
      </c>
      <c r="BK71" s="88">
        <v>2444.67383285911</v>
      </c>
      <c r="BL71" s="88">
        <v>2444.2908963257701</v>
      </c>
      <c r="BM71" s="88">
        <v>2443.9084881722242</v>
      </c>
      <c r="BN71" s="88">
        <v>2443.5136714185519</v>
      </c>
      <c r="BO71" s="88">
        <v>2443.1194171016232</v>
      </c>
      <c r="BP71" s="88">
        <v>2442.7257240204408</v>
      </c>
      <c r="BQ71" s="88">
        <v>536.24523395870028</v>
      </c>
      <c r="BR71" s="88">
        <v>535.85785027672989</v>
      </c>
      <c r="BS71" s="88">
        <v>535.47726055468627</v>
      </c>
      <c r="BT71" s="88">
        <v>535.09721107194184</v>
      </c>
      <c r="BU71" s="88">
        <v>534.7177006790082</v>
      </c>
      <c r="BV71" s="88">
        <v>534.33872822968431</v>
      </c>
      <c r="BW71" s="88">
        <v>1890.000000000002</v>
      </c>
      <c r="BX71" s="88">
        <v>1890.000000000002</v>
      </c>
      <c r="BY71" s="88">
        <v>1890.000000000002</v>
      </c>
      <c r="BZ71" s="88">
        <v>1890.000000000002</v>
      </c>
      <c r="CA71" s="88">
        <v>1890.000000000002</v>
      </c>
      <c r="CB71" s="88">
        <v>1890.000000000002</v>
      </c>
      <c r="CC71" s="88">
        <v>0</v>
      </c>
      <c r="CD71" s="88">
        <v>0</v>
      </c>
      <c r="CE71" s="88">
        <v>0</v>
      </c>
      <c r="CF71" s="88">
        <v>0</v>
      </c>
      <c r="CG71" s="88">
        <v>0</v>
      </c>
      <c r="CH71" s="88">
        <v>0</v>
      </c>
      <c r="CI71" s="88">
        <v>63000</v>
      </c>
      <c r="CJ71" s="88">
        <v>63000</v>
      </c>
      <c r="CK71" s="88">
        <v>63000</v>
      </c>
      <c r="CL71" s="88">
        <v>63000</v>
      </c>
      <c r="CM71" s="88">
        <v>63000</v>
      </c>
      <c r="CN71" s="88">
        <v>63000</v>
      </c>
      <c r="CO71" s="88">
        <v>63000</v>
      </c>
      <c r="CP71" s="88">
        <v>63000</v>
      </c>
      <c r="CQ71" s="88">
        <v>63000</v>
      </c>
      <c r="CR71" s="88">
        <v>63000</v>
      </c>
      <c r="CS71" s="88">
        <v>63000</v>
      </c>
      <c r="CT71" s="88">
        <v>63000</v>
      </c>
      <c r="CU71" s="88">
        <v>538.5182843292273</v>
      </c>
      <c r="CV71" s="88">
        <v>538.14650128715289</v>
      </c>
      <c r="CW71" s="88">
        <v>537.77523123516892</v>
      </c>
      <c r="CX71" s="88">
        <v>537.39191399859897</v>
      </c>
      <c r="CY71" s="88">
        <v>537.00914281710618</v>
      </c>
      <c r="CZ71" s="88">
        <v>536.62691652469528</v>
      </c>
      <c r="DA71" s="88">
        <v>536.24523395870028</v>
      </c>
      <c r="DB71" s="88">
        <v>535.85785027672989</v>
      </c>
      <c r="DC71" s="88">
        <v>535.47726055468627</v>
      </c>
      <c r="DD71" s="88">
        <v>535.09721107194184</v>
      </c>
      <c r="DE71" s="88">
        <v>534.7177006790082</v>
      </c>
      <c r="DF71" s="88">
        <v>534.33872822968431</v>
      </c>
      <c r="DG71" s="93">
        <v>46204</v>
      </c>
      <c r="DH71" s="91">
        <v>0.03</v>
      </c>
      <c r="DI71" t="s">
        <v>301</v>
      </c>
      <c r="DJ71" s="93"/>
      <c r="DK71" s="91"/>
      <c r="DM71" s="93"/>
      <c r="DN71" s="91"/>
      <c r="DP71" s="93"/>
      <c r="DQ71" s="91"/>
    </row>
    <row r="72" spans="1:121" x14ac:dyDescent="0.3">
      <c r="A72" t="s">
        <v>24</v>
      </c>
      <c r="B72" t="s">
        <v>42</v>
      </c>
      <c r="C72" t="s">
        <v>66</v>
      </c>
      <c r="D72" t="s">
        <v>315</v>
      </c>
      <c r="E72" t="s">
        <v>435</v>
      </c>
      <c r="F72" s="86">
        <v>49000</v>
      </c>
      <c r="G72" s="87">
        <v>12</v>
      </c>
      <c r="H72" s="88">
        <v>1.04</v>
      </c>
      <c r="I72" s="88">
        <v>1.033194444444445</v>
      </c>
      <c r="J72" s="89">
        <v>0.93800419401896429</v>
      </c>
      <c r="K72" s="88">
        <v>1.006586906842317</v>
      </c>
      <c r="L72" s="88">
        <v>1.012788648555651</v>
      </c>
      <c r="M72" s="88">
        <v>1</v>
      </c>
      <c r="N72" s="90">
        <v>0.62</v>
      </c>
      <c r="O72" s="90">
        <v>0.6320650716814793</v>
      </c>
      <c r="P72" s="90">
        <v>0.63241962730786005</v>
      </c>
      <c r="Q72" s="91">
        <v>0</v>
      </c>
      <c r="R72" s="88">
        <v>0.99999999999999978</v>
      </c>
      <c r="S72" s="88">
        <v>1.020031656948162</v>
      </c>
      <c r="T72" s="91">
        <v>-6.54380341880334E-3</v>
      </c>
      <c r="U72" s="91">
        <v>6.5869068423176644E-3</v>
      </c>
      <c r="V72" s="87">
        <v>0</v>
      </c>
      <c r="W72" s="91">
        <v>0</v>
      </c>
      <c r="X72" s="87">
        <v>1</v>
      </c>
      <c r="Y72" s="90">
        <v>0.6320650716814793</v>
      </c>
      <c r="Z72" s="90">
        <v>0.63241962730786005</v>
      </c>
      <c r="AA72" s="92">
        <v>0</v>
      </c>
      <c r="AB72" s="88">
        <v>0</v>
      </c>
      <c r="AC72" s="87">
        <v>1</v>
      </c>
      <c r="AD72" s="87">
        <v>0</v>
      </c>
      <c r="AE72" s="88">
        <v>1.023333333333333</v>
      </c>
      <c r="AF72" s="88">
        <v>0.99152129657519972</v>
      </c>
      <c r="AG72" s="88">
        <v>1.01465714421483</v>
      </c>
      <c r="AH72" s="88">
        <v>50960</v>
      </c>
      <c r="AI72" s="88">
        <v>50626.527777777781</v>
      </c>
      <c r="AJ72" s="88">
        <v>45962.205506929247</v>
      </c>
      <c r="AK72" s="88">
        <v>49322.758435273558</v>
      </c>
      <c r="AL72" s="88">
        <v>49626.643779226921</v>
      </c>
      <c r="AM72" s="88">
        <v>49000</v>
      </c>
      <c r="AN72" s="88">
        <v>30380</v>
      </c>
      <c r="AO72" s="88">
        <v>30971.18851239248</v>
      </c>
      <c r="AP72" s="88">
        <v>30988.56173808514</v>
      </c>
      <c r="AQ72" s="88">
        <v>0</v>
      </c>
      <c r="AR72" s="88">
        <v>48999.999999999993</v>
      </c>
      <c r="AS72" s="88">
        <v>49981.551190459919</v>
      </c>
      <c r="AT72" s="88">
        <v>30971.18851239248</v>
      </c>
      <c r="AU72" s="88">
        <v>30988.56173808514</v>
      </c>
      <c r="AV72" s="88">
        <v>46550</v>
      </c>
      <c r="AW72" s="88">
        <v>46060</v>
      </c>
      <c r="AX72" s="88">
        <v>45570</v>
      </c>
      <c r="AY72" s="88">
        <v>49000</v>
      </c>
      <c r="AZ72" s="88">
        <v>49000</v>
      </c>
      <c r="BA72" s="88">
        <v>49000</v>
      </c>
      <c r="BB72" s="88">
        <v>49000</v>
      </c>
      <c r="BC72" s="88">
        <v>49000</v>
      </c>
      <c r="BD72" s="88">
        <v>49000</v>
      </c>
      <c r="BE72" s="88">
        <v>49000</v>
      </c>
      <c r="BF72" s="88">
        <v>49000</v>
      </c>
      <c r="BG72" s="88">
        <v>49000</v>
      </c>
      <c r="BH72" s="88">
        <v>49000</v>
      </c>
      <c r="BI72" s="88">
        <v>49000</v>
      </c>
      <c r="BJ72" s="88">
        <v>49000</v>
      </c>
      <c r="BK72" s="88">
        <v>1529.589614837269</v>
      </c>
      <c r="BL72" s="88">
        <v>1529.2956050572029</v>
      </c>
      <c r="BM72" s="88">
        <v>1529.0011933312551</v>
      </c>
      <c r="BN72" s="88">
        <v>1528.6963780550091</v>
      </c>
      <c r="BO72" s="88">
        <v>1528.391131324631</v>
      </c>
      <c r="BP72" s="88">
        <v>1528.085452223389</v>
      </c>
      <c r="BQ72" s="88">
        <v>1527.7793398320071</v>
      </c>
      <c r="BR72" s="88">
        <v>-415.8963805271635</v>
      </c>
      <c r="BS72" s="88">
        <v>-416.19156214366461</v>
      </c>
      <c r="BT72" s="88">
        <v>-416.48716306689101</v>
      </c>
      <c r="BU72" s="88">
        <v>-416.78318419089447</v>
      </c>
      <c r="BV72" s="88">
        <v>-417.07962641232251</v>
      </c>
      <c r="BW72" s="88">
        <v>1960.000000000002</v>
      </c>
      <c r="BX72" s="88">
        <v>1960.000000000002</v>
      </c>
      <c r="BY72" s="88">
        <v>1960.000000000002</v>
      </c>
      <c r="BZ72" s="88">
        <v>1960.000000000002</v>
      </c>
      <c r="CA72" s="88">
        <v>1960.000000000002</v>
      </c>
      <c r="CB72" s="88">
        <v>1960.000000000002</v>
      </c>
      <c r="CC72" s="88">
        <v>1960.000000000002</v>
      </c>
      <c r="CD72" s="88">
        <v>0</v>
      </c>
      <c r="CE72" s="88">
        <v>0</v>
      </c>
      <c r="CF72" s="88">
        <v>0</v>
      </c>
      <c r="CG72" s="88">
        <v>0</v>
      </c>
      <c r="CH72" s="88">
        <v>0</v>
      </c>
      <c r="CI72" s="88">
        <v>49000</v>
      </c>
      <c r="CJ72" s="88">
        <v>49000</v>
      </c>
      <c r="CK72" s="88">
        <v>49000</v>
      </c>
      <c r="CL72" s="88">
        <v>49000</v>
      </c>
      <c r="CM72" s="88">
        <v>49000</v>
      </c>
      <c r="CN72" s="88">
        <v>49000</v>
      </c>
      <c r="CO72" s="88">
        <v>49000</v>
      </c>
      <c r="CP72" s="88">
        <v>49000</v>
      </c>
      <c r="CQ72" s="88">
        <v>49000</v>
      </c>
      <c r="CR72" s="88">
        <v>49000</v>
      </c>
      <c r="CS72" s="88">
        <v>49000</v>
      </c>
      <c r="CT72" s="88">
        <v>49000</v>
      </c>
      <c r="CU72" s="88">
        <v>-413.85613957954968</v>
      </c>
      <c r="CV72" s="88">
        <v>-414.13884129115479</v>
      </c>
      <c r="CW72" s="88">
        <v>-414.42192948917682</v>
      </c>
      <c r="CX72" s="88">
        <v>-414.71502110095742</v>
      </c>
      <c r="CY72" s="88">
        <v>-415.00852757247571</v>
      </c>
      <c r="CZ72" s="88">
        <v>-415.30244978520608</v>
      </c>
      <c r="DA72" s="88">
        <v>-415.59678862307152</v>
      </c>
      <c r="DB72" s="88">
        <v>-415.8963805271635</v>
      </c>
      <c r="DC72" s="88">
        <v>-416.19156214366461</v>
      </c>
      <c r="DD72" s="88">
        <v>-416.48716306689101</v>
      </c>
      <c r="DE72" s="88">
        <v>-416.78318419089447</v>
      </c>
      <c r="DF72" s="88">
        <v>-417.07962641232251</v>
      </c>
      <c r="DG72" s="93">
        <v>46235</v>
      </c>
      <c r="DH72" s="91">
        <v>0.04</v>
      </c>
      <c r="DI72" t="s">
        <v>301</v>
      </c>
      <c r="DJ72" s="93"/>
      <c r="DK72" s="91"/>
      <c r="DM72" s="93"/>
      <c r="DN72" s="91"/>
      <c r="DP72" s="93"/>
      <c r="DQ72" s="91"/>
    </row>
    <row r="73" spans="1:121" x14ac:dyDescent="0.3">
      <c r="A73" t="s">
        <v>24</v>
      </c>
      <c r="B73" t="s">
        <v>42</v>
      </c>
      <c r="C73" t="s">
        <v>67</v>
      </c>
      <c r="D73" t="s">
        <v>317</v>
      </c>
      <c r="E73" t="s">
        <v>436</v>
      </c>
      <c r="F73" s="86">
        <v>35000</v>
      </c>
      <c r="G73" s="87">
        <v>12</v>
      </c>
      <c r="H73" s="88">
        <v>1</v>
      </c>
      <c r="I73" s="88">
        <v>1</v>
      </c>
      <c r="J73" s="89">
        <v>0.94099790299051811</v>
      </c>
      <c r="K73" s="88">
        <v>1</v>
      </c>
      <c r="L73" s="88">
        <v>1.009566543114361</v>
      </c>
      <c r="M73" s="88">
        <v>1</v>
      </c>
      <c r="N73" s="90">
        <v>0.60399999999999998</v>
      </c>
      <c r="O73" s="90">
        <v>0.60977819204107386</v>
      </c>
      <c r="P73" s="90">
        <v>0.60762774346396231</v>
      </c>
      <c r="Q73" s="91">
        <v>0</v>
      </c>
      <c r="R73" s="88">
        <v>1</v>
      </c>
      <c r="S73" s="88">
        <v>1.006006197788017</v>
      </c>
      <c r="T73" s="91">
        <v>0</v>
      </c>
      <c r="U73" s="91">
        <v>0</v>
      </c>
      <c r="V73" s="87">
        <v>0</v>
      </c>
      <c r="W73" s="91">
        <v>0</v>
      </c>
      <c r="X73" s="87">
        <v>1</v>
      </c>
      <c r="Y73" s="90">
        <v>0.60977819204107386</v>
      </c>
      <c r="Z73" s="90">
        <v>0.60762774346396231</v>
      </c>
      <c r="AA73" s="92">
        <v>0</v>
      </c>
      <c r="AB73" s="88">
        <v>0</v>
      </c>
      <c r="AC73" s="87">
        <v>0</v>
      </c>
      <c r="AD73" s="87">
        <v>0</v>
      </c>
      <c r="AE73" s="88">
        <v>1</v>
      </c>
      <c r="AF73" s="88">
        <v>1.004252860915166</v>
      </c>
      <c r="AG73" s="88">
        <v>1.004252860915166</v>
      </c>
      <c r="AH73" s="88">
        <v>35000</v>
      </c>
      <c r="AI73" s="88">
        <v>35000</v>
      </c>
      <c r="AJ73" s="88">
        <v>32934.926604668137</v>
      </c>
      <c r="AK73" s="88">
        <v>35000</v>
      </c>
      <c r="AL73" s="88">
        <v>35334.829009002628</v>
      </c>
      <c r="AM73" s="88">
        <v>35000</v>
      </c>
      <c r="AN73" s="88">
        <v>21140</v>
      </c>
      <c r="AO73" s="88">
        <v>21342.236721437581</v>
      </c>
      <c r="AP73" s="88">
        <v>21266.971021238682</v>
      </c>
      <c r="AQ73" s="88">
        <v>0</v>
      </c>
      <c r="AR73" s="88">
        <v>35000</v>
      </c>
      <c r="AS73" s="88">
        <v>35210.216922580599</v>
      </c>
      <c r="AT73" s="88">
        <v>21342.236721437581</v>
      </c>
      <c r="AU73" s="88">
        <v>21266.971021238682</v>
      </c>
      <c r="AV73" s="88">
        <v>33250</v>
      </c>
      <c r="AW73" s="88">
        <v>32900</v>
      </c>
      <c r="AX73" s="88">
        <v>33075</v>
      </c>
      <c r="AY73" s="88">
        <v>35000</v>
      </c>
      <c r="AZ73" s="88">
        <v>35000</v>
      </c>
      <c r="BA73" s="88">
        <v>35000</v>
      </c>
      <c r="BB73" s="88">
        <v>35000</v>
      </c>
      <c r="BC73" s="88">
        <v>35000</v>
      </c>
      <c r="BD73" s="88">
        <v>35000</v>
      </c>
      <c r="BE73" s="88">
        <v>35000</v>
      </c>
      <c r="BF73" s="88">
        <v>35000</v>
      </c>
      <c r="BG73" s="88">
        <v>35000</v>
      </c>
      <c r="BH73" s="88">
        <v>35000</v>
      </c>
      <c r="BI73" s="88">
        <v>35000</v>
      </c>
      <c r="BJ73" s="88">
        <v>35000</v>
      </c>
      <c r="BK73" s="88">
        <v>149.13873112417431</v>
      </c>
      <c r="BL73" s="88">
        <v>149.08738679861639</v>
      </c>
      <c r="BM73" s="88">
        <v>149.03607781375121</v>
      </c>
      <c r="BN73" s="88">
        <v>148.98306666044641</v>
      </c>
      <c r="BO73" s="88">
        <v>148.93009320517399</v>
      </c>
      <c r="BP73" s="88">
        <v>148.87715740773189</v>
      </c>
      <c r="BQ73" s="88">
        <v>148.82425922797981</v>
      </c>
      <c r="BR73" s="88">
        <v>148.7705323714161</v>
      </c>
      <c r="BS73" s="88">
        <v>148.71770992189059</v>
      </c>
      <c r="BT73" s="88">
        <v>148.6649249693084</v>
      </c>
      <c r="BU73" s="88">
        <v>148.61217747377029</v>
      </c>
      <c r="BV73" s="88">
        <v>148.55946739540829</v>
      </c>
      <c r="BW73" s="88">
        <v>0</v>
      </c>
      <c r="BX73" s="88">
        <v>0</v>
      </c>
      <c r="BY73" s="88">
        <v>0</v>
      </c>
      <c r="BZ73" s="88">
        <v>0</v>
      </c>
      <c r="CA73" s="88">
        <v>0</v>
      </c>
      <c r="CB73" s="88">
        <v>0</v>
      </c>
      <c r="CC73" s="88">
        <v>0</v>
      </c>
      <c r="CD73" s="88">
        <v>0</v>
      </c>
      <c r="CE73" s="88">
        <v>0</v>
      </c>
      <c r="CF73" s="88">
        <v>0</v>
      </c>
      <c r="CG73" s="88">
        <v>0</v>
      </c>
      <c r="CH73" s="88">
        <v>0</v>
      </c>
      <c r="CI73" s="88">
        <v>35000</v>
      </c>
      <c r="CJ73" s="88">
        <v>35000</v>
      </c>
      <c r="CK73" s="88">
        <v>35000</v>
      </c>
      <c r="CL73" s="88">
        <v>35000</v>
      </c>
      <c r="CM73" s="88">
        <v>35000</v>
      </c>
      <c r="CN73" s="88">
        <v>35000</v>
      </c>
      <c r="CO73" s="88">
        <v>35000</v>
      </c>
      <c r="CP73" s="88">
        <v>35000</v>
      </c>
      <c r="CQ73" s="88">
        <v>35000</v>
      </c>
      <c r="CR73" s="88">
        <v>35000</v>
      </c>
      <c r="CS73" s="88">
        <v>35000</v>
      </c>
      <c r="CT73" s="88">
        <v>35000</v>
      </c>
      <c r="CU73" s="88">
        <v>149.13873112417431</v>
      </c>
      <c r="CV73" s="88">
        <v>149.08738679861639</v>
      </c>
      <c r="CW73" s="88">
        <v>149.03607781375121</v>
      </c>
      <c r="CX73" s="88">
        <v>148.98306666044641</v>
      </c>
      <c r="CY73" s="88">
        <v>148.93009320517399</v>
      </c>
      <c r="CZ73" s="88">
        <v>148.87715740773189</v>
      </c>
      <c r="DA73" s="88">
        <v>148.82425922797981</v>
      </c>
      <c r="DB73" s="88">
        <v>148.7705323714161</v>
      </c>
      <c r="DC73" s="88">
        <v>148.71770992189059</v>
      </c>
      <c r="DD73" s="88">
        <v>148.6649249693084</v>
      </c>
      <c r="DE73" s="88">
        <v>148.61217747377029</v>
      </c>
      <c r="DF73" s="88">
        <v>148.55946739540829</v>
      </c>
      <c r="DG73" s="93"/>
      <c r="DH73" s="91"/>
      <c r="DJ73" s="93"/>
      <c r="DK73" s="91"/>
      <c r="DM73" s="93"/>
      <c r="DN73" s="91"/>
      <c r="DP73" s="93"/>
      <c r="DQ73" s="91"/>
    </row>
    <row r="74" spans="1:121" x14ac:dyDescent="0.3">
      <c r="A74" t="s">
        <v>24</v>
      </c>
      <c r="B74" t="s">
        <v>42</v>
      </c>
      <c r="C74" t="s">
        <v>73</v>
      </c>
      <c r="D74" t="s">
        <v>319</v>
      </c>
      <c r="E74" t="s">
        <v>437</v>
      </c>
      <c r="F74" s="86">
        <v>80500</v>
      </c>
      <c r="G74" s="87">
        <v>12</v>
      </c>
      <c r="H74" s="88">
        <v>1.06</v>
      </c>
      <c r="I74" s="88">
        <v>1.0444500000000001</v>
      </c>
      <c r="J74" s="89">
        <v>0.9439916119620716</v>
      </c>
      <c r="K74" s="88">
        <v>1.0148882186796879</v>
      </c>
      <c r="L74" s="88">
        <v>1.0063648743927289</v>
      </c>
      <c r="M74" s="88">
        <v>1</v>
      </c>
      <c r="N74" s="90">
        <v>0.63200000000000001</v>
      </c>
      <c r="O74" s="90">
        <v>0.64549184417940253</v>
      </c>
      <c r="P74" s="90">
        <v>0.60964498996254812</v>
      </c>
      <c r="Q74" s="91">
        <v>0</v>
      </c>
      <c r="R74" s="88">
        <v>0.97205346294046147</v>
      </c>
      <c r="S74" s="88">
        <v>0.99236120794932203</v>
      </c>
      <c r="T74" s="91">
        <v>-1.466981132075462E-2</v>
      </c>
      <c r="U74" s="91">
        <v>4.4066254966729002E-2</v>
      </c>
      <c r="V74" s="87">
        <v>0</v>
      </c>
      <c r="W74" s="91">
        <v>0</v>
      </c>
      <c r="X74" s="87">
        <v>1</v>
      </c>
      <c r="Y74" s="90">
        <v>0.64549184417940253</v>
      </c>
      <c r="Z74" s="90">
        <v>0.60964498996254812</v>
      </c>
      <c r="AA74" s="92">
        <v>0</v>
      </c>
      <c r="AB74" s="88">
        <v>0</v>
      </c>
      <c r="AC74" s="87">
        <v>1</v>
      </c>
      <c r="AD74" s="87">
        <v>1</v>
      </c>
      <c r="AE74" s="88">
        <v>1.0549999999999999</v>
      </c>
      <c r="AF74" s="88">
        <v>1.017066289316704</v>
      </c>
      <c r="AG74" s="88">
        <v>1.0730054814286549</v>
      </c>
      <c r="AH74" s="88">
        <v>85330</v>
      </c>
      <c r="AI74" s="88">
        <v>84078.225000000006</v>
      </c>
      <c r="AJ74" s="88">
        <v>75991.324762946766</v>
      </c>
      <c r="AK74" s="88">
        <v>81698.501603714874</v>
      </c>
      <c r="AL74" s="88">
        <v>81012.372388614676</v>
      </c>
      <c r="AM74" s="88">
        <v>80500</v>
      </c>
      <c r="AN74" s="88">
        <v>50876</v>
      </c>
      <c r="AO74" s="88">
        <v>51962.0934564419</v>
      </c>
      <c r="AP74" s="88">
        <v>49076.421691985117</v>
      </c>
      <c r="AQ74" s="88">
        <v>0</v>
      </c>
      <c r="AR74" s="88">
        <v>78250.303766707148</v>
      </c>
      <c r="AS74" s="88">
        <v>79885.077239920429</v>
      </c>
      <c r="AT74" s="88">
        <v>51962.0934564419</v>
      </c>
      <c r="AU74" s="88">
        <v>49076.421691985117</v>
      </c>
      <c r="AV74" s="88">
        <v>76475</v>
      </c>
      <c r="AW74" s="88">
        <v>75670</v>
      </c>
      <c r="AX74" s="88">
        <v>77280</v>
      </c>
      <c r="AY74" s="88">
        <v>80500</v>
      </c>
      <c r="AZ74" s="88">
        <v>80500</v>
      </c>
      <c r="BA74" s="88">
        <v>80500</v>
      </c>
      <c r="BB74" s="88">
        <v>80500</v>
      </c>
      <c r="BC74" s="88">
        <v>80500</v>
      </c>
      <c r="BD74" s="88">
        <v>80500</v>
      </c>
      <c r="BE74" s="88">
        <v>80500</v>
      </c>
      <c r="BF74" s="88">
        <v>80500</v>
      </c>
      <c r="BG74" s="88">
        <v>80500</v>
      </c>
      <c r="BH74" s="88">
        <v>80500</v>
      </c>
      <c r="BI74" s="88">
        <v>80500</v>
      </c>
      <c r="BJ74" s="88">
        <v>80500</v>
      </c>
      <c r="BK74" s="88">
        <v>6297.6365949626652</v>
      </c>
      <c r="BL74" s="88">
        <v>6295.5992659169106</v>
      </c>
      <c r="BM74" s="88">
        <v>6293.5675853480998</v>
      </c>
      <c r="BN74" s="88">
        <v>6291.4729482426983</v>
      </c>
      <c r="BO74" s="88">
        <v>6289.3842981983471</v>
      </c>
      <c r="BP74" s="88">
        <v>6287.3016095826506</v>
      </c>
      <c r="BQ74" s="88">
        <v>6285.224856909248</v>
      </c>
      <c r="BR74" s="88">
        <v>6283.1201157067326</v>
      </c>
      <c r="BS74" s="88">
        <v>6281.0552553112366</v>
      </c>
      <c r="BT74" s="88">
        <v>4641.6567028774634</v>
      </c>
      <c r="BU74" s="88">
        <v>4639.6422764227746</v>
      </c>
      <c r="BV74" s="88">
        <v>4637.6335506019404</v>
      </c>
      <c r="BW74" s="88">
        <v>4830.0000000000045</v>
      </c>
      <c r="BX74" s="88">
        <v>4830.0000000000045</v>
      </c>
      <c r="BY74" s="88">
        <v>4830.0000000000045</v>
      </c>
      <c r="BZ74" s="88">
        <v>4830.0000000000045</v>
      </c>
      <c r="CA74" s="88">
        <v>4830.0000000000045</v>
      </c>
      <c r="CB74" s="88">
        <v>4830.0000000000045</v>
      </c>
      <c r="CC74" s="88">
        <v>4830.0000000000045</v>
      </c>
      <c r="CD74" s="88">
        <v>4830.0000000000045</v>
      </c>
      <c r="CE74" s="88">
        <v>4830.0000000000045</v>
      </c>
      <c r="CF74" s="88">
        <v>3220.0000000000032</v>
      </c>
      <c r="CG74" s="88">
        <v>3220.0000000000032</v>
      </c>
      <c r="CH74" s="88">
        <v>3220.0000000000032</v>
      </c>
      <c r="CI74" s="88">
        <v>80500</v>
      </c>
      <c r="CJ74" s="88">
        <v>80500</v>
      </c>
      <c r="CK74" s="88">
        <v>80500</v>
      </c>
      <c r="CL74" s="88">
        <v>80500</v>
      </c>
      <c r="CM74" s="88">
        <v>80500</v>
      </c>
      <c r="CN74" s="88">
        <v>80500</v>
      </c>
      <c r="CO74" s="88">
        <v>80500</v>
      </c>
      <c r="CP74" s="88">
        <v>80500</v>
      </c>
      <c r="CQ74" s="88">
        <v>80500</v>
      </c>
      <c r="CR74" s="88">
        <v>80500</v>
      </c>
      <c r="CS74" s="88">
        <v>80500</v>
      </c>
      <c r="CT74" s="88">
        <v>80500</v>
      </c>
      <c r="CU74" s="88">
        <v>1384.5628254364781</v>
      </c>
      <c r="CV74" s="88">
        <v>1382.6408169027379</v>
      </c>
      <c r="CW74" s="88">
        <v>1380.724137120849</v>
      </c>
      <c r="CX74" s="88">
        <v>1378.7480643799031</v>
      </c>
      <c r="CY74" s="88">
        <v>1376.777639809761</v>
      </c>
      <c r="CZ74" s="88">
        <v>1374.8128392289091</v>
      </c>
      <c r="DA74" s="88">
        <v>1372.853638593627</v>
      </c>
      <c r="DB74" s="88">
        <v>1370.8680336855921</v>
      </c>
      <c r="DC74" s="88">
        <v>1368.9200521804071</v>
      </c>
      <c r="DD74" s="88">
        <v>1366.977598920643</v>
      </c>
      <c r="DE74" s="88">
        <v>1365.040650406504</v>
      </c>
      <c r="DF74" s="88">
        <v>1363.1091832710911</v>
      </c>
      <c r="DG74" s="93">
        <v>46296</v>
      </c>
      <c r="DH74" s="91">
        <v>0.06</v>
      </c>
      <c r="DI74" t="s">
        <v>301</v>
      </c>
      <c r="DJ74" s="93">
        <v>46661</v>
      </c>
      <c r="DK74" s="91">
        <v>0.04</v>
      </c>
      <c r="DL74" t="s">
        <v>302</v>
      </c>
      <c r="DM74" s="93"/>
      <c r="DN74" s="91"/>
      <c r="DP74" s="93"/>
      <c r="DQ74" s="91"/>
    </row>
    <row r="75" spans="1:121" x14ac:dyDescent="0.3">
      <c r="A75" t="s">
        <v>24</v>
      </c>
      <c r="B75" t="s">
        <v>42</v>
      </c>
      <c r="C75" t="s">
        <v>78</v>
      </c>
      <c r="D75" t="s">
        <v>321</v>
      </c>
      <c r="E75" t="s">
        <v>438</v>
      </c>
      <c r="F75" s="86">
        <v>66500</v>
      </c>
      <c r="G75" s="87">
        <v>12</v>
      </c>
      <c r="H75" s="88">
        <v>1.02</v>
      </c>
      <c r="I75" s="88">
        <v>1.013055555555556</v>
      </c>
      <c r="J75" s="89">
        <v>0.93999999999999984</v>
      </c>
      <c r="K75" s="88">
        <v>1.0068549492733749</v>
      </c>
      <c r="L75" s="88">
        <v>1.0106382978723401</v>
      </c>
      <c r="M75" s="88">
        <v>1</v>
      </c>
      <c r="N75" s="90">
        <v>0.61599999999999999</v>
      </c>
      <c r="O75" s="90">
        <v>0.62682076203699921</v>
      </c>
      <c r="P75" s="90">
        <v>0.62255319148936183</v>
      </c>
      <c r="Q75" s="91">
        <v>0</v>
      </c>
      <c r="R75" s="88">
        <v>1</v>
      </c>
      <c r="S75" s="88">
        <v>1.0106382978723401</v>
      </c>
      <c r="T75" s="91">
        <v>-6.8082788671023353E-3</v>
      </c>
      <c r="U75" s="91">
        <v>6.8549492733751549E-3</v>
      </c>
      <c r="V75" s="87">
        <v>0</v>
      </c>
      <c r="W75" s="91">
        <v>0</v>
      </c>
      <c r="X75" s="87">
        <v>1</v>
      </c>
      <c r="Y75" s="90">
        <v>0.62682076203699921</v>
      </c>
      <c r="Z75" s="90">
        <v>0.62255319148936183</v>
      </c>
      <c r="AA75" s="92">
        <v>0</v>
      </c>
      <c r="AB75" s="88">
        <v>0</v>
      </c>
      <c r="AC75" s="87">
        <v>1</v>
      </c>
      <c r="AD75" s="87">
        <v>0</v>
      </c>
      <c r="AE75" s="88">
        <v>1.0166666666666659</v>
      </c>
      <c r="AF75" s="88">
        <v>1</v>
      </c>
      <c r="AG75" s="88">
        <v>1.0166666666666659</v>
      </c>
      <c r="AH75" s="88">
        <v>67830</v>
      </c>
      <c r="AI75" s="88">
        <v>67368.194444444453</v>
      </c>
      <c r="AJ75" s="88">
        <v>62509.999999999993</v>
      </c>
      <c r="AK75" s="88">
        <v>66955.854126679464</v>
      </c>
      <c r="AL75" s="88">
        <v>67207.446808510649</v>
      </c>
      <c r="AM75" s="88">
        <v>66500</v>
      </c>
      <c r="AN75" s="88">
        <v>40964</v>
      </c>
      <c r="AO75" s="88">
        <v>41683.580675460449</v>
      </c>
      <c r="AP75" s="88">
        <v>41399.78723404256</v>
      </c>
      <c r="AQ75" s="88">
        <v>0</v>
      </c>
      <c r="AR75" s="88">
        <v>66500.000000000015</v>
      </c>
      <c r="AS75" s="88">
        <v>67207.446808510649</v>
      </c>
      <c r="AT75" s="88">
        <v>41683.580675460449</v>
      </c>
      <c r="AU75" s="88">
        <v>41399.78723404256</v>
      </c>
      <c r="AV75" s="88">
        <v>63175</v>
      </c>
      <c r="AW75" s="88">
        <v>62510</v>
      </c>
      <c r="AX75" s="88">
        <v>62510</v>
      </c>
      <c r="AY75" s="88">
        <v>66500</v>
      </c>
      <c r="AZ75" s="88">
        <v>66500</v>
      </c>
      <c r="BA75" s="88">
        <v>66500</v>
      </c>
      <c r="BB75" s="88">
        <v>66500</v>
      </c>
      <c r="BC75" s="88">
        <v>66500</v>
      </c>
      <c r="BD75" s="88">
        <v>66500</v>
      </c>
      <c r="BE75" s="88">
        <v>66500</v>
      </c>
      <c r="BF75" s="88">
        <v>66500</v>
      </c>
      <c r="BG75" s="88">
        <v>66500</v>
      </c>
      <c r="BH75" s="88">
        <v>66500</v>
      </c>
      <c r="BI75" s="88">
        <v>66500</v>
      </c>
      <c r="BJ75" s="88">
        <v>66500</v>
      </c>
      <c r="BK75" s="88">
        <v>1330.0000000000009</v>
      </c>
      <c r="BL75" s="88">
        <v>1330.0000000000009</v>
      </c>
      <c r="BM75" s="88">
        <v>1330.0000000000009</v>
      </c>
      <c r="BN75" s="88">
        <v>1330.0000000000009</v>
      </c>
      <c r="BO75" s="88">
        <v>1330.0000000000009</v>
      </c>
      <c r="BP75" s="88">
        <v>1330.0000000000009</v>
      </c>
      <c r="BQ75" s="88">
        <v>1330.0000000000009</v>
      </c>
      <c r="BR75" s="88">
        <v>1330.0000000000009</v>
      </c>
      <c r="BS75" s="88">
        <v>1330.0000000000009</v>
      </c>
      <c r="BT75" s="88">
        <v>1330.0000000000009</v>
      </c>
      <c r="BU75" s="88">
        <v>0</v>
      </c>
      <c r="BV75" s="88">
        <v>0</v>
      </c>
      <c r="BW75" s="88">
        <v>1330.0000000000009</v>
      </c>
      <c r="BX75" s="88">
        <v>1330.0000000000009</v>
      </c>
      <c r="BY75" s="88">
        <v>1330.0000000000009</v>
      </c>
      <c r="BZ75" s="88">
        <v>1330.0000000000009</v>
      </c>
      <c r="CA75" s="88">
        <v>1330.0000000000009</v>
      </c>
      <c r="CB75" s="88">
        <v>1330.0000000000009</v>
      </c>
      <c r="CC75" s="88">
        <v>1330.0000000000009</v>
      </c>
      <c r="CD75" s="88">
        <v>1330.0000000000009</v>
      </c>
      <c r="CE75" s="88">
        <v>1330.0000000000009</v>
      </c>
      <c r="CF75" s="88">
        <v>1330.0000000000009</v>
      </c>
      <c r="CG75" s="88">
        <v>0</v>
      </c>
      <c r="CH75" s="88">
        <v>0</v>
      </c>
      <c r="CI75" s="88">
        <v>66500</v>
      </c>
      <c r="CJ75" s="88">
        <v>66500</v>
      </c>
      <c r="CK75" s="88">
        <v>66500</v>
      </c>
      <c r="CL75" s="88">
        <v>66500</v>
      </c>
      <c r="CM75" s="88">
        <v>66500</v>
      </c>
      <c r="CN75" s="88">
        <v>66500</v>
      </c>
      <c r="CO75" s="88">
        <v>66500</v>
      </c>
      <c r="CP75" s="88">
        <v>66500</v>
      </c>
      <c r="CQ75" s="88">
        <v>66500</v>
      </c>
      <c r="CR75" s="88">
        <v>66500</v>
      </c>
      <c r="CS75" s="88">
        <v>66500</v>
      </c>
      <c r="CT75" s="88">
        <v>66500</v>
      </c>
      <c r="CU75" s="88">
        <v>0</v>
      </c>
      <c r="CV75" s="88">
        <v>0</v>
      </c>
      <c r="CW75" s="88">
        <v>0</v>
      </c>
      <c r="CX75" s="88">
        <v>0</v>
      </c>
      <c r="CY75" s="88">
        <v>0</v>
      </c>
      <c r="CZ75" s="88">
        <v>0</v>
      </c>
      <c r="DA75" s="88">
        <v>0</v>
      </c>
      <c r="DB75" s="88">
        <v>0</v>
      </c>
      <c r="DC75" s="88">
        <v>0</v>
      </c>
      <c r="DD75" s="88">
        <v>0</v>
      </c>
      <c r="DE75" s="88">
        <v>0</v>
      </c>
      <c r="DF75" s="88">
        <v>0</v>
      </c>
      <c r="DG75" s="93">
        <v>46327</v>
      </c>
      <c r="DH75" s="91">
        <v>0.02</v>
      </c>
      <c r="DI75" t="s">
        <v>301</v>
      </c>
      <c r="DJ75" s="93"/>
      <c r="DK75" s="91"/>
      <c r="DM75" s="93"/>
      <c r="DN75" s="91"/>
      <c r="DP75" s="93"/>
      <c r="DQ75" s="91"/>
    </row>
    <row r="76" spans="1:121" x14ac:dyDescent="0.3">
      <c r="A76" t="s">
        <v>24</v>
      </c>
      <c r="B76" t="s">
        <v>42</v>
      </c>
      <c r="C76" t="s">
        <v>80</v>
      </c>
      <c r="D76" t="s">
        <v>323</v>
      </c>
      <c r="E76" t="s">
        <v>439</v>
      </c>
      <c r="F76" s="86">
        <v>52500</v>
      </c>
      <c r="G76" s="87">
        <v>12</v>
      </c>
      <c r="H76" s="88">
        <v>1</v>
      </c>
      <c r="I76" s="88">
        <v>1</v>
      </c>
      <c r="J76" s="89">
        <v>0.94299370897155343</v>
      </c>
      <c r="K76" s="88">
        <v>1</v>
      </c>
      <c r="L76" s="88">
        <v>1.007429838568157</v>
      </c>
      <c r="M76" s="88">
        <v>1</v>
      </c>
      <c r="N76" s="90">
        <v>0.6</v>
      </c>
      <c r="O76" s="90">
        <v>0.60445790314089431</v>
      </c>
      <c r="P76" s="90">
        <v>0.59812093410951561</v>
      </c>
      <c r="Q76" s="91">
        <v>0</v>
      </c>
      <c r="R76" s="88">
        <v>1</v>
      </c>
      <c r="S76" s="88">
        <v>0.99686822351585935</v>
      </c>
      <c r="T76" s="91">
        <v>0</v>
      </c>
      <c r="U76" s="91">
        <v>0</v>
      </c>
      <c r="V76" s="87">
        <v>0</v>
      </c>
      <c r="W76" s="91">
        <v>0</v>
      </c>
      <c r="X76" s="87">
        <v>1</v>
      </c>
      <c r="Y76" s="90">
        <v>0.60445790314089431</v>
      </c>
      <c r="Z76" s="90">
        <v>0.59812093410951561</v>
      </c>
      <c r="AA76" s="92">
        <v>0</v>
      </c>
      <c r="AB76" s="88">
        <v>0</v>
      </c>
      <c r="AC76" s="87">
        <v>0</v>
      </c>
      <c r="AD76" s="87">
        <v>0</v>
      </c>
      <c r="AE76" s="88">
        <v>1</v>
      </c>
      <c r="AF76" s="88">
        <v>1.012785937399076</v>
      </c>
      <c r="AG76" s="88">
        <v>1.012785937399076</v>
      </c>
      <c r="AH76" s="88">
        <v>52500</v>
      </c>
      <c r="AI76" s="88">
        <v>52500</v>
      </c>
      <c r="AJ76" s="88">
        <v>49507.169721006547</v>
      </c>
      <c r="AK76" s="88">
        <v>52500</v>
      </c>
      <c r="AL76" s="88">
        <v>52890.066524828253</v>
      </c>
      <c r="AM76" s="88">
        <v>52500</v>
      </c>
      <c r="AN76" s="88">
        <v>31500</v>
      </c>
      <c r="AO76" s="88">
        <v>31734.039914896952</v>
      </c>
      <c r="AP76" s="88">
        <v>31401.34904074957</v>
      </c>
      <c r="AQ76" s="88">
        <v>0</v>
      </c>
      <c r="AR76" s="88">
        <v>52500</v>
      </c>
      <c r="AS76" s="88">
        <v>52335.581734582607</v>
      </c>
      <c r="AT76" s="88">
        <v>31734.039914896952</v>
      </c>
      <c r="AU76" s="88">
        <v>31401.34904074957</v>
      </c>
      <c r="AV76" s="88">
        <v>49875</v>
      </c>
      <c r="AW76" s="88">
        <v>49350</v>
      </c>
      <c r="AX76" s="88">
        <v>50137.5</v>
      </c>
      <c r="AY76" s="88">
        <v>52500</v>
      </c>
      <c r="AZ76" s="88">
        <v>52500</v>
      </c>
      <c r="BA76" s="88">
        <v>52500</v>
      </c>
      <c r="BB76" s="88">
        <v>52500</v>
      </c>
      <c r="BC76" s="88">
        <v>52500</v>
      </c>
      <c r="BD76" s="88">
        <v>52500</v>
      </c>
      <c r="BE76" s="88">
        <v>52500</v>
      </c>
      <c r="BF76" s="88">
        <v>52500</v>
      </c>
      <c r="BG76" s="88">
        <v>52500</v>
      </c>
      <c r="BH76" s="88">
        <v>52500</v>
      </c>
      <c r="BI76" s="88">
        <v>52500</v>
      </c>
      <c r="BJ76" s="88">
        <v>52500</v>
      </c>
      <c r="BK76" s="88">
        <v>675.18366052604802</v>
      </c>
      <c r="BL76" s="88">
        <v>674.48258869908796</v>
      </c>
      <c r="BM76" s="88">
        <v>673.78297126717223</v>
      </c>
      <c r="BN76" s="88">
        <v>673.06116236594767</v>
      </c>
      <c r="BO76" s="88">
        <v>672.34089832579889</v>
      </c>
      <c r="BP76" s="88">
        <v>671.62217419241392</v>
      </c>
      <c r="BQ76" s="88">
        <v>670.90498503265042</v>
      </c>
      <c r="BR76" s="88">
        <v>670.17760653769301</v>
      </c>
      <c r="BS76" s="88">
        <v>669.46349757194105</v>
      </c>
      <c r="BT76" s="88">
        <v>668.75090882652364</v>
      </c>
      <c r="BU76" s="88">
        <v>668.03983545214999</v>
      </c>
      <c r="BV76" s="88">
        <v>667.33027262016242</v>
      </c>
      <c r="BW76" s="88">
        <v>0</v>
      </c>
      <c r="BX76" s="88">
        <v>0</v>
      </c>
      <c r="BY76" s="88">
        <v>0</v>
      </c>
      <c r="BZ76" s="88">
        <v>0</v>
      </c>
      <c r="CA76" s="88">
        <v>0</v>
      </c>
      <c r="CB76" s="88">
        <v>0</v>
      </c>
      <c r="CC76" s="88">
        <v>0</v>
      </c>
      <c r="CD76" s="88">
        <v>0</v>
      </c>
      <c r="CE76" s="88">
        <v>0</v>
      </c>
      <c r="CF76" s="88">
        <v>0</v>
      </c>
      <c r="CG76" s="88">
        <v>0</v>
      </c>
      <c r="CH76" s="88">
        <v>0</v>
      </c>
      <c r="CI76" s="88">
        <v>52500</v>
      </c>
      <c r="CJ76" s="88">
        <v>52500</v>
      </c>
      <c r="CK76" s="88">
        <v>52500</v>
      </c>
      <c r="CL76" s="88">
        <v>52500</v>
      </c>
      <c r="CM76" s="88">
        <v>52500</v>
      </c>
      <c r="CN76" s="88">
        <v>52500</v>
      </c>
      <c r="CO76" s="88">
        <v>52500</v>
      </c>
      <c r="CP76" s="88">
        <v>52500</v>
      </c>
      <c r="CQ76" s="88">
        <v>52500</v>
      </c>
      <c r="CR76" s="88">
        <v>52500</v>
      </c>
      <c r="CS76" s="88">
        <v>52500</v>
      </c>
      <c r="CT76" s="88">
        <v>52500</v>
      </c>
      <c r="CU76" s="88">
        <v>675.18366052604802</v>
      </c>
      <c r="CV76" s="88">
        <v>674.48258869908796</v>
      </c>
      <c r="CW76" s="88">
        <v>673.78297126717223</v>
      </c>
      <c r="CX76" s="88">
        <v>673.06116236594767</v>
      </c>
      <c r="CY76" s="88">
        <v>672.34089832579889</v>
      </c>
      <c r="CZ76" s="88">
        <v>671.62217419241392</v>
      </c>
      <c r="DA76" s="88">
        <v>670.90498503265042</v>
      </c>
      <c r="DB76" s="88">
        <v>670.17760653769301</v>
      </c>
      <c r="DC76" s="88">
        <v>669.46349757194105</v>
      </c>
      <c r="DD76" s="88">
        <v>668.75090882652364</v>
      </c>
      <c r="DE76" s="88">
        <v>668.03983545214999</v>
      </c>
      <c r="DF76" s="88">
        <v>667.33027262016242</v>
      </c>
      <c r="DG76" s="93"/>
      <c r="DH76" s="91"/>
      <c r="DJ76" s="93"/>
      <c r="DK76" s="91"/>
      <c r="DM76" s="93"/>
      <c r="DN76" s="91"/>
      <c r="DP76" s="93"/>
      <c r="DQ76" s="91"/>
    </row>
    <row r="77" spans="1:121" x14ac:dyDescent="0.3">
      <c r="A77" t="s">
        <v>24</v>
      </c>
      <c r="B77" t="s">
        <v>42</v>
      </c>
      <c r="C77" t="s">
        <v>82</v>
      </c>
      <c r="D77" t="s">
        <v>325</v>
      </c>
      <c r="E77" t="s">
        <v>440</v>
      </c>
      <c r="F77" s="86">
        <v>38500</v>
      </c>
      <c r="G77" s="87">
        <v>12</v>
      </c>
      <c r="H77" s="88">
        <v>1.04</v>
      </c>
      <c r="I77" s="88">
        <v>1.04</v>
      </c>
      <c r="J77" s="89">
        <v>0.93900209700948201</v>
      </c>
      <c r="K77" s="88">
        <v>0.99999999999999978</v>
      </c>
      <c r="L77" s="88">
        <v>1.0117123305960061</v>
      </c>
      <c r="M77" s="88">
        <v>1</v>
      </c>
      <c r="N77" s="90">
        <v>0.628</v>
      </c>
      <c r="O77" s="90">
        <v>0.63535534361429169</v>
      </c>
      <c r="P77" s="90">
        <v>0.63761672211389275</v>
      </c>
      <c r="Q77" s="91">
        <v>0</v>
      </c>
      <c r="R77" s="88">
        <v>0.99999999999999978</v>
      </c>
      <c r="S77" s="88">
        <v>1.0153132517737149</v>
      </c>
      <c r="T77" s="91">
        <v>0</v>
      </c>
      <c r="U77" s="91">
        <v>0</v>
      </c>
      <c r="V77" s="87">
        <v>0</v>
      </c>
      <c r="W77" s="91">
        <v>0</v>
      </c>
      <c r="X77" s="87">
        <v>1</v>
      </c>
      <c r="Y77" s="90">
        <v>0.63535534361429169</v>
      </c>
      <c r="Z77" s="90">
        <v>0.63761672211389275</v>
      </c>
      <c r="AA77" s="92">
        <v>0</v>
      </c>
      <c r="AB77" s="88">
        <v>0</v>
      </c>
      <c r="AC77" s="87">
        <v>1</v>
      </c>
      <c r="AD77" s="87">
        <v>0</v>
      </c>
      <c r="AE77" s="88">
        <v>1</v>
      </c>
      <c r="AF77" s="88">
        <v>0.99575616743366657</v>
      </c>
      <c r="AG77" s="88">
        <v>0.99575616743366657</v>
      </c>
      <c r="AH77" s="88">
        <v>40040</v>
      </c>
      <c r="AI77" s="88">
        <v>40040.000000000007</v>
      </c>
      <c r="AJ77" s="88">
        <v>36151.580734865063</v>
      </c>
      <c r="AK77" s="88">
        <v>38499.999999999993</v>
      </c>
      <c r="AL77" s="88">
        <v>38950.924727946243</v>
      </c>
      <c r="AM77" s="88">
        <v>38500</v>
      </c>
      <c r="AN77" s="88">
        <v>24178</v>
      </c>
      <c r="AO77" s="88">
        <v>24461.18072915023</v>
      </c>
      <c r="AP77" s="88">
        <v>24548.24380138487</v>
      </c>
      <c r="AQ77" s="88">
        <v>0</v>
      </c>
      <c r="AR77" s="88">
        <v>38499.999999999993</v>
      </c>
      <c r="AS77" s="88">
        <v>39089.560193288024</v>
      </c>
      <c r="AT77" s="88">
        <v>24461.18072915023</v>
      </c>
      <c r="AU77" s="88">
        <v>24548.24380138487</v>
      </c>
      <c r="AV77" s="88">
        <v>36575</v>
      </c>
      <c r="AW77" s="88">
        <v>36190</v>
      </c>
      <c r="AX77" s="88">
        <v>35997.5</v>
      </c>
      <c r="AY77" s="88">
        <v>38500</v>
      </c>
      <c r="AZ77" s="88">
        <v>38500</v>
      </c>
      <c r="BA77" s="88">
        <v>38500</v>
      </c>
      <c r="BB77" s="88">
        <v>38500</v>
      </c>
      <c r="BC77" s="88">
        <v>38500</v>
      </c>
      <c r="BD77" s="88">
        <v>38500</v>
      </c>
      <c r="BE77" s="88">
        <v>38500</v>
      </c>
      <c r="BF77" s="88">
        <v>38500</v>
      </c>
      <c r="BG77" s="88">
        <v>38500</v>
      </c>
      <c r="BH77" s="88">
        <v>38500</v>
      </c>
      <c r="BI77" s="88">
        <v>38500</v>
      </c>
      <c r="BJ77" s="88">
        <v>38500</v>
      </c>
      <c r="BK77" s="88">
        <v>-163.07217416026339</v>
      </c>
      <c r="BL77" s="88">
        <v>-163.12801820207639</v>
      </c>
      <c r="BM77" s="88">
        <v>-163.18390050455861</v>
      </c>
      <c r="BN77" s="88">
        <v>-163.24171739230809</v>
      </c>
      <c r="BO77" s="88">
        <v>-163.29957526421981</v>
      </c>
      <c r="BP77" s="88">
        <v>-163.35747416387929</v>
      </c>
      <c r="BQ77" s="88">
        <v>-163.41541413494909</v>
      </c>
      <c r="BR77" s="88">
        <v>-163.47434607353131</v>
      </c>
      <c r="BS77" s="88">
        <v>-163.5323689937282</v>
      </c>
      <c r="BT77" s="88">
        <v>-163.59043311737889</v>
      </c>
      <c r="BU77" s="88">
        <v>-163.64853848840681</v>
      </c>
      <c r="BV77" s="88">
        <v>-163.70668515076929</v>
      </c>
      <c r="BW77" s="88">
        <v>0</v>
      </c>
      <c r="BX77" s="88">
        <v>0</v>
      </c>
      <c r="BY77" s="88">
        <v>0</v>
      </c>
      <c r="BZ77" s="88">
        <v>0</v>
      </c>
      <c r="CA77" s="88">
        <v>0</v>
      </c>
      <c r="CB77" s="88">
        <v>0</v>
      </c>
      <c r="CC77" s="88">
        <v>0</v>
      </c>
      <c r="CD77" s="88">
        <v>0</v>
      </c>
      <c r="CE77" s="88">
        <v>0</v>
      </c>
      <c r="CF77" s="88">
        <v>0</v>
      </c>
      <c r="CG77" s="88">
        <v>0</v>
      </c>
      <c r="CH77" s="88">
        <v>0</v>
      </c>
      <c r="CI77" s="88">
        <v>38500</v>
      </c>
      <c r="CJ77" s="88">
        <v>38500</v>
      </c>
      <c r="CK77" s="88">
        <v>38500</v>
      </c>
      <c r="CL77" s="88">
        <v>38500</v>
      </c>
      <c r="CM77" s="88">
        <v>38500</v>
      </c>
      <c r="CN77" s="88">
        <v>38500</v>
      </c>
      <c r="CO77" s="88">
        <v>38500</v>
      </c>
      <c r="CP77" s="88">
        <v>38500</v>
      </c>
      <c r="CQ77" s="88">
        <v>38500</v>
      </c>
      <c r="CR77" s="88">
        <v>38500</v>
      </c>
      <c r="CS77" s="88">
        <v>38500</v>
      </c>
      <c r="CT77" s="88">
        <v>38500</v>
      </c>
      <c r="CU77" s="88">
        <v>-163.07217416026339</v>
      </c>
      <c r="CV77" s="88">
        <v>-163.12801820207639</v>
      </c>
      <c r="CW77" s="88">
        <v>-163.18390050455861</v>
      </c>
      <c r="CX77" s="88">
        <v>-163.24171739230809</v>
      </c>
      <c r="CY77" s="88">
        <v>-163.29957526421981</v>
      </c>
      <c r="CZ77" s="88">
        <v>-163.35747416387929</v>
      </c>
      <c r="DA77" s="88">
        <v>-163.41541413494909</v>
      </c>
      <c r="DB77" s="88">
        <v>-163.47434607353131</v>
      </c>
      <c r="DC77" s="88">
        <v>-163.5323689937282</v>
      </c>
      <c r="DD77" s="88">
        <v>-163.59043311737889</v>
      </c>
      <c r="DE77" s="88">
        <v>-163.64853848840681</v>
      </c>
      <c r="DF77" s="88">
        <v>-163.70668515076929</v>
      </c>
      <c r="DG77" s="93">
        <v>46023</v>
      </c>
      <c r="DH77" s="91">
        <v>0.04</v>
      </c>
      <c r="DI77" t="s">
        <v>301</v>
      </c>
      <c r="DJ77" s="93"/>
      <c r="DK77" s="91"/>
      <c r="DM77" s="93"/>
      <c r="DN77" s="91"/>
      <c r="DP77" s="93"/>
      <c r="DQ77" s="91"/>
    </row>
    <row r="78" spans="1:121" x14ac:dyDescent="0.3">
      <c r="A78" t="s">
        <v>24</v>
      </c>
      <c r="B78" t="s">
        <v>42</v>
      </c>
      <c r="C78" t="s">
        <v>85</v>
      </c>
      <c r="D78" t="s">
        <v>327</v>
      </c>
      <c r="E78" t="s">
        <v>441</v>
      </c>
      <c r="F78" s="86">
        <v>84000</v>
      </c>
      <c r="G78" s="87">
        <v>12</v>
      </c>
      <c r="H78" s="88">
        <v>1.05</v>
      </c>
      <c r="I78" s="88">
        <v>1.061638888888889</v>
      </c>
      <c r="J78" s="89">
        <v>0.94199580598103549</v>
      </c>
      <c r="K78" s="88">
        <v>0.9890368664800232</v>
      </c>
      <c r="L78" s="88">
        <v>1.008497059082581</v>
      </c>
      <c r="M78" s="88">
        <v>1</v>
      </c>
      <c r="N78" s="90">
        <v>0.61199999999999999</v>
      </c>
      <c r="O78" s="90">
        <v>0.61043375195564509</v>
      </c>
      <c r="P78" s="90">
        <v>0.59000415437833365</v>
      </c>
      <c r="Q78" s="91">
        <v>0</v>
      </c>
      <c r="R78" s="88">
        <v>0.96269554753309272</v>
      </c>
      <c r="S78" s="88">
        <v>1.001416364968128</v>
      </c>
      <c r="T78" s="91">
        <v>1.108465608465603E-2</v>
      </c>
      <c r="U78" s="91">
        <v>2.7362045056124051E-2</v>
      </c>
      <c r="V78" s="87">
        <v>0</v>
      </c>
      <c r="W78" s="91">
        <v>0</v>
      </c>
      <c r="X78" s="87">
        <v>1</v>
      </c>
      <c r="Y78" s="90">
        <v>0.61043375195564509</v>
      </c>
      <c r="Z78" s="90">
        <v>0.59000415437833365</v>
      </c>
      <c r="AA78" s="92">
        <v>0</v>
      </c>
      <c r="AB78" s="88">
        <v>0</v>
      </c>
      <c r="AC78" s="87">
        <v>1</v>
      </c>
      <c r="AD78" s="87">
        <v>1</v>
      </c>
      <c r="AE78" s="88">
        <v>1.034166666666666</v>
      </c>
      <c r="AF78" s="88">
        <v>1.008514817427199</v>
      </c>
      <c r="AG78" s="88">
        <v>1.0429722729728881</v>
      </c>
      <c r="AH78" s="88">
        <v>88200</v>
      </c>
      <c r="AI78" s="88">
        <v>89177.666666666657</v>
      </c>
      <c r="AJ78" s="88">
        <v>79127.647702406975</v>
      </c>
      <c r="AK78" s="88">
        <v>83079.096784321955</v>
      </c>
      <c r="AL78" s="88">
        <v>84713.752962936807</v>
      </c>
      <c r="AM78" s="88">
        <v>84000</v>
      </c>
      <c r="AN78" s="88">
        <v>51408</v>
      </c>
      <c r="AO78" s="88">
        <v>51276.435164274189</v>
      </c>
      <c r="AP78" s="88">
        <v>49560.348967780017</v>
      </c>
      <c r="AQ78" s="88">
        <v>0</v>
      </c>
      <c r="AR78" s="88">
        <v>80866.425992779783</v>
      </c>
      <c r="AS78" s="88">
        <v>84118.974657322717</v>
      </c>
      <c r="AT78" s="88">
        <v>51276.435164274189</v>
      </c>
      <c r="AU78" s="88">
        <v>49560.348967780017</v>
      </c>
      <c r="AV78" s="88">
        <v>79800</v>
      </c>
      <c r="AW78" s="88">
        <v>78960</v>
      </c>
      <c r="AX78" s="88">
        <v>79800</v>
      </c>
      <c r="AY78" s="88">
        <v>84000</v>
      </c>
      <c r="AZ78" s="88">
        <v>84000</v>
      </c>
      <c r="BA78" s="88">
        <v>84000</v>
      </c>
      <c r="BB78" s="88">
        <v>84000</v>
      </c>
      <c r="BC78" s="88">
        <v>84000</v>
      </c>
      <c r="BD78" s="88">
        <v>84000</v>
      </c>
      <c r="BE78" s="88">
        <v>84000</v>
      </c>
      <c r="BF78" s="88">
        <v>84000</v>
      </c>
      <c r="BG78" s="88">
        <v>84000</v>
      </c>
      <c r="BH78" s="88">
        <v>84000</v>
      </c>
      <c r="BI78" s="88">
        <v>84000</v>
      </c>
      <c r="BJ78" s="88">
        <v>84000</v>
      </c>
      <c r="BK78" s="88">
        <v>4953.9255980609132</v>
      </c>
      <c r="BL78" s="88">
        <v>717.52866838287059</v>
      </c>
      <c r="BM78" s="88">
        <v>717.03364164689185</v>
      </c>
      <c r="BN78" s="88">
        <v>4105.1834540780674</v>
      </c>
      <c r="BO78" s="88">
        <v>4104.6526780397326</v>
      </c>
      <c r="BP78" s="88">
        <v>4104.1226575809196</v>
      </c>
      <c r="BQ78" s="88">
        <v>4103.5933910894091</v>
      </c>
      <c r="BR78" s="88">
        <v>4103.0562190504043</v>
      </c>
      <c r="BS78" s="88">
        <v>4102.5284679691731</v>
      </c>
      <c r="BT78" s="88">
        <v>4102.0014660197603</v>
      </c>
      <c r="BU78" s="88">
        <v>4101.4752116082236</v>
      </c>
      <c r="BV78" s="88">
        <v>4100.9497031451556</v>
      </c>
      <c r="BW78" s="88">
        <v>4200.0000000000036</v>
      </c>
      <c r="BX78" s="88">
        <v>0</v>
      </c>
      <c r="BY78" s="88">
        <v>0</v>
      </c>
      <c r="BZ78" s="88">
        <v>3360.0000000000032</v>
      </c>
      <c r="CA78" s="88">
        <v>3360.0000000000032</v>
      </c>
      <c r="CB78" s="88">
        <v>3360.0000000000032</v>
      </c>
      <c r="CC78" s="88">
        <v>3360.0000000000032</v>
      </c>
      <c r="CD78" s="88">
        <v>3360.0000000000032</v>
      </c>
      <c r="CE78" s="88">
        <v>3360.0000000000032</v>
      </c>
      <c r="CF78" s="88">
        <v>3360.0000000000032</v>
      </c>
      <c r="CG78" s="88">
        <v>3360.0000000000032</v>
      </c>
      <c r="CH78" s="88">
        <v>3360.0000000000032</v>
      </c>
      <c r="CI78" s="88">
        <v>84000</v>
      </c>
      <c r="CJ78" s="88">
        <v>84000</v>
      </c>
      <c r="CK78" s="88">
        <v>84000</v>
      </c>
      <c r="CL78" s="88">
        <v>84000</v>
      </c>
      <c r="CM78" s="88">
        <v>84000</v>
      </c>
      <c r="CN78" s="88">
        <v>84000</v>
      </c>
      <c r="CO78" s="88">
        <v>84000</v>
      </c>
      <c r="CP78" s="88">
        <v>84000</v>
      </c>
      <c r="CQ78" s="88">
        <v>84000</v>
      </c>
      <c r="CR78" s="88">
        <v>84000</v>
      </c>
      <c r="CS78" s="88">
        <v>84000</v>
      </c>
      <c r="CT78" s="88">
        <v>84000</v>
      </c>
      <c r="CU78" s="88">
        <v>718.0243791056364</v>
      </c>
      <c r="CV78" s="88">
        <v>717.52866838287059</v>
      </c>
      <c r="CW78" s="88">
        <v>717.03364164689185</v>
      </c>
      <c r="CX78" s="88">
        <v>716.52255199813203</v>
      </c>
      <c r="CY78" s="88">
        <v>716.01219042280832</v>
      </c>
      <c r="CZ78" s="88">
        <v>715.50255536626037</v>
      </c>
      <c r="DA78" s="88">
        <v>714.99364527826708</v>
      </c>
      <c r="DB78" s="88">
        <v>714.47713370230656</v>
      </c>
      <c r="DC78" s="88">
        <v>713.96968073958169</v>
      </c>
      <c r="DD78" s="88">
        <v>713.46294809592246</v>
      </c>
      <c r="DE78" s="88">
        <v>712.95693423867772</v>
      </c>
      <c r="DF78" s="88">
        <v>712.45163763957908</v>
      </c>
      <c r="DG78" s="93">
        <v>46054</v>
      </c>
      <c r="DH78" s="91">
        <v>0.05</v>
      </c>
      <c r="DI78" t="s">
        <v>301</v>
      </c>
      <c r="DJ78" s="93">
        <v>46478</v>
      </c>
      <c r="DK78" s="91">
        <v>0.04</v>
      </c>
      <c r="DL78" t="s">
        <v>302</v>
      </c>
      <c r="DM78" s="93"/>
      <c r="DN78" s="91"/>
      <c r="DP78" s="93"/>
      <c r="DQ78" s="91"/>
    </row>
    <row r="79" spans="1:121" x14ac:dyDescent="0.3">
      <c r="A79" t="s">
        <v>24</v>
      </c>
      <c r="B79" t="s">
        <v>42</v>
      </c>
      <c r="C79" t="s">
        <v>87</v>
      </c>
      <c r="D79" t="s">
        <v>329</v>
      </c>
      <c r="E79" t="s">
        <v>442</v>
      </c>
      <c r="F79" s="86">
        <v>70000</v>
      </c>
      <c r="G79" s="87">
        <v>12</v>
      </c>
      <c r="H79" s="88">
        <v>1</v>
      </c>
      <c r="I79" s="88">
        <v>1</v>
      </c>
      <c r="J79" s="89">
        <v>0.93800419401896429</v>
      </c>
      <c r="K79" s="88">
        <v>1</v>
      </c>
      <c r="L79" s="88">
        <v>1.012788648555651</v>
      </c>
      <c r="M79" s="88">
        <v>1</v>
      </c>
      <c r="N79" s="90">
        <v>0.64</v>
      </c>
      <c r="O79" s="90">
        <v>0.64818473507561691</v>
      </c>
      <c r="P79" s="90">
        <v>0.6528202604468234</v>
      </c>
      <c r="Q79" s="91">
        <v>0</v>
      </c>
      <c r="R79" s="88">
        <v>1</v>
      </c>
      <c r="S79" s="88">
        <v>1.020031656948162</v>
      </c>
      <c r="T79" s="91">
        <v>0</v>
      </c>
      <c r="U79" s="91">
        <v>0</v>
      </c>
      <c r="V79" s="87">
        <v>0</v>
      </c>
      <c r="W79" s="91">
        <v>0</v>
      </c>
      <c r="X79" s="87">
        <v>1</v>
      </c>
      <c r="Y79" s="90">
        <v>0.64818473507561691</v>
      </c>
      <c r="Z79" s="90">
        <v>0.6528202604468234</v>
      </c>
      <c r="AA79" s="92">
        <v>0</v>
      </c>
      <c r="AB79" s="88">
        <v>0</v>
      </c>
      <c r="AC79" s="87">
        <v>0</v>
      </c>
      <c r="AD79" s="87">
        <v>0</v>
      </c>
      <c r="AE79" s="88">
        <v>1</v>
      </c>
      <c r="AF79" s="88">
        <v>0.99152129657519972</v>
      </c>
      <c r="AG79" s="88">
        <v>0.99152129657519972</v>
      </c>
      <c r="AH79" s="88">
        <v>70000</v>
      </c>
      <c r="AI79" s="88">
        <v>70000</v>
      </c>
      <c r="AJ79" s="88">
        <v>65660.293581327496</v>
      </c>
      <c r="AK79" s="88">
        <v>70000</v>
      </c>
      <c r="AL79" s="88">
        <v>70895.205398895603</v>
      </c>
      <c r="AM79" s="88">
        <v>70000</v>
      </c>
      <c r="AN79" s="88">
        <v>44800</v>
      </c>
      <c r="AO79" s="88">
        <v>45372.931455293183</v>
      </c>
      <c r="AP79" s="88">
        <v>45697.418231277639</v>
      </c>
      <c r="AQ79" s="88">
        <v>0</v>
      </c>
      <c r="AR79" s="88">
        <v>70000</v>
      </c>
      <c r="AS79" s="88">
        <v>71402.215986371302</v>
      </c>
      <c r="AT79" s="88">
        <v>45372.931455293183</v>
      </c>
      <c r="AU79" s="88">
        <v>45697.418231277639</v>
      </c>
      <c r="AV79" s="88">
        <v>66500</v>
      </c>
      <c r="AW79" s="88">
        <v>65800</v>
      </c>
      <c r="AX79" s="88">
        <v>65100</v>
      </c>
      <c r="AY79" s="88">
        <v>70000</v>
      </c>
      <c r="AZ79" s="88">
        <v>70000</v>
      </c>
      <c r="BA79" s="88">
        <v>70000</v>
      </c>
      <c r="BB79" s="88">
        <v>70000</v>
      </c>
      <c r="BC79" s="88">
        <v>70000</v>
      </c>
      <c r="BD79" s="88">
        <v>70000</v>
      </c>
      <c r="BE79" s="88">
        <v>70000</v>
      </c>
      <c r="BF79" s="88">
        <v>70000</v>
      </c>
      <c r="BG79" s="88">
        <v>70000</v>
      </c>
      <c r="BH79" s="88">
        <v>70000</v>
      </c>
      <c r="BI79" s="88">
        <v>70000</v>
      </c>
      <c r="BJ79" s="88">
        <v>70000</v>
      </c>
      <c r="BK79" s="88">
        <v>-591.22305654221384</v>
      </c>
      <c r="BL79" s="88">
        <v>-591.62691613022128</v>
      </c>
      <c r="BM79" s="88">
        <v>-592.0313278416811</v>
      </c>
      <c r="BN79" s="88">
        <v>-592.4500301442248</v>
      </c>
      <c r="BO79" s="88">
        <v>-592.86932510353665</v>
      </c>
      <c r="BP79" s="88">
        <v>-593.28921397886586</v>
      </c>
      <c r="BQ79" s="88">
        <v>-593.7096980329593</v>
      </c>
      <c r="BR79" s="88">
        <v>-594.1376864673764</v>
      </c>
      <c r="BS79" s="88">
        <v>-594.55937449094938</v>
      </c>
      <c r="BT79" s="88">
        <v>-594.98166152412989</v>
      </c>
      <c r="BU79" s="88">
        <v>-595.40454884413509</v>
      </c>
      <c r="BV79" s="88">
        <v>-595.82803773188914</v>
      </c>
      <c r="BW79" s="88">
        <v>0</v>
      </c>
      <c r="BX79" s="88">
        <v>0</v>
      </c>
      <c r="BY79" s="88">
        <v>0</v>
      </c>
      <c r="BZ79" s="88">
        <v>0</v>
      </c>
      <c r="CA79" s="88">
        <v>0</v>
      </c>
      <c r="CB79" s="88">
        <v>0</v>
      </c>
      <c r="CC79" s="88">
        <v>0</v>
      </c>
      <c r="CD79" s="88">
        <v>0</v>
      </c>
      <c r="CE79" s="88">
        <v>0</v>
      </c>
      <c r="CF79" s="88">
        <v>0</v>
      </c>
      <c r="CG79" s="88">
        <v>0</v>
      </c>
      <c r="CH79" s="88">
        <v>0</v>
      </c>
      <c r="CI79" s="88">
        <v>70000</v>
      </c>
      <c r="CJ79" s="88">
        <v>70000</v>
      </c>
      <c r="CK79" s="88">
        <v>70000</v>
      </c>
      <c r="CL79" s="88">
        <v>70000</v>
      </c>
      <c r="CM79" s="88">
        <v>70000</v>
      </c>
      <c r="CN79" s="88">
        <v>70000</v>
      </c>
      <c r="CO79" s="88">
        <v>70000</v>
      </c>
      <c r="CP79" s="88">
        <v>70000</v>
      </c>
      <c r="CQ79" s="88">
        <v>70000</v>
      </c>
      <c r="CR79" s="88">
        <v>70000</v>
      </c>
      <c r="CS79" s="88">
        <v>70000</v>
      </c>
      <c r="CT79" s="88">
        <v>70000</v>
      </c>
      <c r="CU79" s="88">
        <v>-591.22305654221384</v>
      </c>
      <c r="CV79" s="88">
        <v>-591.62691613022128</v>
      </c>
      <c r="CW79" s="88">
        <v>-592.0313278416811</v>
      </c>
      <c r="CX79" s="88">
        <v>-592.4500301442248</v>
      </c>
      <c r="CY79" s="88">
        <v>-592.86932510353665</v>
      </c>
      <c r="CZ79" s="88">
        <v>-593.28921397886586</v>
      </c>
      <c r="DA79" s="88">
        <v>-593.7096980329593</v>
      </c>
      <c r="DB79" s="88">
        <v>-594.1376864673764</v>
      </c>
      <c r="DC79" s="88">
        <v>-594.55937449094938</v>
      </c>
      <c r="DD79" s="88">
        <v>-594.98166152412989</v>
      </c>
      <c r="DE79" s="88">
        <v>-595.40454884413509</v>
      </c>
      <c r="DF79" s="88">
        <v>-595.82803773188914</v>
      </c>
      <c r="DG79" s="93"/>
      <c r="DH79" s="91"/>
      <c r="DJ79" s="93"/>
      <c r="DK79" s="91"/>
      <c r="DM79" s="93"/>
      <c r="DN79" s="91"/>
      <c r="DP79" s="93"/>
      <c r="DQ79" s="91"/>
    </row>
    <row r="80" spans="1:121" x14ac:dyDescent="0.3">
      <c r="A80" t="s">
        <v>24</v>
      </c>
      <c r="B80" t="s">
        <v>42</v>
      </c>
      <c r="C80" t="s">
        <v>89</v>
      </c>
      <c r="D80" t="s">
        <v>331</v>
      </c>
      <c r="E80" t="s">
        <v>443</v>
      </c>
      <c r="F80" s="86">
        <v>56000</v>
      </c>
      <c r="G80" s="87">
        <v>12</v>
      </c>
      <c r="H80" s="88">
        <v>1.02</v>
      </c>
      <c r="I80" s="88">
        <v>1.0193749999999999</v>
      </c>
      <c r="J80" s="89">
        <v>0.94099790299051811</v>
      </c>
      <c r="K80" s="88">
        <v>1.000613120784795</v>
      </c>
      <c r="L80" s="88">
        <v>1.009566543114361</v>
      </c>
      <c r="M80" s="88">
        <v>1</v>
      </c>
      <c r="N80" s="90">
        <v>0.624</v>
      </c>
      <c r="O80" s="90">
        <v>0.63035577031164047</v>
      </c>
      <c r="P80" s="90">
        <v>0.62774786741972277</v>
      </c>
      <c r="Q80" s="91">
        <v>0</v>
      </c>
      <c r="R80" s="88">
        <v>1</v>
      </c>
      <c r="S80" s="88">
        <v>1.006006197788017</v>
      </c>
      <c r="T80" s="91">
        <v>-6.1274509803932453E-4</v>
      </c>
      <c r="U80" s="91">
        <v>6.1312078479458521E-4</v>
      </c>
      <c r="V80" s="87">
        <v>0</v>
      </c>
      <c r="W80" s="91">
        <v>0</v>
      </c>
      <c r="X80" s="87">
        <v>1</v>
      </c>
      <c r="Y80" s="90">
        <v>0.63035577031164047</v>
      </c>
      <c r="Z80" s="90">
        <v>0.62774786741972277</v>
      </c>
      <c r="AA80" s="92">
        <v>0</v>
      </c>
      <c r="AB80" s="88">
        <v>0</v>
      </c>
      <c r="AC80" s="87">
        <v>1</v>
      </c>
      <c r="AD80" s="87">
        <v>0</v>
      </c>
      <c r="AE80" s="88">
        <v>1.0049999999999999</v>
      </c>
      <c r="AF80" s="88">
        <v>1.004252860915166</v>
      </c>
      <c r="AG80" s="88">
        <v>1.009274159114963</v>
      </c>
      <c r="AH80" s="88">
        <v>57120</v>
      </c>
      <c r="AI80" s="88">
        <v>57084.999999999993</v>
      </c>
      <c r="AJ80" s="88">
        <v>52695.882567469023</v>
      </c>
      <c r="AK80" s="88">
        <v>56034.334763948507</v>
      </c>
      <c r="AL80" s="88">
        <v>56535.726414404213</v>
      </c>
      <c r="AM80" s="88">
        <v>56000</v>
      </c>
      <c r="AN80" s="88">
        <v>34944</v>
      </c>
      <c r="AO80" s="88">
        <v>35299.923137451857</v>
      </c>
      <c r="AP80" s="88">
        <v>35153.880575504467</v>
      </c>
      <c r="AQ80" s="88">
        <v>0</v>
      </c>
      <c r="AR80" s="88">
        <v>56000.000000000007</v>
      </c>
      <c r="AS80" s="88">
        <v>56336.347076128957</v>
      </c>
      <c r="AT80" s="88">
        <v>35299.923137451857</v>
      </c>
      <c r="AU80" s="88">
        <v>35153.880575504467</v>
      </c>
      <c r="AV80" s="88">
        <v>53200</v>
      </c>
      <c r="AW80" s="88">
        <v>52640</v>
      </c>
      <c r="AX80" s="88">
        <v>52920</v>
      </c>
      <c r="AY80" s="88">
        <v>56000</v>
      </c>
      <c r="AZ80" s="88">
        <v>56000</v>
      </c>
      <c r="BA80" s="88">
        <v>56000</v>
      </c>
      <c r="BB80" s="88">
        <v>56000</v>
      </c>
      <c r="BC80" s="88">
        <v>56000</v>
      </c>
      <c r="BD80" s="88">
        <v>56000</v>
      </c>
      <c r="BE80" s="88">
        <v>56000</v>
      </c>
      <c r="BF80" s="88">
        <v>56000</v>
      </c>
      <c r="BG80" s="88">
        <v>56000</v>
      </c>
      <c r="BH80" s="88">
        <v>56000</v>
      </c>
      <c r="BI80" s="88">
        <v>56000</v>
      </c>
      <c r="BJ80" s="88">
        <v>56000</v>
      </c>
      <c r="BK80" s="88">
        <v>1363.394409194648</v>
      </c>
      <c r="BL80" s="88">
        <v>1363.3106152553421</v>
      </c>
      <c r="BM80" s="88">
        <v>1363.226878992037</v>
      </c>
      <c r="BN80" s="88">
        <v>238.37290665671421</v>
      </c>
      <c r="BO80" s="88">
        <v>238.28814912827849</v>
      </c>
      <c r="BP80" s="88">
        <v>238.20345185237099</v>
      </c>
      <c r="BQ80" s="88">
        <v>238.11881476476771</v>
      </c>
      <c r="BR80" s="88">
        <v>238.03285179426581</v>
      </c>
      <c r="BS80" s="88">
        <v>237.94833587502501</v>
      </c>
      <c r="BT80" s="88">
        <v>237.86387995089339</v>
      </c>
      <c r="BU80" s="88">
        <v>237.7794839580325</v>
      </c>
      <c r="BV80" s="88">
        <v>237.69514783265319</v>
      </c>
      <c r="BW80" s="88">
        <v>1120.0000000000009</v>
      </c>
      <c r="BX80" s="88">
        <v>1120.0000000000009</v>
      </c>
      <c r="BY80" s="88">
        <v>1120.0000000000009</v>
      </c>
      <c r="BZ80" s="88">
        <v>0</v>
      </c>
      <c r="CA80" s="88">
        <v>0</v>
      </c>
      <c r="CB80" s="88">
        <v>0</v>
      </c>
      <c r="CC80" s="88">
        <v>0</v>
      </c>
      <c r="CD80" s="88">
        <v>0</v>
      </c>
      <c r="CE80" s="88">
        <v>0</v>
      </c>
      <c r="CF80" s="88">
        <v>0</v>
      </c>
      <c r="CG80" s="88">
        <v>0</v>
      </c>
      <c r="CH80" s="88">
        <v>0</v>
      </c>
      <c r="CI80" s="88">
        <v>56000</v>
      </c>
      <c r="CJ80" s="88">
        <v>56000</v>
      </c>
      <c r="CK80" s="88">
        <v>56000</v>
      </c>
      <c r="CL80" s="88">
        <v>56000</v>
      </c>
      <c r="CM80" s="88">
        <v>56000</v>
      </c>
      <c r="CN80" s="88">
        <v>56000</v>
      </c>
      <c r="CO80" s="88">
        <v>56000</v>
      </c>
      <c r="CP80" s="88">
        <v>56000</v>
      </c>
      <c r="CQ80" s="88">
        <v>56000</v>
      </c>
      <c r="CR80" s="88">
        <v>56000</v>
      </c>
      <c r="CS80" s="88">
        <v>56000</v>
      </c>
      <c r="CT80" s="88">
        <v>56000</v>
      </c>
      <c r="CU80" s="88">
        <v>238.62196979867889</v>
      </c>
      <c r="CV80" s="88">
        <v>238.5398188777863</v>
      </c>
      <c r="CW80" s="88">
        <v>238.45772450200189</v>
      </c>
      <c r="CX80" s="88">
        <v>238.37290665671421</v>
      </c>
      <c r="CY80" s="88">
        <v>238.28814912827849</v>
      </c>
      <c r="CZ80" s="88">
        <v>238.20345185237099</v>
      </c>
      <c r="DA80" s="88">
        <v>238.11881476476771</v>
      </c>
      <c r="DB80" s="88">
        <v>238.03285179426581</v>
      </c>
      <c r="DC80" s="88">
        <v>237.94833587502501</v>
      </c>
      <c r="DD80" s="88">
        <v>237.86387995089339</v>
      </c>
      <c r="DE80" s="88">
        <v>237.7794839580325</v>
      </c>
      <c r="DF80" s="88">
        <v>237.69514783265319</v>
      </c>
      <c r="DG80" s="93">
        <v>46113</v>
      </c>
      <c r="DH80" s="91">
        <v>0.02</v>
      </c>
      <c r="DI80" t="s">
        <v>301</v>
      </c>
      <c r="DJ80" s="93"/>
      <c r="DK80" s="91"/>
      <c r="DM80" s="93"/>
      <c r="DN80" s="91"/>
      <c r="DP80" s="93"/>
      <c r="DQ80" s="91"/>
    </row>
    <row r="81" spans="1:121" x14ac:dyDescent="0.3">
      <c r="A81" t="s">
        <v>24</v>
      </c>
      <c r="B81" t="s">
        <v>42</v>
      </c>
      <c r="C81" t="s">
        <v>91</v>
      </c>
      <c r="D81" t="s">
        <v>333</v>
      </c>
      <c r="E81" t="s">
        <v>444</v>
      </c>
      <c r="F81" s="86">
        <v>42000</v>
      </c>
      <c r="G81" s="87">
        <v>12</v>
      </c>
      <c r="H81" s="88">
        <v>1.03</v>
      </c>
      <c r="I81" s="88">
        <v>1.028333333333334</v>
      </c>
      <c r="J81" s="89">
        <v>0.9439916119620716</v>
      </c>
      <c r="K81" s="88">
        <v>1.00162074554295</v>
      </c>
      <c r="L81" s="88">
        <v>1.0063648743927289</v>
      </c>
      <c r="M81" s="88">
        <v>1</v>
      </c>
      <c r="N81" s="90">
        <v>0.60799999999999998</v>
      </c>
      <c r="O81" s="90">
        <v>0.61286152895270907</v>
      </c>
      <c r="P81" s="90">
        <v>0.60335561443318764</v>
      </c>
      <c r="Q81" s="91">
        <v>0</v>
      </c>
      <c r="R81" s="88">
        <v>0.99999999999999978</v>
      </c>
      <c r="S81" s="88">
        <v>0.99236120794932203</v>
      </c>
      <c r="T81" s="91">
        <v>-1.618122977346093E-3</v>
      </c>
      <c r="U81" s="91">
        <v>1.620745542949775E-3</v>
      </c>
      <c r="V81" s="87">
        <v>0</v>
      </c>
      <c r="W81" s="91">
        <v>0</v>
      </c>
      <c r="X81" s="87">
        <v>1</v>
      </c>
      <c r="Y81" s="90">
        <v>0.61286152895270907</v>
      </c>
      <c r="Z81" s="90">
        <v>0.60335561443318764</v>
      </c>
      <c r="AA81" s="92">
        <v>0</v>
      </c>
      <c r="AB81" s="88">
        <v>0</v>
      </c>
      <c r="AC81" s="87">
        <v>1</v>
      </c>
      <c r="AD81" s="87">
        <v>0</v>
      </c>
      <c r="AE81" s="88">
        <v>1.01</v>
      </c>
      <c r="AF81" s="88">
        <v>1.017066289316704</v>
      </c>
      <c r="AG81" s="88">
        <v>1.0272379252124759</v>
      </c>
      <c r="AH81" s="88">
        <v>43260</v>
      </c>
      <c r="AI81" s="88">
        <v>43190.000000000007</v>
      </c>
      <c r="AJ81" s="88">
        <v>39647.647702406997</v>
      </c>
      <c r="AK81" s="88">
        <v>42068.071312803877</v>
      </c>
      <c r="AL81" s="88">
        <v>42267.324724494618</v>
      </c>
      <c r="AM81" s="88">
        <v>42000</v>
      </c>
      <c r="AN81" s="88">
        <v>25536</v>
      </c>
      <c r="AO81" s="88">
        <v>25740.184216013778</v>
      </c>
      <c r="AP81" s="88">
        <v>25340.93580619388</v>
      </c>
      <c r="AQ81" s="88">
        <v>0</v>
      </c>
      <c r="AR81" s="88">
        <v>41999.999999999993</v>
      </c>
      <c r="AS81" s="88">
        <v>41679.170733871528</v>
      </c>
      <c r="AT81" s="88">
        <v>25740.184216013778</v>
      </c>
      <c r="AU81" s="88">
        <v>25340.93580619388</v>
      </c>
      <c r="AV81" s="88">
        <v>39900</v>
      </c>
      <c r="AW81" s="88">
        <v>39480</v>
      </c>
      <c r="AX81" s="88">
        <v>40320</v>
      </c>
      <c r="AY81" s="88">
        <v>42000</v>
      </c>
      <c r="AZ81" s="88">
        <v>42000</v>
      </c>
      <c r="BA81" s="88">
        <v>42000</v>
      </c>
      <c r="BB81" s="88">
        <v>42000</v>
      </c>
      <c r="BC81" s="88">
        <v>42000</v>
      </c>
      <c r="BD81" s="88">
        <v>42000</v>
      </c>
      <c r="BE81" s="88">
        <v>42000</v>
      </c>
      <c r="BF81" s="88">
        <v>42000</v>
      </c>
      <c r="BG81" s="88">
        <v>42000</v>
      </c>
      <c r="BH81" s="88">
        <v>42000</v>
      </c>
      <c r="BI81" s="88">
        <v>42000</v>
      </c>
      <c r="BJ81" s="88">
        <v>42000</v>
      </c>
      <c r="BK81" s="88">
        <v>2004.052022712825</v>
      </c>
      <c r="BL81" s="88">
        <v>2003.0191520399039</v>
      </c>
      <c r="BM81" s="88">
        <v>2001.9891449919039</v>
      </c>
      <c r="BN81" s="88">
        <v>2000.927220684162</v>
      </c>
      <c r="BO81" s="88">
        <v>718.31876859639715</v>
      </c>
      <c r="BP81" s="88">
        <v>717.29365524986565</v>
      </c>
      <c r="BQ81" s="88">
        <v>716.27146361406608</v>
      </c>
      <c r="BR81" s="88">
        <v>715.23549583596105</v>
      </c>
      <c r="BS81" s="88">
        <v>714.21915765934284</v>
      </c>
      <c r="BT81" s="88">
        <v>713.20570378468324</v>
      </c>
      <c r="BU81" s="88">
        <v>712.19512195121922</v>
      </c>
      <c r="BV81" s="88">
        <v>711.18739996752561</v>
      </c>
      <c r="BW81" s="88">
        <v>1260.0000000000009</v>
      </c>
      <c r="BX81" s="88">
        <v>1260.0000000000009</v>
      </c>
      <c r="BY81" s="88">
        <v>1260.0000000000009</v>
      </c>
      <c r="BZ81" s="88">
        <v>1260.0000000000009</v>
      </c>
      <c r="CA81" s="88">
        <v>0</v>
      </c>
      <c r="CB81" s="88">
        <v>0</v>
      </c>
      <c r="CC81" s="88">
        <v>0</v>
      </c>
      <c r="CD81" s="88">
        <v>0</v>
      </c>
      <c r="CE81" s="88">
        <v>0</v>
      </c>
      <c r="CF81" s="88">
        <v>0</v>
      </c>
      <c r="CG81" s="88">
        <v>0</v>
      </c>
      <c r="CH81" s="88">
        <v>0</v>
      </c>
      <c r="CI81" s="88">
        <v>42000</v>
      </c>
      <c r="CJ81" s="88">
        <v>42000</v>
      </c>
      <c r="CK81" s="88">
        <v>42000</v>
      </c>
      <c r="CL81" s="88">
        <v>42000</v>
      </c>
      <c r="CM81" s="88">
        <v>42000</v>
      </c>
      <c r="CN81" s="88">
        <v>42000</v>
      </c>
      <c r="CO81" s="88">
        <v>42000</v>
      </c>
      <c r="CP81" s="88">
        <v>42000</v>
      </c>
      <c r="CQ81" s="88">
        <v>42000</v>
      </c>
      <c r="CR81" s="88">
        <v>42000</v>
      </c>
      <c r="CS81" s="88">
        <v>42000</v>
      </c>
      <c r="CT81" s="88">
        <v>42000</v>
      </c>
      <c r="CU81" s="88">
        <v>722.38060457555389</v>
      </c>
      <c r="CV81" s="88">
        <v>721.3778175144721</v>
      </c>
      <c r="CW81" s="88">
        <v>720.37781067174706</v>
      </c>
      <c r="CX81" s="88">
        <v>719.34681619821015</v>
      </c>
      <c r="CY81" s="88">
        <v>718.31876859639715</v>
      </c>
      <c r="CZ81" s="88">
        <v>717.29365524986565</v>
      </c>
      <c r="DA81" s="88">
        <v>716.27146361406608</v>
      </c>
      <c r="DB81" s="88">
        <v>715.23549583596105</v>
      </c>
      <c r="DC81" s="88">
        <v>714.21915765934284</v>
      </c>
      <c r="DD81" s="88">
        <v>713.20570378468324</v>
      </c>
      <c r="DE81" s="88">
        <v>712.19512195121922</v>
      </c>
      <c r="DF81" s="88">
        <v>711.18739996752561</v>
      </c>
      <c r="DG81" s="93">
        <v>46143</v>
      </c>
      <c r="DH81" s="91">
        <v>0.03</v>
      </c>
      <c r="DI81" t="s">
        <v>301</v>
      </c>
      <c r="DJ81" s="93"/>
      <c r="DK81" s="91"/>
      <c r="DM81" s="93"/>
      <c r="DN81" s="91"/>
      <c r="DP81" s="93"/>
      <c r="DQ81" s="91"/>
    </row>
    <row r="82" spans="1:121" x14ac:dyDescent="0.3">
      <c r="A82" t="s">
        <v>24</v>
      </c>
      <c r="B82" t="s">
        <v>42</v>
      </c>
      <c r="C82" t="s">
        <v>92</v>
      </c>
      <c r="D82" t="s">
        <v>335</v>
      </c>
      <c r="E82" t="s">
        <v>445</v>
      </c>
      <c r="F82" s="86">
        <v>28000</v>
      </c>
      <c r="G82" s="87">
        <v>12</v>
      </c>
      <c r="H82" s="88">
        <v>1</v>
      </c>
      <c r="I82" s="88">
        <v>1.0034722222222221</v>
      </c>
      <c r="J82" s="89">
        <v>0.93999999999999984</v>
      </c>
      <c r="K82" s="88">
        <v>0.9965397923875432</v>
      </c>
      <c r="L82" s="88">
        <v>1.0106382978723401</v>
      </c>
      <c r="M82" s="88">
        <v>1</v>
      </c>
      <c r="N82" s="90">
        <v>0.63600000000000001</v>
      </c>
      <c r="O82" s="90">
        <v>0.64054185378782302</v>
      </c>
      <c r="P82" s="90">
        <v>0.62211518935569576</v>
      </c>
      <c r="Q82" s="91">
        <v>0</v>
      </c>
      <c r="R82" s="88">
        <v>0.9678720258099206</v>
      </c>
      <c r="S82" s="88">
        <v>1.0106382978723401</v>
      </c>
      <c r="T82" s="91">
        <v>3.4722222222223209E-3</v>
      </c>
      <c r="U82" s="91">
        <v>2.9619377162629631E-2</v>
      </c>
      <c r="V82" s="87">
        <v>0</v>
      </c>
      <c r="W82" s="91">
        <v>0</v>
      </c>
      <c r="X82" s="87">
        <v>1</v>
      </c>
      <c r="Y82" s="90">
        <v>0.64054185378782302</v>
      </c>
      <c r="Z82" s="90">
        <v>0.62211518935569576</v>
      </c>
      <c r="AA82" s="92">
        <v>0</v>
      </c>
      <c r="AB82" s="88">
        <v>0</v>
      </c>
      <c r="AC82" s="87">
        <v>0</v>
      </c>
      <c r="AD82" s="87">
        <v>1</v>
      </c>
      <c r="AE82" s="88">
        <v>1.0166666666666659</v>
      </c>
      <c r="AF82" s="88">
        <v>1</v>
      </c>
      <c r="AG82" s="88">
        <v>1.0166666666666659</v>
      </c>
      <c r="AH82" s="88">
        <v>28000</v>
      </c>
      <c r="AI82" s="88">
        <v>28097.22222222223</v>
      </c>
      <c r="AJ82" s="88">
        <v>26320</v>
      </c>
      <c r="AK82" s="88">
        <v>27903.11418685121</v>
      </c>
      <c r="AL82" s="88">
        <v>28297.872340425529</v>
      </c>
      <c r="AM82" s="88">
        <v>28000</v>
      </c>
      <c r="AN82" s="88">
        <v>17808</v>
      </c>
      <c r="AO82" s="88">
        <v>17935.17190605904</v>
      </c>
      <c r="AP82" s="88">
        <v>17419.225301959479</v>
      </c>
      <c r="AQ82" s="88">
        <v>0</v>
      </c>
      <c r="AR82" s="88">
        <v>27100.416722677779</v>
      </c>
      <c r="AS82" s="88">
        <v>28297.872340425529</v>
      </c>
      <c r="AT82" s="88">
        <v>17935.17190605904</v>
      </c>
      <c r="AU82" s="88">
        <v>17419.225301959479</v>
      </c>
      <c r="AV82" s="88">
        <v>26600</v>
      </c>
      <c r="AW82" s="88">
        <v>26320</v>
      </c>
      <c r="AX82" s="88">
        <v>26320</v>
      </c>
      <c r="AY82" s="88">
        <v>28000</v>
      </c>
      <c r="AZ82" s="88">
        <v>28000</v>
      </c>
      <c r="BA82" s="88">
        <v>28000</v>
      </c>
      <c r="BB82" s="88">
        <v>28000</v>
      </c>
      <c r="BC82" s="88">
        <v>28000</v>
      </c>
      <c r="BD82" s="88">
        <v>28000</v>
      </c>
      <c r="BE82" s="88">
        <v>28000</v>
      </c>
      <c r="BF82" s="88">
        <v>28000</v>
      </c>
      <c r="BG82" s="88">
        <v>28000</v>
      </c>
      <c r="BH82" s="88">
        <v>28000</v>
      </c>
      <c r="BI82" s="88">
        <v>28000</v>
      </c>
      <c r="BJ82" s="88">
        <v>28000</v>
      </c>
      <c r="BK82" s="88">
        <v>0</v>
      </c>
      <c r="BL82" s="88">
        <v>0</v>
      </c>
      <c r="BM82" s="88">
        <v>0</v>
      </c>
      <c r="BN82" s="88">
        <v>0</v>
      </c>
      <c r="BO82" s="88">
        <v>0</v>
      </c>
      <c r="BP82" s="88">
        <v>0</v>
      </c>
      <c r="BQ82" s="88">
        <v>0</v>
      </c>
      <c r="BR82" s="88">
        <v>1120.0000000000009</v>
      </c>
      <c r="BS82" s="88">
        <v>1120.0000000000009</v>
      </c>
      <c r="BT82" s="88">
        <v>1120.0000000000009</v>
      </c>
      <c r="BU82" s="88">
        <v>1120.0000000000009</v>
      </c>
      <c r="BV82" s="88">
        <v>1120.0000000000009</v>
      </c>
      <c r="BW82" s="88">
        <v>0</v>
      </c>
      <c r="BX82" s="88">
        <v>0</v>
      </c>
      <c r="BY82" s="88">
        <v>0</v>
      </c>
      <c r="BZ82" s="88">
        <v>0</v>
      </c>
      <c r="CA82" s="88">
        <v>0</v>
      </c>
      <c r="CB82" s="88">
        <v>0</v>
      </c>
      <c r="CC82" s="88">
        <v>0</v>
      </c>
      <c r="CD82" s="88">
        <v>1120.0000000000009</v>
      </c>
      <c r="CE82" s="88">
        <v>1120.0000000000009</v>
      </c>
      <c r="CF82" s="88">
        <v>1120.0000000000009</v>
      </c>
      <c r="CG82" s="88">
        <v>1120.0000000000009</v>
      </c>
      <c r="CH82" s="88">
        <v>1120.0000000000009</v>
      </c>
      <c r="CI82" s="88">
        <v>28000</v>
      </c>
      <c r="CJ82" s="88">
        <v>28000</v>
      </c>
      <c r="CK82" s="88">
        <v>28000</v>
      </c>
      <c r="CL82" s="88">
        <v>28000</v>
      </c>
      <c r="CM82" s="88">
        <v>28000</v>
      </c>
      <c r="CN82" s="88">
        <v>28000</v>
      </c>
      <c r="CO82" s="88">
        <v>28000</v>
      </c>
      <c r="CP82" s="88">
        <v>28000</v>
      </c>
      <c r="CQ82" s="88">
        <v>28000</v>
      </c>
      <c r="CR82" s="88">
        <v>28000</v>
      </c>
      <c r="CS82" s="88">
        <v>28000</v>
      </c>
      <c r="CT82" s="88">
        <v>28000</v>
      </c>
      <c r="CU82" s="88">
        <v>0</v>
      </c>
      <c r="CV82" s="88">
        <v>0</v>
      </c>
      <c r="CW82" s="88">
        <v>0</v>
      </c>
      <c r="CX82" s="88">
        <v>0</v>
      </c>
      <c r="CY82" s="88">
        <v>0</v>
      </c>
      <c r="CZ82" s="88">
        <v>0</v>
      </c>
      <c r="DA82" s="88">
        <v>0</v>
      </c>
      <c r="DB82" s="88">
        <v>0</v>
      </c>
      <c r="DC82" s="88">
        <v>0</v>
      </c>
      <c r="DD82" s="88">
        <v>0</v>
      </c>
      <c r="DE82" s="88">
        <v>0</v>
      </c>
      <c r="DF82" s="88">
        <v>0</v>
      </c>
      <c r="DG82" s="93">
        <v>46600</v>
      </c>
      <c r="DH82" s="91">
        <v>0.04</v>
      </c>
      <c r="DI82" t="s">
        <v>302</v>
      </c>
      <c r="DJ82" s="93"/>
      <c r="DK82" s="91"/>
      <c r="DM82" s="93"/>
      <c r="DN82" s="91"/>
      <c r="DP82" s="93"/>
      <c r="DQ82" s="91"/>
    </row>
    <row r="83" spans="1:121" x14ac:dyDescent="0.3">
      <c r="A83" t="s">
        <v>24</v>
      </c>
      <c r="B83" t="s">
        <v>42</v>
      </c>
      <c r="C83" t="s">
        <v>94</v>
      </c>
      <c r="D83" t="s">
        <v>337</v>
      </c>
      <c r="E83" t="s">
        <v>446</v>
      </c>
      <c r="F83" s="86">
        <v>73500</v>
      </c>
      <c r="G83" s="87">
        <v>12</v>
      </c>
      <c r="H83" s="88">
        <v>1.05</v>
      </c>
      <c r="I83" s="88">
        <v>1.04375</v>
      </c>
      <c r="J83" s="89">
        <v>0.94299370897155343</v>
      </c>
      <c r="K83" s="88">
        <v>1.005988023952096</v>
      </c>
      <c r="L83" s="88">
        <v>1.007429838568157</v>
      </c>
      <c r="M83" s="88">
        <v>1</v>
      </c>
      <c r="N83" s="90">
        <v>0.62</v>
      </c>
      <c r="O83" s="90">
        <v>0.628346658594367</v>
      </c>
      <c r="P83" s="90">
        <v>0.61805829857983274</v>
      </c>
      <c r="Q83" s="91">
        <v>0</v>
      </c>
      <c r="R83" s="88">
        <v>1</v>
      </c>
      <c r="S83" s="88">
        <v>0.99686822351585935</v>
      </c>
      <c r="T83" s="91">
        <v>-5.9523809523810423E-3</v>
      </c>
      <c r="U83" s="91">
        <v>5.9880239520959666E-3</v>
      </c>
      <c r="V83" s="87">
        <v>0</v>
      </c>
      <c r="W83" s="91">
        <v>0</v>
      </c>
      <c r="X83" s="87">
        <v>1</v>
      </c>
      <c r="Y83" s="90">
        <v>0.628346658594367</v>
      </c>
      <c r="Z83" s="90">
        <v>0.61805829857983274</v>
      </c>
      <c r="AA83" s="92">
        <v>0</v>
      </c>
      <c r="AB83" s="88">
        <v>0</v>
      </c>
      <c r="AC83" s="87">
        <v>1</v>
      </c>
      <c r="AD83" s="87">
        <v>0</v>
      </c>
      <c r="AE83" s="88">
        <v>1.0249999999999999</v>
      </c>
      <c r="AF83" s="88">
        <v>1.012785937399076</v>
      </c>
      <c r="AG83" s="88">
        <v>1.038106609895534</v>
      </c>
      <c r="AH83" s="88">
        <v>77175</v>
      </c>
      <c r="AI83" s="88">
        <v>76715.625</v>
      </c>
      <c r="AJ83" s="88">
        <v>69310.037609409177</v>
      </c>
      <c r="AK83" s="88">
        <v>73940.11976047905</v>
      </c>
      <c r="AL83" s="88">
        <v>74046.093134759562</v>
      </c>
      <c r="AM83" s="88">
        <v>73500</v>
      </c>
      <c r="AN83" s="88">
        <v>45570</v>
      </c>
      <c r="AO83" s="88">
        <v>46183.479406685983</v>
      </c>
      <c r="AP83" s="88">
        <v>45427.284945617706</v>
      </c>
      <c r="AQ83" s="88">
        <v>0</v>
      </c>
      <c r="AR83" s="88">
        <v>73500</v>
      </c>
      <c r="AS83" s="88">
        <v>73269.814428415659</v>
      </c>
      <c r="AT83" s="88">
        <v>46183.479406685983</v>
      </c>
      <c r="AU83" s="88">
        <v>45427.284945617706</v>
      </c>
      <c r="AV83" s="88">
        <v>69825</v>
      </c>
      <c r="AW83" s="88">
        <v>69090</v>
      </c>
      <c r="AX83" s="88">
        <v>70192.5</v>
      </c>
      <c r="AY83" s="88">
        <v>73500</v>
      </c>
      <c r="AZ83" s="88">
        <v>73500</v>
      </c>
      <c r="BA83" s="88">
        <v>73500</v>
      </c>
      <c r="BB83" s="88">
        <v>73500</v>
      </c>
      <c r="BC83" s="88">
        <v>73500</v>
      </c>
      <c r="BD83" s="88">
        <v>73500</v>
      </c>
      <c r="BE83" s="88">
        <v>73500</v>
      </c>
      <c r="BF83" s="88">
        <v>73500</v>
      </c>
      <c r="BG83" s="88">
        <v>73500</v>
      </c>
      <c r="BH83" s="88">
        <v>73500</v>
      </c>
      <c r="BI83" s="88">
        <v>73500</v>
      </c>
      <c r="BJ83" s="88">
        <v>73500</v>
      </c>
      <c r="BK83" s="88">
        <v>4667.5199809732912</v>
      </c>
      <c r="BL83" s="88">
        <v>4666.4894053876624</v>
      </c>
      <c r="BM83" s="88">
        <v>4665.4609677627404</v>
      </c>
      <c r="BN83" s="88">
        <v>4664.3999086779513</v>
      </c>
      <c r="BO83" s="88">
        <v>4663.3411205389239</v>
      </c>
      <c r="BP83" s="88">
        <v>4662.2845960628456</v>
      </c>
      <c r="BQ83" s="88">
        <v>939.26697904571051</v>
      </c>
      <c r="BR83" s="88">
        <v>938.24864915277021</v>
      </c>
      <c r="BS83" s="88">
        <v>937.24889660071744</v>
      </c>
      <c r="BT83" s="88">
        <v>936.25127235713308</v>
      </c>
      <c r="BU83" s="88">
        <v>935.25576963300989</v>
      </c>
      <c r="BV83" s="88">
        <v>934.26238166822736</v>
      </c>
      <c r="BW83" s="88">
        <v>3675.0000000000032</v>
      </c>
      <c r="BX83" s="88">
        <v>3675.0000000000032</v>
      </c>
      <c r="BY83" s="88">
        <v>3675.0000000000032</v>
      </c>
      <c r="BZ83" s="88">
        <v>3675.0000000000032</v>
      </c>
      <c r="CA83" s="88">
        <v>3675.0000000000032</v>
      </c>
      <c r="CB83" s="88">
        <v>3675.0000000000032</v>
      </c>
      <c r="CC83" s="88">
        <v>0</v>
      </c>
      <c r="CD83" s="88">
        <v>0</v>
      </c>
      <c r="CE83" s="88">
        <v>0</v>
      </c>
      <c r="CF83" s="88">
        <v>0</v>
      </c>
      <c r="CG83" s="88">
        <v>0</v>
      </c>
      <c r="CH83" s="88">
        <v>0</v>
      </c>
      <c r="CI83" s="88">
        <v>73500</v>
      </c>
      <c r="CJ83" s="88">
        <v>73500</v>
      </c>
      <c r="CK83" s="88">
        <v>73500</v>
      </c>
      <c r="CL83" s="88">
        <v>73500</v>
      </c>
      <c r="CM83" s="88">
        <v>73500</v>
      </c>
      <c r="CN83" s="88">
        <v>73500</v>
      </c>
      <c r="CO83" s="88">
        <v>73500</v>
      </c>
      <c r="CP83" s="88">
        <v>73500</v>
      </c>
      <c r="CQ83" s="88">
        <v>73500</v>
      </c>
      <c r="CR83" s="88">
        <v>73500</v>
      </c>
      <c r="CS83" s="88">
        <v>73500</v>
      </c>
      <c r="CT83" s="88">
        <v>73500</v>
      </c>
      <c r="CU83" s="88">
        <v>945.25712473646729</v>
      </c>
      <c r="CV83" s="88">
        <v>944.27562417872309</v>
      </c>
      <c r="CW83" s="88">
        <v>943.29615977404114</v>
      </c>
      <c r="CX83" s="88">
        <v>942.28562731232682</v>
      </c>
      <c r="CY83" s="88">
        <v>941.27725765611842</v>
      </c>
      <c r="CZ83" s="88">
        <v>940.27104386937947</v>
      </c>
      <c r="DA83" s="88">
        <v>939.26697904571051</v>
      </c>
      <c r="DB83" s="88">
        <v>938.24864915277021</v>
      </c>
      <c r="DC83" s="88">
        <v>937.24889660071744</v>
      </c>
      <c r="DD83" s="88">
        <v>936.25127235713308</v>
      </c>
      <c r="DE83" s="88">
        <v>935.25576963300989</v>
      </c>
      <c r="DF83" s="88">
        <v>934.26238166822736</v>
      </c>
      <c r="DG83" s="93">
        <v>46204</v>
      </c>
      <c r="DH83" s="91">
        <v>0.05</v>
      </c>
      <c r="DI83" t="s">
        <v>301</v>
      </c>
      <c r="DJ83" s="93"/>
      <c r="DK83" s="91"/>
      <c r="DM83" s="93"/>
      <c r="DN83" s="91"/>
      <c r="DP83" s="93"/>
      <c r="DQ83" s="91"/>
    </row>
    <row r="84" spans="1:121" x14ac:dyDescent="0.3">
      <c r="A84" t="s">
        <v>24</v>
      </c>
      <c r="B84" t="s">
        <v>42</v>
      </c>
      <c r="C84" t="s">
        <v>95</v>
      </c>
      <c r="D84" t="s">
        <v>339</v>
      </c>
      <c r="E84" t="s">
        <v>447</v>
      </c>
      <c r="F84" s="86">
        <v>59500</v>
      </c>
      <c r="G84" s="87">
        <v>12</v>
      </c>
      <c r="H84" s="88">
        <v>1.06</v>
      </c>
      <c r="I84" s="88">
        <v>1.0497916666666669</v>
      </c>
      <c r="J84" s="89">
        <v>0.93900209700948201</v>
      </c>
      <c r="K84" s="88">
        <v>1.009724151617384</v>
      </c>
      <c r="L84" s="88">
        <v>1.0117123305960061</v>
      </c>
      <c r="M84" s="88">
        <v>1</v>
      </c>
      <c r="N84" s="90">
        <v>0.60399999999999998</v>
      </c>
      <c r="O84" s="90">
        <v>0.61701642631390707</v>
      </c>
      <c r="P84" s="90">
        <v>0.61324920407132355</v>
      </c>
      <c r="Q84" s="91">
        <v>0</v>
      </c>
      <c r="R84" s="88">
        <v>0.99999999999999978</v>
      </c>
      <c r="S84" s="88">
        <v>1.0153132517737149</v>
      </c>
      <c r="T84" s="91">
        <v>-9.630503144654079E-3</v>
      </c>
      <c r="U84" s="91">
        <v>9.7241516173847131E-3</v>
      </c>
      <c r="V84" s="87">
        <v>0</v>
      </c>
      <c r="W84" s="91">
        <v>0</v>
      </c>
      <c r="X84" s="87">
        <v>1</v>
      </c>
      <c r="Y84" s="90">
        <v>0.61701642631390707</v>
      </c>
      <c r="Z84" s="90">
        <v>0.61324920407132355</v>
      </c>
      <c r="AA84" s="92">
        <v>0</v>
      </c>
      <c r="AB84" s="88">
        <v>0</v>
      </c>
      <c r="AC84" s="87">
        <v>1</v>
      </c>
      <c r="AD84" s="87">
        <v>0</v>
      </c>
      <c r="AE84" s="88">
        <v>1.0349999999999999</v>
      </c>
      <c r="AF84" s="88">
        <v>0.99575616743366657</v>
      </c>
      <c r="AG84" s="88">
        <v>1.030607765060443</v>
      </c>
      <c r="AH84" s="88">
        <v>63070</v>
      </c>
      <c r="AI84" s="88">
        <v>62462.604166666657</v>
      </c>
      <c r="AJ84" s="88">
        <v>55870.624772064177</v>
      </c>
      <c r="AK84" s="88">
        <v>60078.58702123438</v>
      </c>
      <c r="AL84" s="88">
        <v>60196.883670462361</v>
      </c>
      <c r="AM84" s="88">
        <v>59500</v>
      </c>
      <c r="AN84" s="88">
        <v>35938</v>
      </c>
      <c r="AO84" s="88">
        <v>36712.477365677471</v>
      </c>
      <c r="AP84" s="88">
        <v>36488.327642243748</v>
      </c>
      <c r="AQ84" s="88">
        <v>0</v>
      </c>
      <c r="AR84" s="88">
        <v>59499.999999999993</v>
      </c>
      <c r="AS84" s="88">
        <v>60411.138480536021</v>
      </c>
      <c r="AT84" s="88">
        <v>36712.477365677471</v>
      </c>
      <c r="AU84" s="88">
        <v>36488.327642243748</v>
      </c>
      <c r="AV84" s="88">
        <v>56525</v>
      </c>
      <c r="AW84" s="88">
        <v>55930</v>
      </c>
      <c r="AX84" s="88">
        <v>55632.5</v>
      </c>
      <c r="AY84" s="88">
        <v>59500</v>
      </c>
      <c r="AZ84" s="88">
        <v>59500</v>
      </c>
      <c r="BA84" s="88">
        <v>59500</v>
      </c>
      <c r="BB84" s="88">
        <v>59500</v>
      </c>
      <c r="BC84" s="88">
        <v>59500</v>
      </c>
      <c r="BD84" s="88">
        <v>59500</v>
      </c>
      <c r="BE84" s="88">
        <v>59500</v>
      </c>
      <c r="BF84" s="88">
        <v>59500</v>
      </c>
      <c r="BG84" s="88">
        <v>59500</v>
      </c>
      <c r="BH84" s="88">
        <v>59500</v>
      </c>
      <c r="BI84" s="88">
        <v>59500</v>
      </c>
      <c r="BJ84" s="88">
        <v>59500</v>
      </c>
      <c r="BK84" s="88">
        <v>3302.8581292392828</v>
      </c>
      <c r="BL84" s="88">
        <v>3302.766646545329</v>
      </c>
      <c r="BM84" s="88">
        <v>3302.67510117344</v>
      </c>
      <c r="BN84" s="88">
        <v>3302.5803865991461</v>
      </c>
      <c r="BO84" s="88">
        <v>3302.4856048853399</v>
      </c>
      <c r="BP84" s="88">
        <v>3302.3907559606268</v>
      </c>
      <c r="BQ84" s="88">
        <v>3302.295839753479</v>
      </c>
      <c r="BR84" s="88">
        <v>-252.64217120454839</v>
      </c>
      <c r="BS84" s="88">
        <v>-252.7318429903072</v>
      </c>
      <c r="BT84" s="88">
        <v>-252.8215784541311</v>
      </c>
      <c r="BU84" s="88">
        <v>-252.91137766390139</v>
      </c>
      <c r="BV84" s="88">
        <v>-253.0012406875525</v>
      </c>
      <c r="BW84" s="88">
        <v>3570.0000000000032</v>
      </c>
      <c r="BX84" s="88">
        <v>3570.0000000000032</v>
      </c>
      <c r="BY84" s="88">
        <v>3570.0000000000032</v>
      </c>
      <c r="BZ84" s="88">
        <v>3570.0000000000032</v>
      </c>
      <c r="CA84" s="88">
        <v>3570.0000000000032</v>
      </c>
      <c r="CB84" s="88">
        <v>3570.0000000000032</v>
      </c>
      <c r="CC84" s="88">
        <v>3570.0000000000032</v>
      </c>
      <c r="CD84" s="88">
        <v>0</v>
      </c>
      <c r="CE84" s="88">
        <v>0</v>
      </c>
      <c r="CF84" s="88">
        <v>0</v>
      </c>
      <c r="CG84" s="88">
        <v>0</v>
      </c>
      <c r="CH84" s="88">
        <v>0</v>
      </c>
      <c r="CI84" s="88">
        <v>59500</v>
      </c>
      <c r="CJ84" s="88">
        <v>59500</v>
      </c>
      <c r="CK84" s="88">
        <v>59500</v>
      </c>
      <c r="CL84" s="88">
        <v>59500</v>
      </c>
      <c r="CM84" s="88">
        <v>59500</v>
      </c>
      <c r="CN84" s="88">
        <v>59500</v>
      </c>
      <c r="CO84" s="88">
        <v>59500</v>
      </c>
      <c r="CP84" s="88">
        <v>59500</v>
      </c>
      <c r="CQ84" s="88">
        <v>59500</v>
      </c>
      <c r="CR84" s="88">
        <v>59500</v>
      </c>
      <c r="CS84" s="88">
        <v>59500</v>
      </c>
      <c r="CT84" s="88">
        <v>59500</v>
      </c>
      <c r="CU84" s="88">
        <v>-252.0206327931343</v>
      </c>
      <c r="CV84" s="88">
        <v>-252.10693722139089</v>
      </c>
      <c r="CW84" s="88">
        <v>-252.1933007797723</v>
      </c>
      <c r="CX84" s="88">
        <v>-252.28265415174889</v>
      </c>
      <c r="CY84" s="88">
        <v>-252.37207086288521</v>
      </c>
      <c r="CZ84" s="88">
        <v>-252.46155098054069</v>
      </c>
      <c r="DA84" s="88">
        <v>-252.55109457219399</v>
      </c>
      <c r="DB84" s="88">
        <v>-252.64217120454839</v>
      </c>
      <c r="DC84" s="88">
        <v>-252.7318429903072</v>
      </c>
      <c r="DD84" s="88">
        <v>-252.8215784541311</v>
      </c>
      <c r="DE84" s="88">
        <v>-252.91137766390139</v>
      </c>
      <c r="DF84" s="88">
        <v>-253.0012406875525</v>
      </c>
      <c r="DG84" s="93">
        <v>46235</v>
      </c>
      <c r="DH84" s="91">
        <v>0.06</v>
      </c>
      <c r="DI84" t="s">
        <v>301</v>
      </c>
      <c r="DJ84" s="93"/>
      <c r="DK84" s="91"/>
      <c r="DM84" s="93"/>
      <c r="DN84" s="91"/>
      <c r="DP84" s="93"/>
      <c r="DQ84" s="91"/>
    </row>
    <row r="85" spans="1:121" x14ac:dyDescent="0.3">
      <c r="A85" t="s">
        <v>24</v>
      </c>
      <c r="B85" t="s">
        <v>42</v>
      </c>
      <c r="C85" t="s">
        <v>96</v>
      </c>
      <c r="D85" t="s">
        <v>341</v>
      </c>
      <c r="E85" t="s">
        <v>448</v>
      </c>
      <c r="F85" s="86">
        <v>45500</v>
      </c>
      <c r="G85" s="87">
        <v>12</v>
      </c>
      <c r="H85" s="88">
        <v>1</v>
      </c>
      <c r="I85" s="88">
        <v>1</v>
      </c>
      <c r="J85" s="89">
        <v>0.94199580598103549</v>
      </c>
      <c r="K85" s="88">
        <v>1</v>
      </c>
      <c r="L85" s="88">
        <v>1.008497059082581</v>
      </c>
      <c r="M85" s="88">
        <v>1</v>
      </c>
      <c r="N85" s="90">
        <v>0.63200000000000001</v>
      </c>
      <c r="O85" s="90">
        <v>0.63737014134019121</v>
      </c>
      <c r="P85" s="90">
        <v>0.63289514265985669</v>
      </c>
      <c r="Q85" s="91">
        <v>0</v>
      </c>
      <c r="R85" s="88">
        <v>1</v>
      </c>
      <c r="S85" s="88">
        <v>1.001416364968128</v>
      </c>
      <c r="T85" s="91">
        <v>0</v>
      </c>
      <c r="U85" s="91">
        <v>0</v>
      </c>
      <c r="V85" s="87">
        <v>0</v>
      </c>
      <c r="W85" s="91">
        <v>0</v>
      </c>
      <c r="X85" s="87">
        <v>1</v>
      </c>
      <c r="Y85" s="90">
        <v>0.63737014134019121</v>
      </c>
      <c r="Z85" s="90">
        <v>0.63289514265985669</v>
      </c>
      <c r="AA85" s="92">
        <v>0</v>
      </c>
      <c r="AB85" s="88">
        <v>0</v>
      </c>
      <c r="AC85" s="87">
        <v>0</v>
      </c>
      <c r="AD85" s="87">
        <v>0</v>
      </c>
      <c r="AE85" s="88">
        <v>1</v>
      </c>
      <c r="AF85" s="88">
        <v>1.008514817427199</v>
      </c>
      <c r="AG85" s="88">
        <v>1.008514817427199</v>
      </c>
      <c r="AH85" s="88">
        <v>45500</v>
      </c>
      <c r="AI85" s="88">
        <v>45500</v>
      </c>
      <c r="AJ85" s="88">
        <v>42860.809172137117</v>
      </c>
      <c r="AK85" s="88">
        <v>45500</v>
      </c>
      <c r="AL85" s="88">
        <v>45886.616188257438</v>
      </c>
      <c r="AM85" s="88">
        <v>45500</v>
      </c>
      <c r="AN85" s="88">
        <v>28756</v>
      </c>
      <c r="AO85" s="88">
        <v>29000.3414309787</v>
      </c>
      <c r="AP85" s="88">
        <v>28796.728991023479</v>
      </c>
      <c r="AQ85" s="88">
        <v>0</v>
      </c>
      <c r="AR85" s="88">
        <v>45500</v>
      </c>
      <c r="AS85" s="88">
        <v>45564.444606049808</v>
      </c>
      <c r="AT85" s="88">
        <v>29000.3414309787</v>
      </c>
      <c r="AU85" s="88">
        <v>28796.728991023479</v>
      </c>
      <c r="AV85" s="88">
        <v>43225</v>
      </c>
      <c r="AW85" s="88">
        <v>42770</v>
      </c>
      <c r="AX85" s="88">
        <v>43225</v>
      </c>
      <c r="AY85" s="88">
        <v>45500</v>
      </c>
      <c r="AZ85" s="88">
        <v>45500</v>
      </c>
      <c r="BA85" s="88">
        <v>45500</v>
      </c>
      <c r="BB85" s="88">
        <v>45500</v>
      </c>
      <c r="BC85" s="88">
        <v>45500</v>
      </c>
      <c r="BD85" s="88">
        <v>45500</v>
      </c>
      <c r="BE85" s="88">
        <v>45500</v>
      </c>
      <c r="BF85" s="88">
        <v>45500</v>
      </c>
      <c r="BG85" s="88">
        <v>45500</v>
      </c>
      <c r="BH85" s="88">
        <v>45500</v>
      </c>
      <c r="BI85" s="88">
        <v>45500</v>
      </c>
      <c r="BJ85" s="88">
        <v>45500</v>
      </c>
      <c r="BK85" s="88">
        <v>388.92987201555309</v>
      </c>
      <c r="BL85" s="88">
        <v>388.66136204072149</v>
      </c>
      <c r="BM85" s="88">
        <v>388.3932225587331</v>
      </c>
      <c r="BN85" s="88">
        <v>388.11638233232151</v>
      </c>
      <c r="BO85" s="88">
        <v>387.83993647902122</v>
      </c>
      <c r="BP85" s="88">
        <v>387.56388415672438</v>
      </c>
      <c r="BQ85" s="88">
        <v>387.28822452572803</v>
      </c>
      <c r="BR85" s="88">
        <v>387.00844742208272</v>
      </c>
      <c r="BS85" s="88">
        <v>386.73357706727342</v>
      </c>
      <c r="BT85" s="88">
        <v>386.45909688529127</v>
      </c>
      <c r="BU85" s="88">
        <v>386.18500604595039</v>
      </c>
      <c r="BV85" s="88">
        <v>385.91130372143868</v>
      </c>
      <c r="BW85" s="88">
        <v>0</v>
      </c>
      <c r="BX85" s="88">
        <v>0</v>
      </c>
      <c r="BY85" s="88">
        <v>0</v>
      </c>
      <c r="BZ85" s="88">
        <v>0</v>
      </c>
      <c r="CA85" s="88">
        <v>0</v>
      </c>
      <c r="CB85" s="88">
        <v>0</v>
      </c>
      <c r="CC85" s="88">
        <v>0</v>
      </c>
      <c r="CD85" s="88">
        <v>0</v>
      </c>
      <c r="CE85" s="88">
        <v>0</v>
      </c>
      <c r="CF85" s="88">
        <v>0</v>
      </c>
      <c r="CG85" s="88">
        <v>0</v>
      </c>
      <c r="CH85" s="88">
        <v>0</v>
      </c>
      <c r="CI85" s="88">
        <v>45500</v>
      </c>
      <c r="CJ85" s="88">
        <v>45500</v>
      </c>
      <c r="CK85" s="88">
        <v>45500</v>
      </c>
      <c r="CL85" s="88">
        <v>45500</v>
      </c>
      <c r="CM85" s="88">
        <v>45500</v>
      </c>
      <c r="CN85" s="88">
        <v>45500</v>
      </c>
      <c r="CO85" s="88">
        <v>45500</v>
      </c>
      <c r="CP85" s="88">
        <v>45500</v>
      </c>
      <c r="CQ85" s="88">
        <v>45500</v>
      </c>
      <c r="CR85" s="88">
        <v>45500</v>
      </c>
      <c r="CS85" s="88">
        <v>45500</v>
      </c>
      <c r="CT85" s="88">
        <v>45500</v>
      </c>
      <c r="CU85" s="88">
        <v>388.92987201555309</v>
      </c>
      <c r="CV85" s="88">
        <v>388.66136204072149</v>
      </c>
      <c r="CW85" s="88">
        <v>388.3932225587331</v>
      </c>
      <c r="CX85" s="88">
        <v>388.11638233232151</v>
      </c>
      <c r="CY85" s="88">
        <v>387.83993647902122</v>
      </c>
      <c r="CZ85" s="88">
        <v>387.56388415672438</v>
      </c>
      <c r="DA85" s="88">
        <v>387.28822452572803</v>
      </c>
      <c r="DB85" s="88">
        <v>387.00844742208272</v>
      </c>
      <c r="DC85" s="88">
        <v>386.73357706727342</v>
      </c>
      <c r="DD85" s="88">
        <v>386.45909688529127</v>
      </c>
      <c r="DE85" s="88">
        <v>386.18500604595039</v>
      </c>
      <c r="DF85" s="88">
        <v>385.91130372143868</v>
      </c>
      <c r="DG85" s="93"/>
      <c r="DH85" s="91"/>
      <c r="DJ85" s="93"/>
      <c r="DK85" s="91"/>
      <c r="DM85" s="93"/>
      <c r="DN85" s="91"/>
      <c r="DP85" s="93"/>
      <c r="DQ85" s="91"/>
    </row>
    <row r="86" spans="1:121" x14ac:dyDescent="0.3">
      <c r="A86" t="s">
        <v>24</v>
      </c>
      <c r="B86" t="s">
        <v>45</v>
      </c>
      <c r="C86" t="s">
        <v>43</v>
      </c>
      <c r="D86" t="s">
        <v>343</v>
      </c>
      <c r="E86" t="s">
        <v>449</v>
      </c>
      <c r="F86" s="86">
        <v>31500</v>
      </c>
      <c r="G86" s="87">
        <v>12</v>
      </c>
      <c r="H86" s="88">
        <v>1.03</v>
      </c>
      <c r="I86" s="88">
        <v>1.038872222222222</v>
      </c>
      <c r="J86" s="89">
        <v>0.93800419401896429</v>
      </c>
      <c r="K86" s="88">
        <v>0.99145975603886694</v>
      </c>
      <c r="L86" s="88">
        <v>1.012788648555651</v>
      </c>
      <c r="M86" s="88">
        <v>1</v>
      </c>
      <c r="N86" s="90">
        <v>0.61599999999999999</v>
      </c>
      <c r="O86" s="90">
        <v>0.61854973883220665</v>
      </c>
      <c r="P86" s="90">
        <v>0.60425329302744557</v>
      </c>
      <c r="Q86" s="91">
        <v>0</v>
      </c>
      <c r="R86" s="88">
        <v>0.96166688927474275</v>
      </c>
      <c r="S86" s="88">
        <v>1.020031656948162</v>
      </c>
      <c r="T86" s="91">
        <v>8.6138079827400293E-3</v>
      </c>
      <c r="U86" s="91">
        <v>3.098044353652751E-2</v>
      </c>
      <c r="V86" s="87">
        <v>0</v>
      </c>
      <c r="W86" s="91">
        <v>0</v>
      </c>
      <c r="X86" s="87">
        <v>1</v>
      </c>
      <c r="Y86" s="90">
        <v>0.61854973883220665</v>
      </c>
      <c r="Z86" s="90">
        <v>0.60425329302744557</v>
      </c>
      <c r="AA86" s="92">
        <v>0</v>
      </c>
      <c r="AB86" s="88">
        <v>0</v>
      </c>
      <c r="AC86" s="87">
        <v>1</v>
      </c>
      <c r="AD86" s="87">
        <v>1</v>
      </c>
      <c r="AE86" s="88">
        <v>1.0599666666666669</v>
      </c>
      <c r="AF86" s="88">
        <v>0.99152129657519972</v>
      </c>
      <c r="AG86" s="88">
        <v>1.0509796227419139</v>
      </c>
      <c r="AH86" s="88">
        <v>32445</v>
      </c>
      <c r="AI86" s="88">
        <v>32724.474999999999</v>
      </c>
      <c r="AJ86" s="88">
        <v>29547.13211159737</v>
      </c>
      <c r="AK86" s="88">
        <v>31230.982315224312</v>
      </c>
      <c r="AL86" s="88">
        <v>31902.84242950302</v>
      </c>
      <c r="AM86" s="88">
        <v>31500</v>
      </c>
      <c r="AN86" s="88">
        <v>19404</v>
      </c>
      <c r="AO86" s="88">
        <v>19484.316773214508</v>
      </c>
      <c r="AP86" s="88">
        <v>19033.978730364539</v>
      </c>
      <c r="AQ86" s="88">
        <v>0</v>
      </c>
      <c r="AR86" s="88">
        <v>30292.507012154401</v>
      </c>
      <c r="AS86" s="88">
        <v>32130.99719386709</v>
      </c>
      <c r="AT86" s="88">
        <v>19484.316773214508</v>
      </c>
      <c r="AU86" s="88">
        <v>19033.978730364539</v>
      </c>
      <c r="AV86" s="88">
        <v>29925</v>
      </c>
      <c r="AW86" s="88">
        <v>29610</v>
      </c>
      <c r="AX86" s="88">
        <v>29295</v>
      </c>
      <c r="AY86" s="88">
        <v>31500</v>
      </c>
      <c r="AZ86" s="88">
        <v>31500</v>
      </c>
      <c r="BA86" s="88">
        <v>31500</v>
      </c>
      <c r="BB86" s="88">
        <v>31500</v>
      </c>
      <c r="BC86" s="88">
        <v>31500</v>
      </c>
      <c r="BD86" s="88">
        <v>31500</v>
      </c>
      <c r="BE86" s="88">
        <v>31500</v>
      </c>
      <c r="BF86" s="88">
        <v>31500</v>
      </c>
      <c r="BG86" s="88">
        <v>31500</v>
      </c>
      <c r="BH86" s="88">
        <v>31500</v>
      </c>
      <c r="BI86" s="88">
        <v>31500</v>
      </c>
      <c r="BJ86" s="88">
        <v>31500</v>
      </c>
      <c r="BK86" s="88">
        <v>670.9681132926878</v>
      </c>
      <c r="BL86" s="88">
        <v>1957.61216134859</v>
      </c>
      <c r="BM86" s="88">
        <v>1957.417218727204</v>
      </c>
      <c r="BN86" s="88">
        <v>1957.215387469281</v>
      </c>
      <c r="BO86" s="88">
        <v>1957.0132705270939</v>
      </c>
      <c r="BP86" s="88">
        <v>1956.8108672936339</v>
      </c>
      <c r="BQ86" s="88">
        <v>1956.6081771601971</v>
      </c>
      <c r="BR86" s="88">
        <v>1956.4018696152691</v>
      </c>
      <c r="BS86" s="88">
        <v>1956.1985991203869</v>
      </c>
      <c r="BT86" s="88">
        <v>981.54858240670967</v>
      </c>
      <c r="BU86" s="88">
        <v>981.35067114094898</v>
      </c>
      <c r="BV86" s="88">
        <v>981.15247834147385</v>
      </c>
      <c r="BW86" s="88">
        <v>945.0000000000008</v>
      </c>
      <c r="BX86" s="88">
        <v>2242.8000000000052</v>
      </c>
      <c r="BY86" s="88">
        <v>2242.8000000000052</v>
      </c>
      <c r="BZ86" s="88">
        <v>2242.8000000000052</v>
      </c>
      <c r="CA86" s="88">
        <v>2242.8000000000052</v>
      </c>
      <c r="CB86" s="88">
        <v>2242.8000000000052</v>
      </c>
      <c r="CC86" s="88">
        <v>2242.8000000000052</v>
      </c>
      <c r="CD86" s="88">
        <v>2242.8000000000052</v>
      </c>
      <c r="CE86" s="88">
        <v>2242.8000000000052</v>
      </c>
      <c r="CF86" s="88">
        <v>1260.0000000000009</v>
      </c>
      <c r="CG86" s="88">
        <v>1260.0000000000009</v>
      </c>
      <c r="CH86" s="88">
        <v>1260.0000000000009</v>
      </c>
      <c r="CI86" s="88">
        <v>31500</v>
      </c>
      <c r="CJ86" s="88">
        <v>31500</v>
      </c>
      <c r="CK86" s="88">
        <v>31500</v>
      </c>
      <c r="CL86" s="88">
        <v>31500</v>
      </c>
      <c r="CM86" s="88">
        <v>31500</v>
      </c>
      <c r="CN86" s="88">
        <v>31500</v>
      </c>
      <c r="CO86" s="88">
        <v>31500</v>
      </c>
      <c r="CP86" s="88">
        <v>31500</v>
      </c>
      <c r="CQ86" s="88">
        <v>31500</v>
      </c>
      <c r="CR86" s="88">
        <v>31500</v>
      </c>
      <c r="CS86" s="88">
        <v>31500</v>
      </c>
      <c r="CT86" s="88">
        <v>31500</v>
      </c>
      <c r="CU86" s="88">
        <v>-266.05037544399619</v>
      </c>
      <c r="CV86" s="88">
        <v>-266.23211225859961</v>
      </c>
      <c r="CW86" s="88">
        <v>-266.41409752875649</v>
      </c>
      <c r="CX86" s="88">
        <v>-266.60251356490119</v>
      </c>
      <c r="CY86" s="88">
        <v>-266.79119629659152</v>
      </c>
      <c r="CZ86" s="88">
        <v>-266.98014629048959</v>
      </c>
      <c r="DA86" s="88">
        <v>-267.16936411483158</v>
      </c>
      <c r="DB86" s="88">
        <v>-267.3619589103194</v>
      </c>
      <c r="DC86" s="88">
        <v>-267.55171852092718</v>
      </c>
      <c r="DD86" s="88">
        <v>-267.74174768585851</v>
      </c>
      <c r="DE86" s="88">
        <v>-267.93204697986079</v>
      </c>
      <c r="DF86" s="88">
        <v>-268.12261697935008</v>
      </c>
      <c r="DG86" s="93">
        <v>46296</v>
      </c>
      <c r="DH86" s="91">
        <v>0.03</v>
      </c>
      <c r="DI86" t="s">
        <v>301</v>
      </c>
      <c r="DJ86" s="93">
        <v>46419</v>
      </c>
      <c r="DK86" s="91">
        <v>0.04</v>
      </c>
      <c r="DL86" t="s">
        <v>302</v>
      </c>
      <c r="DM86" s="93"/>
      <c r="DN86" s="91"/>
      <c r="DP86" s="93"/>
      <c r="DQ86" s="91"/>
    </row>
    <row r="87" spans="1:121" x14ac:dyDescent="0.3">
      <c r="A87" t="s">
        <v>24</v>
      </c>
      <c r="B87" t="s">
        <v>45</v>
      </c>
      <c r="C87" t="s">
        <v>46</v>
      </c>
      <c r="D87" t="s">
        <v>345</v>
      </c>
      <c r="E87" t="s">
        <v>450</v>
      </c>
      <c r="F87" s="86">
        <v>77000</v>
      </c>
      <c r="G87" s="87">
        <v>12</v>
      </c>
      <c r="H87" s="88">
        <v>1.04</v>
      </c>
      <c r="I87" s="88">
        <v>1.026111111111111</v>
      </c>
      <c r="J87" s="89">
        <v>0.94099790299051811</v>
      </c>
      <c r="K87" s="88">
        <v>1.013535462912831</v>
      </c>
      <c r="L87" s="88">
        <v>1.009566543114361</v>
      </c>
      <c r="M87" s="88">
        <v>1</v>
      </c>
      <c r="N87" s="90">
        <v>0.64800000000000002</v>
      </c>
      <c r="O87" s="90">
        <v>0.663054007863635</v>
      </c>
      <c r="P87" s="90">
        <v>0.65841093632830139</v>
      </c>
      <c r="Q87" s="91">
        <v>0.01</v>
      </c>
      <c r="R87" s="88">
        <v>0.99999999999999978</v>
      </c>
      <c r="S87" s="88">
        <v>1.006006197788017</v>
      </c>
      <c r="T87" s="91">
        <v>-1.3354700854700811E-2</v>
      </c>
      <c r="U87" s="91">
        <v>1.3535462912831701E-2</v>
      </c>
      <c r="V87" s="87">
        <v>0</v>
      </c>
      <c r="W87" s="91">
        <v>0</v>
      </c>
      <c r="X87" s="87">
        <v>1</v>
      </c>
      <c r="Y87" s="90">
        <v>0.663054007863635</v>
      </c>
      <c r="Z87" s="90">
        <v>0.65841093632830139</v>
      </c>
      <c r="AA87" s="92">
        <v>0</v>
      </c>
      <c r="AB87" s="88">
        <v>0</v>
      </c>
      <c r="AC87" s="87">
        <v>1</v>
      </c>
      <c r="AD87" s="87">
        <v>0</v>
      </c>
      <c r="AE87" s="88">
        <v>1.033333333333333</v>
      </c>
      <c r="AF87" s="88">
        <v>1.004252860915166</v>
      </c>
      <c r="AG87" s="88">
        <v>1.03772800662369</v>
      </c>
      <c r="AH87" s="88">
        <v>80080</v>
      </c>
      <c r="AI87" s="88">
        <v>79010.555555555562</v>
      </c>
      <c r="AJ87" s="88">
        <v>72456.838530269888</v>
      </c>
      <c r="AK87" s="88">
        <v>78042.230644288022</v>
      </c>
      <c r="AL87" s="88">
        <v>77736.623819805784</v>
      </c>
      <c r="AM87" s="88">
        <v>77000</v>
      </c>
      <c r="AN87" s="88">
        <v>49896</v>
      </c>
      <c r="AO87" s="88">
        <v>51055.158605499892</v>
      </c>
      <c r="AP87" s="88">
        <v>50697.642097279197</v>
      </c>
      <c r="AQ87" s="88">
        <v>770</v>
      </c>
      <c r="AR87" s="88">
        <v>76999.999999999985</v>
      </c>
      <c r="AS87" s="88">
        <v>77462.477229677315</v>
      </c>
      <c r="AT87" s="88">
        <v>51055.158605499892</v>
      </c>
      <c r="AU87" s="88">
        <v>50697.642097279197</v>
      </c>
      <c r="AV87" s="88">
        <v>73150</v>
      </c>
      <c r="AW87" s="88">
        <v>72380</v>
      </c>
      <c r="AX87" s="88">
        <v>72765</v>
      </c>
      <c r="AY87" s="88">
        <v>77000</v>
      </c>
      <c r="AZ87" s="88">
        <v>77000</v>
      </c>
      <c r="BA87" s="88">
        <v>77000</v>
      </c>
      <c r="BB87" s="88">
        <v>77000</v>
      </c>
      <c r="BC87" s="88">
        <v>77000</v>
      </c>
      <c r="BD87" s="88">
        <v>77000</v>
      </c>
      <c r="BE87" s="88">
        <v>77000</v>
      </c>
      <c r="BF87" s="88">
        <v>77000</v>
      </c>
      <c r="BG87" s="88">
        <v>77000</v>
      </c>
      <c r="BH87" s="88">
        <v>77000</v>
      </c>
      <c r="BI87" s="88">
        <v>77000</v>
      </c>
      <c r="BJ87" s="88">
        <v>77000</v>
      </c>
      <c r="BK87" s="88">
        <v>3421.2294168121139</v>
      </c>
      <c r="BL87" s="88">
        <v>3421.1119409952339</v>
      </c>
      <c r="BM87" s="88">
        <v>3420.9945460378681</v>
      </c>
      <c r="BN87" s="88">
        <v>3420.873256519104</v>
      </c>
      <c r="BO87" s="88">
        <v>3420.752053253445</v>
      </c>
      <c r="BP87" s="88">
        <v>3420.630936148887</v>
      </c>
      <c r="BQ87" s="88">
        <v>3420.509905113619</v>
      </c>
      <c r="BR87" s="88">
        <v>3420.3869780657978</v>
      </c>
      <c r="BS87" s="88">
        <v>3420.266120301284</v>
      </c>
      <c r="BT87" s="88">
        <v>3420.145348329781</v>
      </c>
      <c r="BU87" s="88">
        <v>326.94679044229468</v>
      </c>
      <c r="BV87" s="88">
        <v>326.83082826989818</v>
      </c>
      <c r="BW87" s="88">
        <v>3080.0000000000032</v>
      </c>
      <c r="BX87" s="88">
        <v>3080.0000000000032</v>
      </c>
      <c r="BY87" s="88">
        <v>3080.0000000000032</v>
      </c>
      <c r="BZ87" s="88">
        <v>3080.0000000000032</v>
      </c>
      <c r="CA87" s="88">
        <v>3080.0000000000032</v>
      </c>
      <c r="CB87" s="88">
        <v>3080.0000000000032</v>
      </c>
      <c r="CC87" s="88">
        <v>3080.0000000000032</v>
      </c>
      <c r="CD87" s="88">
        <v>3080.0000000000032</v>
      </c>
      <c r="CE87" s="88">
        <v>3080.0000000000032</v>
      </c>
      <c r="CF87" s="88">
        <v>3080.0000000000032</v>
      </c>
      <c r="CG87" s="88">
        <v>0</v>
      </c>
      <c r="CH87" s="88">
        <v>0</v>
      </c>
      <c r="CI87" s="88">
        <v>77000</v>
      </c>
      <c r="CJ87" s="88">
        <v>77000</v>
      </c>
      <c r="CK87" s="88">
        <v>77000</v>
      </c>
      <c r="CL87" s="88">
        <v>77000</v>
      </c>
      <c r="CM87" s="88">
        <v>77000</v>
      </c>
      <c r="CN87" s="88">
        <v>77000</v>
      </c>
      <c r="CO87" s="88">
        <v>77000</v>
      </c>
      <c r="CP87" s="88">
        <v>77000</v>
      </c>
      <c r="CQ87" s="88">
        <v>77000</v>
      </c>
      <c r="CR87" s="88">
        <v>77000</v>
      </c>
      <c r="CS87" s="88">
        <v>77000</v>
      </c>
      <c r="CT87" s="88">
        <v>77000</v>
      </c>
      <c r="CU87" s="88">
        <v>328.1052084731835</v>
      </c>
      <c r="CV87" s="88">
        <v>327.99225095695618</v>
      </c>
      <c r="CW87" s="88">
        <v>327.87937119025258</v>
      </c>
      <c r="CX87" s="88">
        <v>327.762746652982</v>
      </c>
      <c r="CY87" s="88">
        <v>327.64620505138288</v>
      </c>
      <c r="CZ87" s="88">
        <v>327.52974629701009</v>
      </c>
      <c r="DA87" s="88">
        <v>327.41337030155557</v>
      </c>
      <c r="DB87" s="88">
        <v>327.29517121711552</v>
      </c>
      <c r="DC87" s="88">
        <v>327.17896182815929</v>
      </c>
      <c r="DD87" s="88">
        <v>327.06283493247838</v>
      </c>
      <c r="DE87" s="88">
        <v>326.94679044229468</v>
      </c>
      <c r="DF87" s="88">
        <v>326.83082826989818</v>
      </c>
      <c r="DG87" s="93">
        <v>46327</v>
      </c>
      <c r="DH87" s="91">
        <v>0.04</v>
      </c>
      <c r="DI87" t="s">
        <v>301</v>
      </c>
      <c r="DJ87" s="93"/>
      <c r="DK87" s="91"/>
      <c r="DM87" s="93"/>
      <c r="DN87" s="91"/>
      <c r="DP87" s="93"/>
      <c r="DQ87" s="91"/>
    </row>
    <row r="88" spans="1:121" x14ac:dyDescent="0.3">
      <c r="A88" t="s">
        <v>24</v>
      </c>
      <c r="B88" t="s">
        <v>45</v>
      </c>
      <c r="C88" t="s">
        <v>48</v>
      </c>
      <c r="D88" t="s">
        <v>347</v>
      </c>
      <c r="E88" t="s">
        <v>451</v>
      </c>
      <c r="F88" s="86">
        <v>63000</v>
      </c>
      <c r="G88" s="87">
        <v>12</v>
      </c>
      <c r="H88" s="88">
        <v>1.05</v>
      </c>
      <c r="I88" s="88">
        <v>1.054696572580645</v>
      </c>
      <c r="J88" s="89">
        <v>0.95048806853864709</v>
      </c>
      <c r="K88" s="88">
        <v>0.99554699171046557</v>
      </c>
      <c r="L88" s="88">
        <v>0.99948650745358902</v>
      </c>
      <c r="M88" s="88">
        <v>1.02</v>
      </c>
      <c r="N88" s="90">
        <v>0.628</v>
      </c>
      <c r="O88" s="90">
        <v>0.63738012292041735</v>
      </c>
      <c r="P88" s="90">
        <v>0.60616320557222492</v>
      </c>
      <c r="Q88" s="91">
        <v>0</v>
      </c>
      <c r="R88" s="88">
        <v>0.97284786829941206</v>
      </c>
      <c r="S88" s="88">
        <v>0.9727132322504155</v>
      </c>
      <c r="T88" s="91">
        <v>4.4729262672811299E-3</v>
      </c>
      <c r="U88" s="91">
        <v>2.3332654725072951E-2</v>
      </c>
      <c r="V88" s="87">
        <v>0</v>
      </c>
      <c r="W88" s="91">
        <v>0</v>
      </c>
      <c r="X88" s="87">
        <v>1</v>
      </c>
      <c r="Y88" s="90">
        <v>0.63738012292041735</v>
      </c>
      <c r="Z88" s="90">
        <v>0.60616320557222492</v>
      </c>
      <c r="AA88" s="92">
        <v>0</v>
      </c>
      <c r="AB88" s="88">
        <v>0</v>
      </c>
      <c r="AC88" s="87">
        <v>1</v>
      </c>
      <c r="AD88" s="87">
        <v>1</v>
      </c>
      <c r="AE88" s="88">
        <v>1.0313709677419349</v>
      </c>
      <c r="AF88" s="88">
        <v>1.042135663975982</v>
      </c>
      <c r="AG88" s="88">
        <v>1.0748134274264489</v>
      </c>
      <c r="AH88" s="88">
        <v>66150</v>
      </c>
      <c r="AI88" s="88">
        <v>66445.884072580651</v>
      </c>
      <c r="AJ88" s="88">
        <v>59880.748317934769</v>
      </c>
      <c r="AK88" s="88">
        <v>62719.460477759327</v>
      </c>
      <c r="AL88" s="88">
        <v>62967.649969576109</v>
      </c>
      <c r="AM88" s="88">
        <v>64260</v>
      </c>
      <c r="AN88" s="88">
        <v>39564</v>
      </c>
      <c r="AO88" s="88">
        <v>40154.947743986289</v>
      </c>
      <c r="AP88" s="88">
        <v>38188.281951050172</v>
      </c>
      <c r="AQ88" s="88">
        <v>0</v>
      </c>
      <c r="AR88" s="88">
        <v>61289.415702862963</v>
      </c>
      <c r="AS88" s="88">
        <v>61280.933631776177</v>
      </c>
      <c r="AT88" s="88">
        <v>40154.947743986289</v>
      </c>
      <c r="AU88" s="88">
        <v>38188.281951050172</v>
      </c>
      <c r="AV88" s="88">
        <v>59850</v>
      </c>
      <c r="AW88" s="88">
        <v>59220</v>
      </c>
      <c r="AX88" s="88">
        <v>60480</v>
      </c>
      <c r="AY88" s="88">
        <v>63000</v>
      </c>
      <c r="AZ88" s="88">
        <v>63000</v>
      </c>
      <c r="BA88" s="88">
        <v>63000</v>
      </c>
      <c r="BB88" s="88">
        <v>63000</v>
      </c>
      <c r="BC88" s="88">
        <v>63000</v>
      </c>
      <c r="BD88" s="88">
        <v>63000</v>
      </c>
      <c r="BE88" s="88">
        <v>63000</v>
      </c>
      <c r="BF88" s="88">
        <v>63000</v>
      </c>
      <c r="BG88" s="88">
        <v>63000</v>
      </c>
      <c r="BH88" s="88">
        <v>63000</v>
      </c>
      <c r="BI88" s="88">
        <v>63000</v>
      </c>
      <c r="BJ88" s="88">
        <v>63000</v>
      </c>
      <c r="BK88" s="88">
        <v>5905.4287587152194</v>
      </c>
      <c r="BL88" s="88">
        <v>5664.0142517814866</v>
      </c>
      <c r="BM88" s="88">
        <v>6792.7711698917201</v>
      </c>
      <c r="BN88" s="88">
        <v>3230.2358490566098</v>
      </c>
      <c r="BO88" s="88">
        <v>4078.568690289605</v>
      </c>
      <c r="BP88" s="88">
        <v>4729.9346680716544</v>
      </c>
      <c r="BQ88" s="88">
        <v>4488.930992241736</v>
      </c>
      <c r="BR88" s="88">
        <v>4245.7276373147452</v>
      </c>
      <c r="BS88" s="88">
        <v>4711.7371025136072</v>
      </c>
      <c r="BT88" s="88">
        <v>4473.3567733595009</v>
      </c>
      <c r="BU88" s="88">
        <v>4236.6490000000094</v>
      </c>
      <c r="BV88" s="88">
        <v>4001.5962411599512</v>
      </c>
      <c r="BW88" s="88">
        <v>3150.0000000000032</v>
      </c>
      <c r="BX88" s="88">
        <v>3150.0000000000032</v>
      </c>
      <c r="BY88" s="88">
        <v>3150.0000000000032</v>
      </c>
      <c r="BZ88" s="88">
        <v>0</v>
      </c>
      <c r="CA88" s="88">
        <v>1036.4516129032199</v>
      </c>
      <c r="CB88" s="88">
        <v>1890.000000000002</v>
      </c>
      <c r="CC88" s="88">
        <v>1890.000000000002</v>
      </c>
      <c r="CD88" s="88">
        <v>1890.000000000002</v>
      </c>
      <c r="CE88" s="88">
        <v>1890.000000000002</v>
      </c>
      <c r="CF88" s="88">
        <v>1890.000000000002</v>
      </c>
      <c r="CG88" s="88">
        <v>1890.000000000002</v>
      </c>
      <c r="CH88" s="88">
        <v>1890.000000000002</v>
      </c>
      <c r="CI88" s="88">
        <v>63000</v>
      </c>
      <c r="CJ88" s="88">
        <v>63000</v>
      </c>
      <c r="CK88" s="88">
        <v>63000</v>
      </c>
      <c r="CL88" s="88">
        <v>63000</v>
      </c>
      <c r="CM88" s="88">
        <v>63000</v>
      </c>
      <c r="CN88" s="88">
        <v>63000</v>
      </c>
      <c r="CO88" s="88">
        <v>63000</v>
      </c>
      <c r="CP88" s="88">
        <v>63000</v>
      </c>
      <c r="CQ88" s="88">
        <v>63000</v>
      </c>
      <c r="CR88" s="88">
        <v>63000</v>
      </c>
      <c r="CS88" s="88">
        <v>63000</v>
      </c>
      <c r="CT88" s="88">
        <v>63000</v>
      </c>
      <c r="CU88" s="88">
        <v>2624.2178654430681</v>
      </c>
      <c r="CV88" s="88">
        <v>2394.299287410935</v>
      </c>
      <c r="CW88" s="88">
        <v>3469.3058760873491</v>
      </c>
      <c r="CX88" s="88">
        <v>3230.2358490566098</v>
      </c>
      <c r="CY88" s="88">
        <v>2992.87938429</v>
      </c>
      <c r="CZ88" s="88">
        <v>2757.2181243414088</v>
      </c>
      <c r="DA88" s="88">
        <v>2523.2339730502281</v>
      </c>
      <c r="DB88" s="88">
        <v>2287.114210985188</v>
      </c>
      <c r="DC88" s="88">
        <v>2739.5505849646711</v>
      </c>
      <c r="DD88" s="88">
        <v>2508.1133721936931</v>
      </c>
      <c r="DE88" s="88">
        <v>2278.3000000000029</v>
      </c>
      <c r="DF88" s="88">
        <v>2050.0934380193698</v>
      </c>
      <c r="DG88" s="93">
        <v>46113</v>
      </c>
      <c r="DH88" s="91">
        <v>0.05</v>
      </c>
      <c r="DI88" t="s">
        <v>301</v>
      </c>
      <c r="DJ88" s="93">
        <v>46522</v>
      </c>
      <c r="DK88" s="91">
        <v>0.03</v>
      </c>
      <c r="DL88" t="s">
        <v>302</v>
      </c>
      <c r="DM88" s="93"/>
      <c r="DN88" s="91"/>
      <c r="DP88" s="93"/>
      <c r="DQ88" s="91"/>
    </row>
    <row r="89" spans="1:121" x14ac:dyDescent="0.3">
      <c r="A89" t="s">
        <v>24</v>
      </c>
      <c r="B89" t="s">
        <v>45</v>
      </c>
      <c r="C89" t="s">
        <v>50</v>
      </c>
      <c r="D89" t="s">
        <v>349</v>
      </c>
      <c r="E89" t="s">
        <v>452</v>
      </c>
      <c r="F89" s="86">
        <v>49000</v>
      </c>
      <c r="G89" s="87">
        <v>12</v>
      </c>
      <c r="H89" s="88">
        <v>1.08</v>
      </c>
      <c r="I89" s="88">
        <v>1.0754999999999999</v>
      </c>
      <c r="J89" s="89">
        <v>0.93999999999999984</v>
      </c>
      <c r="K89" s="88">
        <v>1.00418410041841</v>
      </c>
      <c r="L89" s="88">
        <v>1.0106382978723401</v>
      </c>
      <c r="M89" s="88">
        <v>1</v>
      </c>
      <c r="N89" s="90">
        <v>0.61199999999999999</v>
      </c>
      <c r="O89" s="90">
        <v>0.62109854891836558</v>
      </c>
      <c r="P89" s="90">
        <v>0.59055757953329635</v>
      </c>
      <c r="Q89" s="91">
        <v>0</v>
      </c>
      <c r="R89" s="88">
        <v>0.95480585614258429</v>
      </c>
      <c r="S89" s="88">
        <v>1.0106382978723401</v>
      </c>
      <c r="T89" s="91">
        <v>-4.1666666666666519E-3</v>
      </c>
      <c r="U89" s="91">
        <v>5.1715481171548117E-2</v>
      </c>
      <c r="V89" s="87">
        <v>0</v>
      </c>
      <c r="W89" s="91">
        <v>0</v>
      </c>
      <c r="X89" s="87">
        <v>1</v>
      </c>
      <c r="Y89" s="90">
        <v>0.62109854891836558</v>
      </c>
      <c r="Z89" s="90">
        <v>0.59055757953329635</v>
      </c>
      <c r="AA89" s="92">
        <v>0</v>
      </c>
      <c r="AB89" s="88">
        <v>0</v>
      </c>
      <c r="AC89" s="87">
        <v>1</v>
      </c>
      <c r="AD89" s="87">
        <v>1</v>
      </c>
      <c r="AE89" s="88">
        <v>1.1022400000000001</v>
      </c>
      <c r="AF89" s="88">
        <v>1</v>
      </c>
      <c r="AG89" s="88">
        <v>1.1022400000000001</v>
      </c>
      <c r="AH89" s="88">
        <v>52920</v>
      </c>
      <c r="AI89" s="88">
        <v>52699.500000000007</v>
      </c>
      <c r="AJ89" s="88">
        <v>46059.999999999993</v>
      </c>
      <c r="AK89" s="88">
        <v>49205.020920502087</v>
      </c>
      <c r="AL89" s="88">
        <v>49521.276595744683</v>
      </c>
      <c r="AM89" s="88">
        <v>49000</v>
      </c>
      <c r="AN89" s="88">
        <v>29988</v>
      </c>
      <c r="AO89" s="88">
        <v>30433.828896999908</v>
      </c>
      <c r="AP89" s="88">
        <v>28937.32139713152</v>
      </c>
      <c r="AQ89" s="88">
        <v>0</v>
      </c>
      <c r="AR89" s="88">
        <v>46785.486950986633</v>
      </c>
      <c r="AS89" s="88">
        <v>49521.276595744683</v>
      </c>
      <c r="AT89" s="88">
        <v>30433.828896999908</v>
      </c>
      <c r="AU89" s="88">
        <v>28937.32139713152</v>
      </c>
      <c r="AV89" s="88">
        <v>46550</v>
      </c>
      <c r="AW89" s="88">
        <v>46060</v>
      </c>
      <c r="AX89" s="88">
        <v>46060</v>
      </c>
      <c r="AY89" s="88">
        <v>49000</v>
      </c>
      <c r="AZ89" s="88">
        <v>49000</v>
      </c>
      <c r="BA89" s="88">
        <v>49000</v>
      </c>
      <c r="BB89" s="88">
        <v>49000</v>
      </c>
      <c r="BC89" s="88">
        <v>49000</v>
      </c>
      <c r="BD89" s="88">
        <v>49000</v>
      </c>
      <c r="BE89" s="88">
        <v>49000</v>
      </c>
      <c r="BF89" s="88">
        <v>49000</v>
      </c>
      <c r="BG89" s="88">
        <v>49000</v>
      </c>
      <c r="BH89" s="88">
        <v>49000</v>
      </c>
      <c r="BI89" s="88">
        <v>49000</v>
      </c>
      <c r="BJ89" s="88">
        <v>49000</v>
      </c>
      <c r="BK89" s="88">
        <v>3920.0000000000041</v>
      </c>
      <c r="BL89" s="88">
        <v>3920.0000000000041</v>
      </c>
      <c r="BM89" s="88">
        <v>6460.1600000000089</v>
      </c>
      <c r="BN89" s="88">
        <v>6460.1600000000089</v>
      </c>
      <c r="BO89" s="88">
        <v>6460.1600000000089</v>
      </c>
      <c r="BP89" s="88">
        <v>6460.1600000000089</v>
      </c>
      <c r="BQ89" s="88">
        <v>6460.1600000000089</v>
      </c>
      <c r="BR89" s="88">
        <v>6460.1600000000089</v>
      </c>
      <c r="BS89" s="88">
        <v>6460.1600000000089</v>
      </c>
      <c r="BT89" s="88">
        <v>2352.0000000000018</v>
      </c>
      <c r="BU89" s="88">
        <v>2352.0000000000018</v>
      </c>
      <c r="BV89" s="88">
        <v>2352.0000000000018</v>
      </c>
      <c r="BW89" s="88">
        <v>3920.0000000000041</v>
      </c>
      <c r="BX89" s="88">
        <v>3920.0000000000041</v>
      </c>
      <c r="BY89" s="88">
        <v>6460.1600000000089</v>
      </c>
      <c r="BZ89" s="88">
        <v>6460.1600000000089</v>
      </c>
      <c r="CA89" s="88">
        <v>6460.1600000000089</v>
      </c>
      <c r="CB89" s="88">
        <v>6460.1600000000089</v>
      </c>
      <c r="CC89" s="88">
        <v>6460.1600000000089</v>
      </c>
      <c r="CD89" s="88">
        <v>6460.1600000000089</v>
      </c>
      <c r="CE89" s="88">
        <v>6460.1600000000089</v>
      </c>
      <c r="CF89" s="88">
        <v>2352.0000000000018</v>
      </c>
      <c r="CG89" s="88">
        <v>2352.0000000000018</v>
      </c>
      <c r="CH89" s="88">
        <v>2352.0000000000018</v>
      </c>
      <c r="CI89" s="88">
        <v>49000</v>
      </c>
      <c r="CJ89" s="88">
        <v>49000</v>
      </c>
      <c r="CK89" s="88">
        <v>49000</v>
      </c>
      <c r="CL89" s="88">
        <v>49000</v>
      </c>
      <c r="CM89" s="88">
        <v>49000</v>
      </c>
      <c r="CN89" s="88">
        <v>49000</v>
      </c>
      <c r="CO89" s="88">
        <v>49000</v>
      </c>
      <c r="CP89" s="88">
        <v>49000</v>
      </c>
      <c r="CQ89" s="88">
        <v>49000</v>
      </c>
      <c r="CR89" s="88">
        <v>49000</v>
      </c>
      <c r="CS89" s="88">
        <v>49000</v>
      </c>
      <c r="CT89" s="88">
        <v>49000</v>
      </c>
      <c r="CU89" s="88">
        <v>0</v>
      </c>
      <c r="CV89" s="88">
        <v>0</v>
      </c>
      <c r="CW89" s="88">
        <v>0</v>
      </c>
      <c r="CX89" s="88">
        <v>0</v>
      </c>
      <c r="CY89" s="88">
        <v>0</v>
      </c>
      <c r="CZ89" s="88">
        <v>0</v>
      </c>
      <c r="DA89" s="88">
        <v>0</v>
      </c>
      <c r="DB89" s="88">
        <v>0</v>
      </c>
      <c r="DC89" s="88">
        <v>0</v>
      </c>
      <c r="DD89" s="88">
        <v>0</v>
      </c>
      <c r="DE89" s="88">
        <v>0</v>
      </c>
      <c r="DF89" s="88">
        <v>0</v>
      </c>
      <c r="DG89" s="93">
        <v>46296</v>
      </c>
      <c r="DH89" s="91">
        <v>0.08</v>
      </c>
      <c r="DI89" t="s">
        <v>301</v>
      </c>
      <c r="DJ89" s="93">
        <v>46447</v>
      </c>
      <c r="DK89" s="91">
        <v>4.8000000000000001E-2</v>
      </c>
      <c r="DL89" t="s">
        <v>302</v>
      </c>
      <c r="DM89" s="93"/>
      <c r="DN89" s="91"/>
      <c r="DP89" s="93"/>
      <c r="DQ89" s="91"/>
    </row>
    <row r="90" spans="1:121" x14ac:dyDescent="0.3">
      <c r="A90" t="s">
        <v>24</v>
      </c>
      <c r="B90" t="s">
        <v>45</v>
      </c>
      <c r="C90" t="s">
        <v>57</v>
      </c>
      <c r="D90" t="s">
        <v>351</v>
      </c>
      <c r="E90" t="s">
        <v>453</v>
      </c>
      <c r="F90" s="86">
        <v>35000</v>
      </c>
      <c r="G90" s="87">
        <v>12</v>
      </c>
      <c r="H90" s="88">
        <v>1.02</v>
      </c>
      <c r="I90" s="88">
        <v>1.026872222222222</v>
      </c>
      <c r="J90" s="89">
        <v>0.94299370897155343</v>
      </c>
      <c r="K90" s="88">
        <v>0.99330761698144854</v>
      </c>
      <c r="L90" s="88">
        <v>1.007429838568157</v>
      </c>
      <c r="M90" s="88">
        <v>1</v>
      </c>
      <c r="N90" s="90">
        <v>0.64</v>
      </c>
      <c r="O90" s="90">
        <v>0.64044014862345078</v>
      </c>
      <c r="P90" s="90">
        <v>0.61551236419148847</v>
      </c>
      <c r="Q90" s="91">
        <v>0</v>
      </c>
      <c r="R90" s="88">
        <v>0.96475948010183543</v>
      </c>
      <c r="S90" s="88">
        <v>0.99686822351585935</v>
      </c>
      <c r="T90" s="91">
        <v>6.7374727668845216E-3</v>
      </c>
      <c r="U90" s="91">
        <v>2.9590936879521301E-2</v>
      </c>
      <c r="V90" s="87">
        <v>0</v>
      </c>
      <c r="W90" s="91">
        <v>0</v>
      </c>
      <c r="X90" s="87">
        <v>1</v>
      </c>
      <c r="Y90" s="90">
        <v>0.64044014862345078</v>
      </c>
      <c r="Z90" s="90">
        <v>0.61551236419148847</v>
      </c>
      <c r="AA90" s="92">
        <v>0</v>
      </c>
      <c r="AB90" s="88">
        <v>0</v>
      </c>
      <c r="AC90" s="87">
        <v>1</v>
      </c>
      <c r="AD90" s="87">
        <v>1</v>
      </c>
      <c r="AE90" s="88">
        <v>1.0249999999999999</v>
      </c>
      <c r="AF90" s="88">
        <v>1.012785937399076</v>
      </c>
      <c r="AG90" s="88">
        <v>1.03810491397752</v>
      </c>
      <c r="AH90" s="88">
        <v>35700</v>
      </c>
      <c r="AI90" s="88">
        <v>35940.527777777766</v>
      </c>
      <c r="AJ90" s="88">
        <v>33004.779814004367</v>
      </c>
      <c r="AK90" s="88">
        <v>34765.766594350702</v>
      </c>
      <c r="AL90" s="88">
        <v>35260.044349885502</v>
      </c>
      <c r="AM90" s="88">
        <v>35000</v>
      </c>
      <c r="AN90" s="88">
        <v>22400</v>
      </c>
      <c r="AO90" s="88">
        <v>22415.40520182078</v>
      </c>
      <c r="AP90" s="88">
        <v>21542.932746702099</v>
      </c>
      <c r="AQ90" s="88">
        <v>0</v>
      </c>
      <c r="AR90" s="88">
        <v>33766.581803564237</v>
      </c>
      <c r="AS90" s="88">
        <v>34890.387823055084</v>
      </c>
      <c r="AT90" s="88">
        <v>22415.40520182078</v>
      </c>
      <c r="AU90" s="88">
        <v>21542.932746702099</v>
      </c>
      <c r="AV90" s="88">
        <v>33250</v>
      </c>
      <c r="AW90" s="88">
        <v>32900</v>
      </c>
      <c r="AX90" s="88">
        <v>33425</v>
      </c>
      <c r="AY90" s="88">
        <v>35000</v>
      </c>
      <c r="AZ90" s="88">
        <v>35000</v>
      </c>
      <c r="BA90" s="88">
        <v>35000</v>
      </c>
      <c r="BB90" s="88">
        <v>35000</v>
      </c>
      <c r="BC90" s="88">
        <v>35000</v>
      </c>
      <c r="BD90" s="88">
        <v>35000</v>
      </c>
      <c r="BE90" s="88">
        <v>35000</v>
      </c>
      <c r="BF90" s="88">
        <v>35000</v>
      </c>
      <c r="BG90" s="88">
        <v>35000</v>
      </c>
      <c r="BH90" s="88">
        <v>35000</v>
      </c>
      <c r="BI90" s="88">
        <v>35000</v>
      </c>
      <c r="BJ90" s="88">
        <v>35000</v>
      </c>
      <c r="BK90" s="88">
        <v>1159.1248891577141</v>
      </c>
      <c r="BL90" s="88">
        <v>449.65505913272528</v>
      </c>
      <c r="BM90" s="88">
        <v>449.18864751144821</v>
      </c>
      <c r="BN90" s="88">
        <v>448.70744157729848</v>
      </c>
      <c r="BO90" s="88">
        <v>448.22726555053259</v>
      </c>
      <c r="BP90" s="88">
        <v>1865.6580407734091</v>
      </c>
      <c r="BQ90" s="88">
        <v>1865.160789622639</v>
      </c>
      <c r="BR90" s="88">
        <v>1864.656473866138</v>
      </c>
      <c r="BS90" s="88">
        <v>1864.161358316549</v>
      </c>
      <c r="BT90" s="88">
        <v>1863.667296786391</v>
      </c>
      <c r="BU90" s="88">
        <v>1863.1742859134899</v>
      </c>
      <c r="BV90" s="88">
        <v>1862.682322349983</v>
      </c>
      <c r="BW90" s="88">
        <v>700.00000000000057</v>
      </c>
      <c r="BX90" s="88">
        <v>0</v>
      </c>
      <c r="BY90" s="88">
        <v>0</v>
      </c>
      <c r="BZ90" s="88">
        <v>0</v>
      </c>
      <c r="CA90" s="88">
        <v>0</v>
      </c>
      <c r="CB90" s="88">
        <v>1400.0000000000009</v>
      </c>
      <c r="CC90" s="88">
        <v>1400.0000000000009</v>
      </c>
      <c r="CD90" s="88">
        <v>1400.0000000000009</v>
      </c>
      <c r="CE90" s="88">
        <v>1400.0000000000009</v>
      </c>
      <c r="CF90" s="88">
        <v>1400.0000000000009</v>
      </c>
      <c r="CG90" s="88">
        <v>1400.0000000000009</v>
      </c>
      <c r="CH90" s="88">
        <v>1400.0000000000009</v>
      </c>
      <c r="CI90" s="88">
        <v>35000</v>
      </c>
      <c r="CJ90" s="88">
        <v>35000</v>
      </c>
      <c r="CK90" s="88">
        <v>35000</v>
      </c>
      <c r="CL90" s="88">
        <v>35000</v>
      </c>
      <c r="CM90" s="88">
        <v>35000</v>
      </c>
      <c r="CN90" s="88">
        <v>35000</v>
      </c>
      <c r="CO90" s="88">
        <v>35000</v>
      </c>
      <c r="CP90" s="88">
        <v>35000</v>
      </c>
      <c r="CQ90" s="88">
        <v>35000</v>
      </c>
      <c r="CR90" s="88">
        <v>35000</v>
      </c>
      <c r="CS90" s="88">
        <v>35000</v>
      </c>
      <c r="CT90" s="88">
        <v>35000</v>
      </c>
      <c r="CU90" s="88">
        <v>450.1224403506987</v>
      </c>
      <c r="CV90" s="88">
        <v>449.65505913272528</v>
      </c>
      <c r="CW90" s="88">
        <v>449.18864751144821</v>
      </c>
      <c r="CX90" s="88">
        <v>448.70744157729848</v>
      </c>
      <c r="CY90" s="88">
        <v>448.22726555053259</v>
      </c>
      <c r="CZ90" s="88">
        <v>447.74811612827591</v>
      </c>
      <c r="DA90" s="88">
        <v>447.26999002176689</v>
      </c>
      <c r="DB90" s="88">
        <v>446.78507102512867</v>
      </c>
      <c r="DC90" s="88">
        <v>446.30899838129397</v>
      </c>
      <c r="DD90" s="88">
        <v>445.83393921768243</v>
      </c>
      <c r="DE90" s="88">
        <v>445.35989030143332</v>
      </c>
      <c r="DF90" s="88">
        <v>444.88684841344161</v>
      </c>
      <c r="DG90" s="93">
        <v>46054</v>
      </c>
      <c r="DH90" s="91">
        <v>0.02</v>
      </c>
      <c r="DI90" t="s">
        <v>301</v>
      </c>
      <c r="DJ90" s="93">
        <v>46539</v>
      </c>
      <c r="DK90" s="91">
        <v>0.04</v>
      </c>
      <c r="DL90" t="s">
        <v>302</v>
      </c>
      <c r="DM90" s="93"/>
      <c r="DN90" s="91"/>
      <c r="DP90" s="93"/>
      <c r="DQ90" s="91"/>
    </row>
    <row r="91" spans="1:121" x14ac:dyDescent="0.3">
      <c r="A91" t="s">
        <v>24</v>
      </c>
      <c r="B91" t="s">
        <v>45</v>
      </c>
      <c r="C91" t="s">
        <v>58</v>
      </c>
      <c r="D91" t="s">
        <v>353</v>
      </c>
      <c r="E91" t="s">
        <v>454</v>
      </c>
      <c r="F91" s="86">
        <v>80500</v>
      </c>
      <c r="G91" s="87">
        <v>12</v>
      </c>
      <c r="H91" s="88">
        <v>1</v>
      </c>
      <c r="I91" s="88">
        <v>1</v>
      </c>
      <c r="J91" s="89">
        <v>0.93900209700948201</v>
      </c>
      <c r="K91" s="88">
        <v>1</v>
      </c>
      <c r="L91" s="88">
        <v>1.0117123305960061</v>
      </c>
      <c r="M91" s="88">
        <v>1</v>
      </c>
      <c r="N91" s="90">
        <v>0.624</v>
      </c>
      <c r="O91" s="90">
        <v>0.63130849429190783</v>
      </c>
      <c r="P91" s="90">
        <v>0.63355546910679794</v>
      </c>
      <c r="Q91" s="91">
        <v>0</v>
      </c>
      <c r="R91" s="88">
        <v>1</v>
      </c>
      <c r="S91" s="88">
        <v>1.0153132517737149</v>
      </c>
      <c r="T91" s="91">
        <v>0</v>
      </c>
      <c r="U91" s="91">
        <v>0</v>
      </c>
      <c r="V91" s="87">
        <v>0</v>
      </c>
      <c r="W91" s="91">
        <v>0</v>
      </c>
      <c r="X91" s="87">
        <v>1</v>
      </c>
      <c r="Y91" s="90">
        <v>0.63130849429190783</v>
      </c>
      <c r="Z91" s="90">
        <v>0.63355546910679794</v>
      </c>
      <c r="AA91" s="92">
        <v>0</v>
      </c>
      <c r="AB91" s="88">
        <v>0</v>
      </c>
      <c r="AC91" s="87">
        <v>0</v>
      </c>
      <c r="AD91" s="87">
        <v>0</v>
      </c>
      <c r="AE91" s="88">
        <v>1</v>
      </c>
      <c r="AF91" s="88">
        <v>0.99575616743366657</v>
      </c>
      <c r="AG91" s="88">
        <v>0.99575616743366657</v>
      </c>
      <c r="AH91" s="88">
        <v>80500</v>
      </c>
      <c r="AI91" s="88">
        <v>80500</v>
      </c>
      <c r="AJ91" s="88">
        <v>75589.668809263298</v>
      </c>
      <c r="AK91" s="88">
        <v>80500</v>
      </c>
      <c r="AL91" s="88">
        <v>81442.842612978493</v>
      </c>
      <c r="AM91" s="88">
        <v>80500</v>
      </c>
      <c r="AN91" s="88">
        <v>50232</v>
      </c>
      <c r="AO91" s="88">
        <v>50820.333790498582</v>
      </c>
      <c r="AP91" s="88">
        <v>51001.215263097227</v>
      </c>
      <c r="AQ91" s="88">
        <v>0</v>
      </c>
      <c r="AR91" s="88">
        <v>80500</v>
      </c>
      <c r="AS91" s="88">
        <v>81732.716767784033</v>
      </c>
      <c r="AT91" s="88">
        <v>50820.333790498582</v>
      </c>
      <c r="AU91" s="88">
        <v>51001.215263097227</v>
      </c>
      <c r="AV91" s="88">
        <v>76475</v>
      </c>
      <c r="AW91" s="88">
        <v>75670</v>
      </c>
      <c r="AX91" s="88">
        <v>75267.5</v>
      </c>
      <c r="AY91" s="88">
        <v>80500</v>
      </c>
      <c r="AZ91" s="88">
        <v>80500</v>
      </c>
      <c r="BA91" s="88">
        <v>80500</v>
      </c>
      <c r="BB91" s="88">
        <v>80500</v>
      </c>
      <c r="BC91" s="88">
        <v>80500</v>
      </c>
      <c r="BD91" s="88">
        <v>80500</v>
      </c>
      <c r="BE91" s="88">
        <v>80500</v>
      </c>
      <c r="BF91" s="88">
        <v>80500</v>
      </c>
      <c r="BG91" s="88">
        <v>80500</v>
      </c>
      <c r="BH91" s="88">
        <v>80500</v>
      </c>
      <c r="BI91" s="88">
        <v>80500</v>
      </c>
      <c r="BJ91" s="88">
        <v>80500</v>
      </c>
      <c r="BK91" s="88">
        <v>-340.96909142600521</v>
      </c>
      <c r="BL91" s="88">
        <v>-341.08585624070531</v>
      </c>
      <c r="BM91" s="88">
        <v>-341.20270105498611</v>
      </c>
      <c r="BN91" s="88">
        <v>-341.32359091118968</v>
      </c>
      <c r="BO91" s="88">
        <v>-341.44456646155061</v>
      </c>
      <c r="BP91" s="88">
        <v>-341.56562779720218</v>
      </c>
      <c r="BQ91" s="88">
        <v>-341.68677500943897</v>
      </c>
      <c r="BR91" s="88">
        <v>-341.80999633556542</v>
      </c>
      <c r="BS91" s="88">
        <v>-341.9313169868862</v>
      </c>
      <c r="BT91" s="88">
        <v>-342.05272379088319</v>
      </c>
      <c r="BU91" s="88">
        <v>-342.17421683939602</v>
      </c>
      <c r="BV91" s="88">
        <v>-342.29579622433567</v>
      </c>
      <c r="BW91" s="88">
        <v>0</v>
      </c>
      <c r="BX91" s="88">
        <v>0</v>
      </c>
      <c r="BY91" s="88">
        <v>0</v>
      </c>
      <c r="BZ91" s="88">
        <v>0</v>
      </c>
      <c r="CA91" s="88">
        <v>0</v>
      </c>
      <c r="CB91" s="88">
        <v>0</v>
      </c>
      <c r="CC91" s="88">
        <v>0</v>
      </c>
      <c r="CD91" s="88">
        <v>0</v>
      </c>
      <c r="CE91" s="88">
        <v>0</v>
      </c>
      <c r="CF91" s="88">
        <v>0</v>
      </c>
      <c r="CG91" s="88">
        <v>0</v>
      </c>
      <c r="CH91" s="88">
        <v>0</v>
      </c>
      <c r="CI91" s="88">
        <v>80500</v>
      </c>
      <c r="CJ91" s="88">
        <v>80500</v>
      </c>
      <c r="CK91" s="88">
        <v>80500</v>
      </c>
      <c r="CL91" s="88">
        <v>80500</v>
      </c>
      <c r="CM91" s="88">
        <v>80500</v>
      </c>
      <c r="CN91" s="88">
        <v>80500</v>
      </c>
      <c r="CO91" s="88">
        <v>80500</v>
      </c>
      <c r="CP91" s="88">
        <v>80500</v>
      </c>
      <c r="CQ91" s="88">
        <v>80500</v>
      </c>
      <c r="CR91" s="88">
        <v>80500</v>
      </c>
      <c r="CS91" s="88">
        <v>80500</v>
      </c>
      <c r="CT91" s="88">
        <v>80500</v>
      </c>
      <c r="CU91" s="88">
        <v>-340.96909142600521</v>
      </c>
      <c r="CV91" s="88">
        <v>-341.08585624070531</v>
      </c>
      <c r="CW91" s="88">
        <v>-341.20270105498611</v>
      </c>
      <c r="CX91" s="88">
        <v>-341.32359091118968</v>
      </c>
      <c r="CY91" s="88">
        <v>-341.44456646155061</v>
      </c>
      <c r="CZ91" s="88">
        <v>-341.56562779720218</v>
      </c>
      <c r="DA91" s="88">
        <v>-341.68677500943897</v>
      </c>
      <c r="DB91" s="88">
        <v>-341.80999633556542</v>
      </c>
      <c r="DC91" s="88">
        <v>-341.9313169868862</v>
      </c>
      <c r="DD91" s="88">
        <v>-342.05272379088319</v>
      </c>
      <c r="DE91" s="88">
        <v>-342.17421683939602</v>
      </c>
      <c r="DF91" s="88">
        <v>-342.29579622433567</v>
      </c>
      <c r="DG91" s="93"/>
      <c r="DH91" s="91"/>
      <c r="DJ91" s="93"/>
      <c r="DK91" s="91"/>
      <c r="DM91" s="93"/>
      <c r="DN91" s="91"/>
      <c r="DP91" s="93"/>
      <c r="DQ91" s="91"/>
    </row>
    <row r="92" spans="1:121" x14ac:dyDescent="0.3">
      <c r="A92" t="s">
        <v>24</v>
      </c>
      <c r="B92" t="s">
        <v>45</v>
      </c>
      <c r="C92" t="s">
        <v>65</v>
      </c>
      <c r="D92" t="s">
        <v>355</v>
      </c>
      <c r="E92" t="s">
        <v>455</v>
      </c>
      <c r="F92" s="86">
        <v>66500</v>
      </c>
      <c r="G92" s="87">
        <v>12</v>
      </c>
      <c r="H92" s="88">
        <v>1.04</v>
      </c>
      <c r="I92" s="88">
        <v>1.0387500000000001</v>
      </c>
      <c r="J92" s="89">
        <v>0.94199580598103549</v>
      </c>
      <c r="K92" s="88">
        <v>1.001203369434416</v>
      </c>
      <c r="L92" s="88">
        <v>1.008497059082581</v>
      </c>
      <c r="M92" s="88">
        <v>1</v>
      </c>
      <c r="N92" s="90">
        <v>0.60799999999999998</v>
      </c>
      <c r="O92" s="90">
        <v>0.6139040773998532</v>
      </c>
      <c r="P92" s="90">
        <v>0.60886114990062146</v>
      </c>
      <c r="Q92" s="91">
        <v>0</v>
      </c>
      <c r="R92" s="88">
        <v>0.99999999999999978</v>
      </c>
      <c r="S92" s="88">
        <v>1.001416364968128</v>
      </c>
      <c r="T92" s="91">
        <v>-1.2019230769230169E-3</v>
      </c>
      <c r="U92" s="91">
        <v>1.2033694344164569E-3</v>
      </c>
      <c r="V92" s="87">
        <v>0</v>
      </c>
      <c r="W92" s="91">
        <v>0</v>
      </c>
      <c r="X92" s="87">
        <v>1</v>
      </c>
      <c r="Y92" s="90">
        <v>0.6139040773998532</v>
      </c>
      <c r="Z92" s="90">
        <v>0.60886114990062146</v>
      </c>
      <c r="AA92" s="92">
        <v>0</v>
      </c>
      <c r="AB92" s="88">
        <v>0</v>
      </c>
      <c r="AC92" s="87">
        <v>1</v>
      </c>
      <c r="AD92" s="87">
        <v>0</v>
      </c>
      <c r="AE92" s="88">
        <v>1.01</v>
      </c>
      <c r="AF92" s="88">
        <v>1.008514817427199</v>
      </c>
      <c r="AG92" s="88">
        <v>1.0186002375339109</v>
      </c>
      <c r="AH92" s="88">
        <v>69160</v>
      </c>
      <c r="AI92" s="88">
        <v>69076.875</v>
      </c>
      <c r="AJ92" s="88">
        <v>62642.72109773886</v>
      </c>
      <c r="AK92" s="88">
        <v>66580.024067388673</v>
      </c>
      <c r="AL92" s="88">
        <v>67065.054428991643</v>
      </c>
      <c r="AM92" s="88">
        <v>66500</v>
      </c>
      <c r="AN92" s="88">
        <v>40432</v>
      </c>
      <c r="AO92" s="88">
        <v>40824.621147090227</v>
      </c>
      <c r="AP92" s="88">
        <v>40489.266468391317</v>
      </c>
      <c r="AQ92" s="88">
        <v>0</v>
      </c>
      <c r="AR92" s="88">
        <v>66499.999999999985</v>
      </c>
      <c r="AS92" s="88">
        <v>66594.188270380488</v>
      </c>
      <c r="AT92" s="88">
        <v>40824.621147090227</v>
      </c>
      <c r="AU92" s="88">
        <v>40489.266468391317</v>
      </c>
      <c r="AV92" s="88">
        <v>63175</v>
      </c>
      <c r="AW92" s="88">
        <v>62510</v>
      </c>
      <c r="AX92" s="88">
        <v>63175</v>
      </c>
      <c r="AY92" s="88">
        <v>66500</v>
      </c>
      <c r="AZ92" s="88">
        <v>66500</v>
      </c>
      <c r="BA92" s="88">
        <v>66500</v>
      </c>
      <c r="BB92" s="88">
        <v>66500</v>
      </c>
      <c r="BC92" s="88">
        <v>66500</v>
      </c>
      <c r="BD92" s="88">
        <v>66500</v>
      </c>
      <c r="BE92" s="88">
        <v>66500</v>
      </c>
      <c r="BF92" s="88">
        <v>66500</v>
      </c>
      <c r="BG92" s="88">
        <v>66500</v>
      </c>
      <c r="BH92" s="88">
        <v>66500</v>
      </c>
      <c r="BI92" s="88">
        <v>66500</v>
      </c>
      <c r="BJ92" s="88">
        <v>66500</v>
      </c>
      <c r="BK92" s="88">
        <v>3251.173405463649</v>
      </c>
      <c r="BL92" s="88">
        <v>3250.7652703019039</v>
      </c>
      <c r="BM92" s="88">
        <v>3250.357698289275</v>
      </c>
      <c r="BN92" s="88">
        <v>567.24702033185451</v>
      </c>
      <c r="BO92" s="88">
        <v>566.84298408472318</v>
      </c>
      <c r="BP92" s="88">
        <v>566.43952299828948</v>
      </c>
      <c r="BQ92" s="88">
        <v>566.03663584529477</v>
      </c>
      <c r="BR92" s="88">
        <v>565.62773084765934</v>
      </c>
      <c r="BS92" s="88">
        <v>565.22599725216878</v>
      </c>
      <c r="BT92" s="88">
        <v>564.824833909272</v>
      </c>
      <c r="BU92" s="88">
        <v>564.42423960561985</v>
      </c>
      <c r="BV92" s="88">
        <v>564.02421313133345</v>
      </c>
      <c r="BW92" s="88">
        <v>2660.0000000000018</v>
      </c>
      <c r="BX92" s="88">
        <v>2660.0000000000018</v>
      </c>
      <c r="BY92" s="88">
        <v>2660.0000000000018</v>
      </c>
      <c r="BZ92" s="88">
        <v>0</v>
      </c>
      <c r="CA92" s="88">
        <v>0</v>
      </c>
      <c r="CB92" s="88">
        <v>0</v>
      </c>
      <c r="CC92" s="88">
        <v>0</v>
      </c>
      <c r="CD92" s="88">
        <v>0</v>
      </c>
      <c r="CE92" s="88">
        <v>0</v>
      </c>
      <c r="CF92" s="88">
        <v>0</v>
      </c>
      <c r="CG92" s="88">
        <v>0</v>
      </c>
      <c r="CH92" s="88">
        <v>0</v>
      </c>
      <c r="CI92" s="88">
        <v>66500</v>
      </c>
      <c r="CJ92" s="88">
        <v>66500</v>
      </c>
      <c r="CK92" s="88">
        <v>66500</v>
      </c>
      <c r="CL92" s="88">
        <v>66500</v>
      </c>
      <c r="CM92" s="88">
        <v>66500</v>
      </c>
      <c r="CN92" s="88">
        <v>66500</v>
      </c>
      <c r="CO92" s="88">
        <v>66500</v>
      </c>
      <c r="CP92" s="88">
        <v>66500</v>
      </c>
      <c r="CQ92" s="88">
        <v>66500</v>
      </c>
      <c r="CR92" s="88">
        <v>66500</v>
      </c>
      <c r="CS92" s="88">
        <v>66500</v>
      </c>
      <c r="CT92" s="88">
        <v>66500</v>
      </c>
      <c r="CU92" s="88">
        <v>568.43596679196219</v>
      </c>
      <c r="CV92" s="88">
        <v>568.04352913643913</v>
      </c>
      <c r="CW92" s="88">
        <v>567.65163297045603</v>
      </c>
      <c r="CX92" s="88">
        <v>567.24702033185451</v>
      </c>
      <c r="CY92" s="88">
        <v>566.84298408472318</v>
      </c>
      <c r="CZ92" s="88">
        <v>566.43952299828948</v>
      </c>
      <c r="DA92" s="88">
        <v>566.03663584529477</v>
      </c>
      <c r="DB92" s="88">
        <v>565.62773084765934</v>
      </c>
      <c r="DC92" s="88">
        <v>565.22599725216878</v>
      </c>
      <c r="DD92" s="88">
        <v>564.824833909272</v>
      </c>
      <c r="DE92" s="88">
        <v>564.42423960561985</v>
      </c>
      <c r="DF92" s="88">
        <v>564.02421313133345</v>
      </c>
      <c r="DG92" s="93">
        <v>46113</v>
      </c>
      <c r="DH92" s="91">
        <v>0.04</v>
      </c>
      <c r="DI92" t="s">
        <v>301</v>
      </c>
      <c r="DJ92" s="93"/>
      <c r="DK92" s="91"/>
      <c r="DM92" s="93"/>
      <c r="DN92" s="91"/>
      <c r="DP92" s="93"/>
      <c r="DQ92" s="91"/>
    </row>
    <row r="93" spans="1:121" x14ac:dyDescent="0.3">
      <c r="A93" t="s">
        <v>24</v>
      </c>
      <c r="B93" t="s">
        <v>45</v>
      </c>
      <c r="C93" t="s">
        <v>66</v>
      </c>
      <c r="D93" t="s">
        <v>357</v>
      </c>
      <c r="E93" t="s">
        <v>456</v>
      </c>
      <c r="F93" s="86">
        <v>52500</v>
      </c>
      <c r="G93" s="87">
        <v>12</v>
      </c>
      <c r="H93" s="88">
        <v>1.05</v>
      </c>
      <c r="I93" s="88">
        <v>1.0472222222222221</v>
      </c>
      <c r="J93" s="89">
        <v>0.93800419401896429</v>
      </c>
      <c r="K93" s="88">
        <v>1.0026525198938989</v>
      </c>
      <c r="L93" s="88">
        <v>1.012788648555651</v>
      </c>
      <c r="M93" s="88">
        <v>1</v>
      </c>
      <c r="N93" s="90">
        <v>0.63600000000000001</v>
      </c>
      <c r="O93" s="90">
        <v>0.64584215761794972</v>
      </c>
      <c r="P93" s="90">
        <v>0.64874013381903073</v>
      </c>
      <c r="Q93" s="91">
        <v>0</v>
      </c>
      <c r="R93" s="88">
        <v>1</v>
      </c>
      <c r="S93" s="88">
        <v>1.020031656948162</v>
      </c>
      <c r="T93" s="91">
        <v>-2.6455026455026731E-3</v>
      </c>
      <c r="U93" s="91">
        <v>2.6525198938991408E-3</v>
      </c>
      <c r="V93" s="87">
        <v>0</v>
      </c>
      <c r="W93" s="91">
        <v>0</v>
      </c>
      <c r="X93" s="87">
        <v>1</v>
      </c>
      <c r="Y93" s="90">
        <v>0.64584215761794972</v>
      </c>
      <c r="Z93" s="90">
        <v>0.64874013381903073</v>
      </c>
      <c r="AA93" s="92">
        <v>0</v>
      </c>
      <c r="AB93" s="88">
        <v>0</v>
      </c>
      <c r="AC93" s="87">
        <v>1</v>
      </c>
      <c r="AD93" s="87">
        <v>0</v>
      </c>
      <c r="AE93" s="88">
        <v>1.0166666666666671</v>
      </c>
      <c r="AF93" s="88">
        <v>0.99152129657519972</v>
      </c>
      <c r="AG93" s="88">
        <v>1.0080470506626611</v>
      </c>
      <c r="AH93" s="88">
        <v>55125</v>
      </c>
      <c r="AI93" s="88">
        <v>54979.166666666672</v>
      </c>
      <c r="AJ93" s="88">
        <v>49245.220185995633</v>
      </c>
      <c r="AK93" s="88">
        <v>52639.257294429714</v>
      </c>
      <c r="AL93" s="88">
        <v>53171.404049171702</v>
      </c>
      <c r="AM93" s="88">
        <v>52500</v>
      </c>
      <c r="AN93" s="88">
        <v>33390</v>
      </c>
      <c r="AO93" s="88">
        <v>33906.713274942362</v>
      </c>
      <c r="AP93" s="88">
        <v>34058.857025499106</v>
      </c>
      <c r="AQ93" s="88">
        <v>0</v>
      </c>
      <c r="AR93" s="88">
        <v>52500</v>
      </c>
      <c r="AS93" s="88">
        <v>53551.661989778477</v>
      </c>
      <c r="AT93" s="88">
        <v>33906.713274942362</v>
      </c>
      <c r="AU93" s="88">
        <v>34058.857025499106</v>
      </c>
      <c r="AV93" s="88">
        <v>49875</v>
      </c>
      <c r="AW93" s="88">
        <v>49350</v>
      </c>
      <c r="AX93" s="88">
        <v>48825</v>
      </c>
      <c r="AY93" s="88">
        <v>52500</v>
      </c>
      <c r="AZ93" s="88">
        <v>52500</v>
      </c>
      <c r="BA93" s="88">
        <v>52500</v>
      </c>
      <c r="BB93" s="88">
        <v>52500</v>
      </c>
      <c r="BC93" s="88">
        <v>52500</v>
      </c>
      <c r="BD93" s="88">
        <v>52500</v>
      </c>
      <c r="BE93" s="88">
        <v>52500</v>
      </c>
      <c r="BF93" s="88">
        <v>52500</v>
      </c>
      <c r="BG93" s="88">
        <v>52500</v>
      </c>
      <c r="BH93" s="88">
        <v>52500</v>
      </c>
      <c r="BI93" s="88">
        <v>52500</v>
      </c>
      <c r="BJ93" s="88">
        <v>52500</v>
      </c>
      <c r="BK93" s="88">
        <v>2159.4118429730138</v>
      </c>
      <c r="BL93" s="88">
        <v>2159.093803547456</v>
      </c>
      <c r="BM93" s="88">
        <v>2158.775329324676</v>
      </c>
      <c r="BN93" s="88">
        <v>2158.4456012614201</v>
      </c>
      <c r="BO93" s="88">
        <v>-444.65199382765252</v>
      </c>
      <c r="BP93" s="88">
        <v>-444.96691048414942</v>
      </c>
      <c r="BQ93" s="88">
        <v>-445.28227352471941</v>
      </c>
      <c r="BR93" s="88">
        <v>-445.6032648505323</v>
      </c>
      <c r="BS93" s="88">
        <v>-445.91953086821212</v>
      </c>
      <c r="BT93" s="88">
        <v>-446.23624614309739</v>
      </c>
      <c r="BU93" s="88">
        <v>-446.55341163310129</v>
      </c>
      <c r="BV93" s="88">
        <v>-446.87102829891688</v>
      </c>
      <c r="BW93" s="88">
        <v>2625.0000000000018</v>
      </c>
      <c r="BX93" s="88">
        <v>2625.0000000000018</v>
      </c>
      <c r="BY93" s="88">
        <v>2625.0000000000018</v>
      </c>
      <c r="BZ93" s="88">
        <v>2625.0000000000018</v>
      </c>
      <c r="CA93" s="88">
        <v>0</v>
      </c>
      <c r="CB93" s="88">
        <v>0</v>
      </c>
      <c r="CC93" s="88">
        <v>0</v>
      </c>
      <c r="CD93" s="88">
        <v>0</v>
      </c>
      <c r="CE93" s="88">
        <v>0</v>
      </c>
      <c r="CF93" s="88">
        <v>0</v>
      </c>
      <c r="CG93" s="88">
        <v>0</v>
      </c>
      <c r="CH93" s="88">
        <v>0</v>
      </c>
      <c r="CI93" s="88">
        <v>52500</v>
      </c>
      <c r="CJ93" s="88">
        <v>52500</v>
      </c>
      <c r="CK93" s="88">
        <v>52500</v>
      </c>
      <c r="CL93" s="88">
        <v>52500</v>
      </c>
      <c r="CM93" s="88">
        <v>52500</v>
      </c>
      <c r="CN93" s="88">
        <v>52500</v>
      </c>
      <c r="CO93" s="88">
        <v>52500</v>
      </c>
      <c r="CP93" s="88">
        <v>52500</v>
      </c>
      <c r="CQ93" s="88">
        <v>52500</v>
      </c>
      <c r="CR93" s="88">
        <v>52500</v>
      </c>
      <c r="CS93" s="88">
        <v>52500</v>
      </c>
      <c r="CT93" s="88">
        <v>52500</v>
      </c>
      <c r="CU93" s="88">
        <v>-443.41729240666041</v>
      </c>
      <c r="CV93" s="88">
        <v>-443.72018709766593</v>
      </c>
      <c r="CW93" s="88">
        <v>-444.02349588126083</v>
      </c>
      <c r="CX93" s="88">
        <v>-444.33752260816863</v>
      </c>
      <c r="CY93" s="88">
        <v>-444.65199382765252</v>
      </c>
      <c r="CZ93" s="88">
        <v>-444.96691048414942</v>
      </c>
      <c r="DA93" s="88">
        <v>-445.28227352471941</v>
      </c>
      <c r="DB93" s="88">
        <v>-445.6032648505323</v>
      </c>
      <c r="DC93" s="88">
        <v>-445.91953086821212</v>
      </c>
      <c r="DD93" s="88">
        <v>-446.23624614309739</v>
      </c>
      <c r="DE93" s="88">
        <v>-446.55341163310129</v>
      </c>
      <c r="DF93" s="88">
        <v>-446.87102829891688</v>
      </c>
      <c r="DG93" s="93">
        <v>46143</v>
      </c>
      <c r="DH93" s="91">
        <v>0.05</v>
      </c>
      <c r="DI93" t="s">
        <v>301</v>
      </c>
      <c r="DJ93" s="93"/>
      <c r="DK93" s="91"/>
      <c r="DM93" s="93"/>
      <c r="DN93" s="91"/>
      <c r="DP93" s="93"/>
      <c r="DQ93" s="91"/>
    </row>
    <row r="94" spans="1:121" x14ac:dyDescent="0.3">
      <c r="A94" t="s">
        <v>24</v>
      </c>
      <c r="B94" t="s">
        <v>45</v>
      </c>
      <c r="C94" t="s">
        <v>67</v>
      </c>
      <c r="D94" t="s">
        <v>359</v>
      </c>
      <c r="E94" t="s">
        <v>457</v>
      </c>
      <c r="F94" s="86">
        <v>38500</v>
      </c>
      <c r="G94" s="87">
        <v>12</v>
      </c>
      <c r="H94" s="88">
        <v>1</v>
      </c>
      <c r="I94" s="88">
        <v>1.00125</v>
      </c>
      <c r="J94" s="89">
        <v>0.94099790299051811</v>
      </c>
      <c r="K94" s="88">
        <v>0.99875156054931336</v>
      </c>
      <c r="L94" s="88">
        <v>1.009566543114361</v>
      </c>
      <c r="M94" s="88">
        <v>1</v>
      </c>
      <c r="N94" s="90">
        <v>0.62</v>
      </c>
      <c r="O94" s="90">
        <v>0.62514981945658288</v>
      </c>
      <c r="P94" s="90">
        <v>0.6062929211456336</v>
      </c>
      <c r="Q94" s="91">
        <v>0</v>
      </c>
      <c r="R94" s="88">
        <v>0.97205346294046169</v>
      </c>
      <c r="S94" s="88">
        <v>1.006006197788017</v>
      </c>
      <c r="T94" s="91">
        <v>1.2499999999999729E-3</v>
      </c>
      <c r="U94" s="91">
        <v>2.7465667915106181E-2</v>
      </c>
      <c r="V94" s="87">
        <v>0</v>
      </c>
      <c r="W94" s="91">
        <v>0</v>
      </c>
      <c r="X94" s="87">
        <v>1</v>
      </c>
      <c r="Y94" s="90">
        <v>0.62514981945658288</v>
      </c>
      <c r="Z94" s="90">
        <v>0.6062929211456336</v>
      </c>
      <c r="AA94" s="92">
        <v>0</v>
      </c>
      <c r="AB94" s="88">
        <v>0</v>
      </c>
      <c r="AC94" s="87">
        <v>0</v>
      </c>
      <c r="AD94" s="87">
        <v>1</v>
      </c>
      <c r="AE94" s="88">
        <v>1.01</v>
      </c>
      <c r="AF94" s="88">
        <v>1.004252860915166</v>
      </c>
      <c r="AG94" s="88">
        <v>1.014295321540865</v>
      </c>
      <c r="AH94" s="88">
        <v>38500</v>
      </c>
      <c r="AI94" s="88">
        <v>38548.125</v>
      </c>
      <c r="AJ94" s="88">
        <v>36228.419265134937</v>
      </c>
      <c r="AK94" s="88">
        <v>38451.935081148556</v>
      </c>
      <c r="AL94" s="88">
        <v>38868.311909902892</v>
      </c>
      <c r="AM94" s="88">
        <v>38500</v>
      </c>
      <c r="AN94" s="88">
        <v>23870</v>
      </c>
      <c r="AO94" s="88">
        <v>24068.268049078441</v>
      </c>
      <c r="AP94" s="88">
        <v>23342.27746410689</v>
      </c>
      <c r="AQ94" s="88">
        <v>0</v>
      </c>
      <c r="AR94" s="88">
        <v>37424.058323207777</v>
      </c>
      <c r="AS94" s="88">
        <v>38731.238614838658</v>
      </c>
      <c r="AT94" s="88">
        <v>24068.268049078441</v>
      </c>
      <c r="AU94" s="88">
        <v>23342.27746410689</v>
      </c>
      <c r="AV94" s="88">
        <v>36575</v>
      </c>
      <c r="AW94" s="88">
        <v>36190</v>
      </c>
      <c r="AX94" s="88">
        <v>36382.5</v>
      </c>
      <c r="AY94" s="88">
        <v>38500</v>
      </c>
      <c r="AZ94" s="88">
        <v>38500</v>
      </c>
      <c r="BA94" s="88">
        <v>38500</v>
      </c>
      <c r="BB94" s="88">
        <v>38500</v>
      </c>
      <c r="BC94" s="88">
        <v>38500</v>
      </c>
      <c r="BD94" s="88">
        <v>38500</v>
      </c>
      <c r="BE94" s="88">
        <v>38500</v>
      </c>
      <c r="BF94" s="88">
        <v>38500</v>
      </c>
      <c r="BG94" s="88">
        <v>38500</v>
      </c>
      <c r="BH94" s="88">
        <v>38500</v>
      </c>
      <c r="BI94" s="88">
        <v>38500</v>
      </c>
      <c r="BJ94" s="88">
        <v>38500</v>
      </c>
      <c r="BK94" s="88">
        <v>164.05260423659169</v>
      </c>
      <c r="BL94" s="88">
        <v>163.99612547847809</v>
      </c>
      <c r="BM94" s="88">
        <v>163.93968559512629</v>
      </c>
      <c r="BN94" s="88">
        <v>163.881373326491</v>
      </c>
      <c r="BO94" s="88">
        <v>163.82310252569141</v>
      </c>
      <c r="BP94" s="88">
        <v>163.7648731485051</v>
      </c>
      <c r="BQ94" s="88">
        <v>163.70668515077779</v>
      </c>
      <c r="BR94" s="88">
        <v>163.6475856085577</v>
      </c>
      <c r="BS94" s="88">
        <v>163.58948091407959</v>
      </c>
      <c r="BT94" s="88">
        <v>1710.07267416489</v>
      </c>
      <c r="BU94" s="88">
        <v>1710.012331029995</v>
      </c>
      <c r="BV94" s="88">
        <v>1709.9520307003479</v>
      </c>
      <c r="BW94" s="88">
        <v>0</v>
      </c>
      <c r="BX94" s="88">
        <v>0</v>
      </c>
      <c r="BY94" s="88">
        <v>0</v>
      </c>
      <c r="BZ94" s="88">
        <v>0</v>
      </c>
      <c r="CA94" s="88">
        <v>0</v>
      </c>
      <c r="CB94" s="88">
        <v>0</v>
      </c>
      <c r="CC94" s="88">
        <v>0</v>
      </c>
      <c r="CD94" s="88">
        <v>0</v>
      </c>
      <c r="CE94" s="88">
        <v>0</v>
      </c>
      <c r="CF94" s="88">
        <v>1540.0000000000009</v>
      </c>
      <c r="CG94" s="88">
        <v>1540.0000000000009</v>
      </c>
      <c r="CH94" s="88">
        <v>1540.0000000000009</v>
      </c>
      <c r="CI94" s="88">
        <v>38500</v>
      </c>
      <c r="CJ94" s="88">
        <v>38500</v>
      </c>
      <c r="CK94" s="88">
        <v>38500</v>
      </c>
      <c r="CL94" s="88">
        <v>38500</v>
      </c>
      <c r="CM94" s="88">
        <v>38500</v>
      </c>
      <c r="CN94" s="88">
        <v>38500</v>
      </c>
      <c r="CO94" s="88">
        <v>38500</v>
      </c>
      <c r="CP94" s="88">
        <v>38500</v>
      </c>
      <c r="CQ94" s="88">
        <v>38500</v>
      </c>
      <c r="CR94" s="88">
        <v>38500</v>
      </c>
      <c r="CS94" s="88">
        <v>38500</v>
      </c>
      <c r="CT94" s="88">
        <v>38500</v>
      </c>
      <c r="CU94" s="88">
        <v>164.05260423659169</v>
      </c>
      <c r="CV94" s="88">
        <v>163.99612547847809</v>
      </c>
      <c r="CW94" s="88">
        <v>163.93968559512629</v>
      </c>
      <c r="CX94" s="88">
        <v>163.881373326491</v>
      </c>
      <c r="CY94" s="88">
        <v>163.82310252569141</v>
      </c>
      <c r="CZ94" s="88">
        <v>163.7648731485051</v>
      </c>
      <c r="DA94" s="88">
        <v>163.70668515077779</v>
      </c>
      <c r="DB94" s="88">
        <v>163.6475856085577</v>
      </c>
      <c r="DC94" s="88">
        <v>163.58948091407959</v>
      </c>
      <c r="DD94" s="88">
        <v>163.53141746623919</v>
      </c>
      <c r="DE94" s="88">
        <v>163.47339522114731</v>
      </c>
      <c r="DF94" s="88">
        <v>163.41541413494909</v>
      </c>
      <c r="DG94" s="93">
        <v>46661</v>
      </c>
      <c r="DH94" s="91">
        <v>0.04</v>
      </c>
      <c r="DI94" t="s">
        <v>302</v>
      </c>
      <c r="DJ94" s="93"/>
      <c r="DK94" s="91"/>
      <c r="DM94" s="93"/>
      <c r="DN94" s="91"/>
      <c r="DP94" s="93"/>
      <c r="DQ94" s="91"/>
    </row>
    <row r="95" spans="1:121" x14ac:dyDescent="0.3">
      <c r="A95" t="s">
        <v>24</v>
      </c>
      <c r="B95" t="s">
        <v>45</v>
      </c>
      <c r="C95" t="s">
        <v>73</v>
      </c>
      <c r="D95" t="s">
        <v>361</v>
      </c>
      <c r="E95" t="s">
        <v>458</v>
      </c>
      <c r="F95" s="86">
        <v>84000</v>
      </c>
      <c r="G95" s="87">
        <v>12</v>
      </c>
      <c r="H95" s="88">
        <v>1.02</v>
      </c>
      <c r="I95" s="88">
        <v>1.0175000000000001</v>
      </c>
      <c r="J95" s="89">
        <v>0.9439916119620716</v>
      </c>
      <c r="K95" s="88">
        <v>1.002457002457003</v>
      </c>
      <c r="L95" s="88">
        <v>1.0063648743927289</v>
      </c>
      <c r="M95" s="88">
        <v>1</v>
      </c>
      <c r="N95" s="90">
        <v>0.60399999999999998</v>
      </c>
      <c r="O95" s="90">
        <v>0.60933785927849871</v>
      </c>
      <c r="P95" s="90">
        <v>0.59938616960139057</v>
      </c>
      <c r="Q95" s="91">
        <v>0</v>
      </c>
      <c r="R95" s="88">
        <v>1</v>
      </c>
      <c r="S95" s="88">
        <v>0.99236120794932203</v>
      </c>
      <c r="T95" s="91">
        <v>-2.4509803921570761E-3</v>
      </c>
      <c r="U95" s="91">
        <v>2.4570024570023108E-3</v>
      </c>
      <c r="V95" s="87">
        <v>0</v>
      </c>
      <c r="W95" s="91">
        <v>0</v>
      </c>
      <c r="X95" s="87">
        <v>1</v>
      </c>
      <c r="Y95" s="90">
        <v>0.60933785927849871</v>
      </c>
      <c r="Z95" s="90">
        <v>0.59938616960139057</v>
      </c>
      <c r="AA95" s="92">
        <v>0</v>
      </c>
      <c r="AB95" s="88">
        <v>0</v>
      </c>
      <c r="AC95" s="87">
        <v>1</v>
      </c>
      <c r="AD95" s="87">
        <v>0</v>
      </c>
      <c r="AE95" s="88">
        <v>1.01</v>
      </c>
      <c r="AF95" s="88">
        <v>1.017066289316704</v>
      </c>
      <c r="AG95" s="88">
        <v>1.0272376819941971</v>
      </c>
      <c r="AH95" s="88">
        <v>85680</v>
      </c>
      <c r="AI95" s="88">
        <v>85469.999999999985</v>
      </c>
      <c r="AJ95" s="88">
        <v>79295.295404814009</v>
      </c>
      <c r="AK95" s="88">
        <v>84206.388206388219</v>
      </c>
      <c r="AL95" s="88">
        <v>84534.649448989236</v>
      </c>
      <c r="AM95" s="88">
        <v>84000</v>
      </c>
      <c r="AN95" s="88">
        <v>50736</v>
      </c>
      <c r="AO95" s="88">
        <v>51184.380179393891</v>
      </c>
      <c r="AP95" s="88">
        <v>50348.438246516809</v>
      </c>
      <c r="AQ95" s="88">
        <v>0</v>
      </c>
      <c r="AR95" s="88">
        <v>84000.000000000015</v>
      </c>
      <c r="AS95" s="88">
        <v>83358.341467743056</v>
      </c>
      <c r="AT95" s="88">
        <v>51184.380179393891</v>
      </c>
      <c r="AU95" s="88">
        <v>50348.438246516809</v>
      </c>
      <c r="AV95" s="88">
        <v>79800</v>
      </c>
      <c r="AW95" s="88">
        <v>78960</v>
      </c>
      <c r="AX95" s="88">
        <v>80640</v>
      </c>
      <c r="AY95" s="88">
        <v>84000</v>
      </c>
      <c r="AZ95" s="88">
        <v>84000</v>
      </c>
      <c r="BA95" s="88">
        <v>84000</v>
      </c>
      <c r="BB95" s="88">
        <v>84000</v>
      </c>
      <c r="BC95" s="88">
        <v>84000</v>
      </c>
      <c r="BD95" s="88">
        <v>84000</v>
      </c>
      <c r="BE95" s="88">
        <v>84000</v>
      </c>
      <c r="BF95" s="88">
        <v>84000</v>
      </c>
      <c r="BG95" s="88">
        <v>84000</v>
      </c>
      <c r="BH95" s="88">
        <v>84000</v>
      </c>
      <c r="BI95" s="88">
        <v>84000</v>
      </c>
      <c r="BJ95" s="88">
        <v>84000</v>
      </c>
      <c r="BK95" s="88">
        <v>3153.6564333341348</v>
      </c>
      <c r="BL95" s="88">
        <v>3151.6107477295318</v>
      </c>
      <c r="BM95" s="88">
        <v>3149.5707337703702</v>
      </c>
      <c r="BN95" s="88">
        <v>3147.4675050443561</v>
      </c>
      <c r="BO95" s="88">
        <v>3145.3702879366501</v>
      </c>
      <c r="BP95" s="88">
        <v>3143.2790567097281</v>
      </c>
      <c r="BQ95" s="88">
        <v>1432.5429272281319</v>
      </c>
      <c r="BR95" s="88">
        <v>1430.4709916719221</v>
      </c>
      <c r="BS95" s="88">
        <v>1428.4383153186859</v>
      </c>
      <c r="BT95" s="88">
        <v>1426.411407569366</v>
      </c>
      <c r="BU95" s="88">
        <v>1424.390243902438</v>
      </c>
      <c r="BV95" s="88">
        <v>1422.374799935051</v>
      </c>
      <c r="BW95" s="88">
        <v>1680.000000000002</v>
      </c>
      <c r="BX95" s="88">
        <v>1680.000000000002</v>
      </c>
      <c r="BY95" s="88">
        <v>1680.000000000002</v>
      </c>
      <c r="BZ95" s="88">
        <v>1680.000000000002</v>
      </c>
      <c r="CA95" s="88">
        <v>1680.000000000002</v>
      </c>
      <c r="CB95" s="88">
        <v>1680.000000000002</v>
      </c>
      <c r="CC95" s="88">
        <v>0</v>
      </c>
      <c r="CD95" s="88">
        <v>0</v>
      </c>
      <c r="CE95" s="88">
        <v>0</v>
      </c>
      <c r="CF95" s="88">
        <v>0</v>
      </c>
      <c r="CG95" s="88">
        <v>0</v>
      </c>
      <c r="CH95" s="88">
        <v>0</v>
      </c>
      <c r="CI95" s="88">
        <v>84000</v>
      </c>
      <c r="CJ95" s="88">
        <v>84000</v>
      </c>
      <c r="CK95" s="88">
        <v>84000</v>
      </c>
      <c r="CL95" s="88">
        <v>84000</v>
      </c>
      <c r="CM95" s="88">
        <v>84000</v>
      </c>
      <c r="CN95" s="88">
        <v>84000</v>
      </c>
      <c r="CO95" s="88">
        <v>84000</v>
      </c>
      <c r="CP95" s="88">
        <v>84000</v>
      </c>
      <c r="CQ95" s="88">
        <v>84000</v>
      </c>
      <c r="CR95" s="88">
        <v>84000</v>
      </c>
      <c r="CS95" s="88">
        <v>84000</v>
      </c>
      <c r="CT95" s="88">
        <v>84000</v>
      </c>
      <c r="CU95" s="88">
        <v>1444.761209151108</v>
      </c>
      <c r="CV95" s="88">
        <v>1442.755635028944</v>
      </c>
      <c r="CW95" s="88">
        <v>1440.7556213434941</v>
      </c>
      <c r="CX95" s="88">
        <v>1438.6936323964201</v>
      </c>
      <c r="CY95" s="88">
        <v>1436.6375371927941</v>
      </c>
      <c r="CZ95" s="88">
        <v>1434.5873104997311</v>
      </c>
      <c r="DA95" s="88">
        <v>1432.5429272281319</v>
      </c>
      <c r="DB95" s="88">
        <v>1430.4709916719221</v>
      </c>
      <c r="DC95" s="88">
        <v>1428.4383153186859</v>
      </c>
      <c r="DD95" s="88">
        <v>1426.411407569366</v>
      </c>
      <c r="DE95" s="88">
        <v>1424.390243902438</v>
      </c>
      <c r="DF95" s="88">
        <v>1422.374799935051</v>
      </c>
      <c r="DG95" s="93">
        <v>46204</v>
      </c>
      <c r="DH95" s="91">
        <v>0.02</v>
      </c>
      <c r="DI95" t="s">
        <v>301</v>
      </c>
      <c r="DJ95" s="93"/>
      <c r="DK95" s="91"/>
      <c r="DM95" s="93"/>
      <c r="DN95" s="91"/>
      <c r="DP95" s="93"/>
      <c r="DQ95" s="91"/>
    </row>
    <row r="96" spans="1:121" x14ac:dyDescent="0.3">
      <c r="A96" t="s">
        <v>24</v>
      </c>
      <c r="B96" t="s">
        <v>45</v>
      </c>
      <c r="C96" t="s">
        <v>78</v>
      </c>
      <c r="D96" t="s">
        <v>363</v>
      </c>
      <c r="E96" t="s">
        <v>459</v>
      </c>
      <c r="F96" s="86">
        <v>70000</v>
      </c>
      <c r="G96" s="87">
        <v>12</v>
      </c>
      <c r="H96" s="88">
        <v>1.03</v>
      </c>
      <c r="I96" s="88">
        <v>1.024895833333334</v>
      </c>
      <c r="J96" s="89">
        <v>0.93999999999999984</v>
      </c>
      <c r="K96" s="88">
        <v>1.0049801809126939</v>
      </c>
      <c r="L96" s="88">
        <v>1.0106382978723401</v>
      </c>
      <c r="M96" s="88">
        <v>1</v>
      </c>
      <c r="N96" s="90">
        <v>0.63200000000000001</v>
      </c>
      <c r="O96" s="90">
        <v>0.64190436236168247</v>
      </c>
      <c r="P96" s="90">
        <v>0.63872340425531904</v>
      </c>
      <c r="Q96" s="91">
        <v>0</v>
      </c>
      <c r="R96" s="88">
        <v>0.99999999999999978</v>
      </c>
      <c r="S96" s="88">
        <v>1.0106382978723401</v>
      </c>
      <c r="T96" s="91">
        <v>-4.9555016181225264E-3</v>
      </c>
      <c r="U96" s="91">
        <v>4.9801809126941432E-3</v>
      </c>
      <c r="V96" s="87">
        <v>0</v>
      </c>
      <c r="W96" s="91">
        <v>0</v>
      </c>
      <c r="X96" s="87">
        <v>1</v>
      </c>
      <c r="Y96" s="90">
        <v>0.64190436236168247</v>
      </c>
      <c r="Z96" s="90">
        <v>0.63872340425531904</v>
      </c>
      <c r="AA96" s="92">
        <v>0</v>
      </c>
      <c r="AB96" s="88">
        <v>0</v>
      </c>
      <c r="AC96" s="87">
        <v>1</v>
      </c>
      <c r="AD96" s="87">
        <v>0</v>
      </c>
      <c r="AE96" s="88">
        <v>1.0175000000000001</v>
      </c>
      <c r="AF96" s="88">
        <v>1</v>
      </c>
      <c r="AG96" s="88">
        <v>1.0175000000000001</v>
      </c>
      <c r="AH96" s="88">
        <v>72100</v>
      </c>
      <c r="AI96" s="88">
        <v>71742.708333333358</v>
      </c>
      <c r="AJ96" s="88">
        <v>65799.999999999985</v>
      </c>
      <c r="AK96" s="88">
        <v>70348.612663888576</v>
      </c>
      <c r="AL96" s="88">
        <v>70744.680851063837</v>
      </c>
      <c r="AM96" s="88">
        <v>70000</v>
      </c>
      <c r="AN96" s="88">
        <v>44240</v>
      </c>
      <c r="AO96" s="88">
        <v>44933.30536531777</v>
      </c>
      <c r="AP96" s="88">
        <v>44710.638297872327</v>
      </c>
      <c r="AQ96" s="88">
        <v>0</v>
      </c>
      <c r="AR96" s="88">
        <v>69999.999999999985</v>
      </c>
      <c r="AS96" s="88">
        <v>70744.680851063837</v>
      </c>
      <c r="AT96" s="88">
        <v>44933.30536531777</v>
      </c>
      <c r="AU96" s="88">
        <v>44710.638297872327</v>
      </c>
      <c r="AV96" s="88">
        <v>66500</v>
      </c>
      <c r="AW96" s="88">
        <v>65800</v>
      </c>
      <c r="AX96" s="88">
        <v>65800</v>
      </c>
      <c r="AY96" s="88">
        <v>70000</v>
      </c>
      <c r="AZ96" s="88">
        <v>70000</v>
      </c>
      <c r="BA96" s="88">
        <v>70000</v>
      </c>
      <c r="BB96" s="88">
        <v>70000</v>
      </c>
      <c r="BC96" s="88">
        <v>70000</v>
      </c>
      <c r="BD96" s="88">
        <v>70000</v>
      </c>
      <c r="BE96" s="88">
        <v>70000</v>
      </c>
      <c r="BF96" s="88">
        <v>70000</v>
      </c>
      <c r="BG96" s="88">
        <v>70000</v>
      </c>
      <c r="BH96" s="88">
        <v>70000</v>
      </c>
      <c r="BI96" s="88">
        <v>70000</v>
      </c>
      <c r="BJ96" s="88">
        <v>70000</v>
      </c>
      <c r="BK96" s="88">
        <v>2100.0000000000018</v>
      </c>
      <c r="BL96" s="88">
        <v>2100.0000000000018</v>
      </c>
      <c r="BM96" s="88">
        <v>2100.0000000000018</v>
      </c>
      <c r="BN96" s="88">
        <v>2100.0000000000018</v>
      </c>
      <c r="BO96" s="88">
        <v>2100.0000000000018</v>
      </c>
      <c r="BP96" s="88">
        <v>2100.0000000000018</v>
      </c>
      <c r="BQ96" s="88">
        <v>2100.0000000000018</v>
      </c>
      <c r="BR96" s="88">
        <v>0</v>
      </c>
      <c r="BS96" s="88">
        <v>0</v>
      </c>
      <c r="BT96" s="88">
        <v>0</v>
      </c>
      <c r="BU96" s="88">
        <v>0</v>
      </c>
      <c r="BV96" s="88">
        <v>0</v>
      </c>
      <c r="BW96" s="88">
        <v>2100.0000000000018</v>
      </c>
      <c r="BX96" s="88">
        <v>2100.0000000000018</v>
      </c>
      <c r="BY96" s="88">
        <v>2100.0000000000018</v>
      </c>
      <c r="BZ96" s="88">
        <v>2100.0000000000018</v>
      </c>
      <c r="CA96" s="88">
        <v>2100.0000000000018</v>
      </c>
      <c r="CB96" s="88">
        <v>2100.0000000000018</v>
      </c>
      <c r="CC96" s="88">
        <v>2100.0000000000018</v>
      </c>
      <c r="CD96" s="88">
        <v>0</v>
      </c>
      <c r="CE96" s="88">
        <v>0</v>
      </c>
      <c r="CF96" s="88">
        <v>0</v>
      </c>
      <c r="CG96" s="88">
        <v>0</v>
      </c>
      <c r="CH96" s="88">
        <v>0</v>
      </c>
      <c r="CI96" s="88">
        <v>70000</v>
      </c>
      <c r="CJ96" s="88">
        <v>70000</v>
      </c>
      <c r="CK96" s="88">
        <v>70000</v>
      </c>
      <c r="CL96" s="88">
        <v>70000</v>
      </c>
      <c r="CM96" s="88">
        <v>70000</v>
      </c>
      <c r="CN96" s="88">
        <v>70000</v>
      </c>
      <c r="CO96" s="88">
        <v>70000</v>
      </c>
      <c r="CP96" s="88">
        <v>70000</v>
      </c>
      <c r="CQ96" s="88">
        <v>70000</v>
      </c>
      <c r="CR96" s="88">
        <v>70000</v>
      </c>
      <c r="CS96" s="88">
        <v>70000</v>
      </c>
      <c r="CT96" s="88">
        <v>70000</v>
      </c>
      <c r="CU96" s="88">
        <v>0</v>
      </c>
      <c r="CV96" s="88">
        <v>0</v>
      </c>
      <c r="CW96" s="88">
        <v>0</v>
      </c>
      <c r="CX96" s="88">
        <v>0</v>
      </c>
      <c r="CY96" s="88">
        <v>0</v>
      </c>
      <c r="CZ96" s="88">
        <v>0</v>
      </c>
      <c r="DA96" s="88">
        <v>0</v>
      </c>
      <c r="DB96" s="88">
        <v>0</v>
      </c>
      <c r="DC96" s="88">
        <v>0</v>
      </c>
      <c r="DD96" s="88">
        <v>0</v>
      </c>
      <c r="DE96" s="88">
        <v>0</v>
      </c>
      <c r="DF96" s="88">
        <v>0</v>
      </c>
      <c r="DG96" s="93">
        <v>46235</v>
      </c>
      <c r="DH96" s="91">
        <v>0.03</v>
      </c>
      <c r="DI96" t="s">
        <v>301</v>
      </c>
      <c r="DJ96" s="93"/>
      <c r="DK96" s="91"/>
      <c r="DM96" s="93"/>
      <c r="DN96" s="91"/>
      <c r="DP96" s="93"/>
      <c r="DQ96" s="91"/>
    </row>
    <row r="97" spans="1:121" x14ac:dyDescent="0.3">
      <c r="A97" t="s">
        <v>24</v>
      </c>
      <c r="B97" t="s">
        <v>45</v>
      </c>
      <c r="C97" t="s">
        <v>80</v>
      </c>
      <c r="D97" t="s">
        <v>365</v>
      </c>
      <c r="E97" t="s">
        <v>460</v>
      </c>
      <c r="F97" s="86">
        <v>56000</v>
      </c>
      <c r="G97" s="87">
        <v>12</v>
      </c>
      <c r="H97" s="88">
        <v>1</v>
      </c>
      <c r="I97" s="88">
        <v>1</v>
      </c>
      <c r="J97" s="89">
        <v>0.94299370897155343</v>
      </c>
      <c r="K97" s="88">
        <v>1</v>
      </c>
      <c r="L97" s="88">
        <v>1.007429838568157</v>
      </c>
      <c r="M97" s="88">
        <v>1</v>
      </c>
      <c r="N97" s="90">
        <v>0.61599999999999999</v>
      </c>
      <c r="O97" s="90">
        <v>0.62057678055798482</v>
      </c>
      <c r="P97" s="90">
        <v>0.61407082568576932</v>
      </c>
      <c r="Q97" s="91">
        <v>0</v>
      </c>
      <c r="R97" s="88">
        <v>1</v>
      </c>
      <c r="S97" s="88">
        <v>0.99686822351585935</v>
      </c>
      <c r="T97" s="91">
        <v>0</v>
      </c>
      <c r="U97" s="91">
        <v>0</v>
      </c>
      <c r="V97" s="87">
        <v>0</v>
      </c>
      <c r="W97" s="91">
        <v>0</v>
      </c>
      <c r="X97" s="87">
        <v>1</v>
      </c>
      <c r="Y97" s="90">
        <v>0.62057678055798482</v>
      </c>
      <c r="Z97" s="90">
        <v>0.61407082568576932</v>
      </c>
      <c r="AA97" s="92">
        <v>0</v>
      </c>
      <c r="AB97" s="88">
        <v>0</v>
      </c>
      <c r="AC97" s="87">
        <v>0</v>
      </c>
      <c r="AD97" s="87">
        <v>0</v>
      </c>
      <c r="AE97" s="88">
        <v>1</v>
      </c>
      <c r="AF97" s="88">
        <v>1.012785937399076</v>
      </c>
      <c r="AG97" s="88">
        <v>1.012785937399076</v>
      </c>
      <c r="AH97" s="88">
        <v>56000</v>
      </c>
      <c r="AI97" s="88">
        <v>56000</v>
      </c>
      <c r="AJ97" s="88">
        <v>52807.64770240699</v>
      </c>
      <c r="AK97" s="88">
        <v>56000</v>
      </c>
      <c r="AL97" s="88">
        <v>56416.070959816803</v>
      </c>
      <c r="AM97" s="88">
        <v>56000</v>
      </c>
      <c r="AN97" s="88">
        <v>34496</v>
      </c>
      <c r="AO97" s="88">
        <v>34752.299711247149</v>
      </c>
      <c r="AP97" s="88">
        <v>34387.966238403082</v>
      </c>
      <c r="AQ97" s="88">
        <v>0</v>
      </c>
      <c r="AR97" s="88">
        <v>56000</v>
      </c>
      <c r="AS97" s="88">
        <v>55824.620516888121</v>
      </c>
      <c r="AT97" s="88">
        <v>34752.299711247149</v>
      </c>
      <c r="AU97" s="88">
        <v>34387.966238403082</v>
      </c>
      <c r="AV97" s="88">
        <v>53200</v>
      </c>
      <c r="AW97" s="88">
        <v>52640</v>
      </c>
      <c r="AX97" s="88">
        <v>53480</v>
      </c>
      <c r="AY97" s="88">
        <v>56000</v>
      </c>
      <c r="AZ97" s="88">
        <v>56000</v>
      </c>
      <c r="BA97" s="88">
        <v>56000</v>
      </c>
      <c r="BB97" s="88">
        <v>56000</v>
      </c>
      <c r="BC97" s="88">
        <v>56000</v>
      </c>
      <c r="BD97" s="88">
        <v>56000</v>
      </c>
      <c r="BE97" s="88">
        <v>56000</v>
      </c>
      <c r="BF97" s="88">
        <v>56000</v>
      </c>
      <c r="BG97" s="88">
        <v>56000</v>
      </c>
      <c r="BH97" s="88">
        <v>56000</v>
      </c>
      <c r="BI97" s="88">
        <v>56000</v>
      </c>
      <c r="BJ97" s="88">
        <v>56000</v>
      </c>
      <c r="BK97" s="88">
        <v>720.19590456111791</v>
      </c>
      <c r="BL97" s="88">
        <v>719.44809461236048</v>
      </c>
      <c r="BM97" s="88">
        <v>718.70183601831707</v>
      </c>
      <c r="BN97" s="88">
        <v>717.93190652367753</v>
      </c>
      <c r="BO97" s="88">
        <v>717.16362488085213</v>
      </c>
      <c r="BP97" s="88">
        <v>716.39698580524146</v>
      </c>
      <c r="BQ97" s="88">
        <v>715.63198403482704</v>
      </c>
      <c r="BR97" s="88">
        <v>714.85611364020588</v>
      </c>
      <c r="BS97" s="88">
        <v>714.09439741007043</v>
      </c>
      <c r="BT97" s="88">
        <v>713.33430274829186</v>
      </c>
      <c r="BU97" s="88">
        <v>712.57582448229323</v>
      </c>
      <c r="BV97" s="88">
        <v>711.81895746150656</v>
      </c>
      <c r="BW97" s="88">
        <v>0</v>
      </c>
      <c r="BX97" s="88">
        <v>0</v>
      </c>
      <c r="BY97" s="88">
        <v>0</v>
      </c>
      <c r="BZ97" s="88">
        <v>0</v>
      </c>
      <c r="CA97" s="88">
        <v>0</v>
      </c>
      <c r="CB97" s="88">
        <v>0</v>
      </c>
      <c r="CC97" s="88">
        <v>0</v>
      </c>
      <c r="CD97" s="88">
        <v>0</v>
      </c>
      <c r="CE97" s="88">
        <v>0</v>
      </c>
      <c r="CF97" s="88">
        <v>0</v>
      </c>
      <c r="CG97" s="88">
        <v>0</v>
      </c>
      <c r="CH97" s="88">
        <v>0</v>
      </c>
      <c r="CI97" s="88">
        <v>56000</v>
      </c>
      <c r="CJ97" s="88">
        <v>56000</v>
      </c>
      <c r="CK97" s="88">
        <v>56000</v>
      </c>
      <c r="CL97" s="88">
        <v>56000</v>
      </c>
      <c r="CM97" s="88">
        <v>56000</v>
      </c>
      <c r="CN97" s="88">
        <v>56000</v>
      </c>
      <c r="CO97" s="88">
        <v>56000</v>
      </c>
      <c r="CP97" s="88">
        <v>56000</v>
      </c>
      <c r="CQ97" s="88">
        <v>56000</v>
      </c>
      <c r="CR97" s="88">
        <v>56000</v>
      </c>
      <c r="CS97" s="88">
        <v>56000</v>
      </c>
      <c r="CT97" s="88">
        <v>56000</v>
      </c>
      <c r="CU97" s="88">
        <v>720.19590456111791</v>
      </c>
      <c r="CV97" s="88">
        <v>719.44809461236048</v>
      </c>
      <c r="CW97" s="88">
        <v>718.70183601831707</v>
      </c>
      <c r="CX97" s="88">
        <v>717.93190652367753</v>
      </c>
      <c r="CY97" s="88">
        <v>717.16362488085213</v>
      </c>
      <c r="CZ97" s="88">
        <v>716.39698580524146</v>
      </c>
      <c r="DA97" s="88">
        <v>715.63198403482704</v>
      </c>
      <c r="DB97" s="88">
        <v>714.85611364020588</v>
      </c>
      <c r="DC97" s="88">
        <v>714.09439741007043</v>
      </c>
      <c r="DD97" s="88">
        <v>713.33430274829186</v>
      </c>
      <c r="DE97" s="88">
        <v>712.57582448229323</v>
      </c>
      <c r="DF97" s="88">
        <v>711.81895746150656</v>
      </c>
      <c r="DG97" s="93"/>
      <c r="DH97" s="91"/>
      <c r="DJ97" s="93"/>
      <c r="DK97" s="91"/>
      <c r="DM97" s="93"/>
      <c r="DN97" s="91"/>
      <c r="DP97" s="93"/>
      <c r="DQ97" s="91"/>
    </row>
    <row r="98" spans="1:121" x14ac:dyDescent="0.3">
      <c r="A98" t="s">
        <v>24</v>
      </c>
      <c r="B98" t="s">
        <v>45</v>
      </c>
      <c r="C98" t="s">
        <v>82</v>
      </c>
      <c r="D98" t="s">
        <v>367</v>
      </c>
      <c r="E98" t="s">
        <v>461</v>
      </c>
      <c r="F98" s="86">
        <v>42000</v>
      </c>
      <c r="G98" s="87">
        <v>12</v>
      </c>
      <c r="H98" s="88">
        <v>1.05</v>
      </c>
      <c r="I98" s="88">
        <v>1.04775</v>
      </c>
      <c r="J98" s="89">
        <v>0.93900209700948201</v>
      </c>
      <c r="K98" s="88">
        <v>1.002147458840372</v>
      </c>
      <c r="L98" s="88">
        <v>1.0117123305960061</v>
      </c>
      <c r="M98" s="88">
        <v>1</v>
      </c>
      <c r="N98" s="90">
        <v>0.6</v>
      </c>
      <c r="O98" s="90">
        <v>0.60833096471055481</v>
      </c>
      <c r="P98" s="90">
        <v>0.58646252810034061</v>
      </c>
      <c r="Q98" s="91">
        <v>0</v>
      </c>
      <c r="R98" s="88">
        <v>0.96269554753309272</v>
      </c>
      <c r="S98" s="88">
        <v>1.0153132517737149</v>
      </c>
      <c r="T98" s="91">
        <v>-2.1428571428572241E-3</v>
      </c>
      <c r="U98" s="91">
        <v>4.0980672870436718E-2</v>
      </c>
      <c r="V98" s="87">
        <v>0</v>
      </c>
      <c r="W98" s="91">
        <v>0</v>
      </c>
      <c r="X98" s="87">
        <v>1</v>
      </c>
      <c r="Y98" s="90">
        <v>0.60833096471055481</v>
      </c>
      <c r="Z98" s="90">
        <v>0.58646252810034061</v>
      </c>
      <c r="AA98" s="92">
        <v>0</v>
      </c>
      <c r="AB98" s="88">
        <v>0</v>
      </c>
      <c r="AC98" s="87">
        <v>1</v>
      </c>
      <c r="AD98" s="87">
        <v>1</v>
      </c>
      <c r="AE98" s="88">
        <v>1.0685</v>
      </c>
      <c r="AF98" s="88">
        <v>0.99575616743366657</v>
      </c>
      <c r="AG98" s="88">
        <v>1.06396548225326</v>
      </c>
      <c r="AH98" s="88">
        <v>44100</v>
      </c>
      <c r="AI98" s="88">
        <v>44005.5</v>
      </c>
      <c r="AJ98" s="88">
        <v>39438.088074398242</v>
      </c>
      <c r="AK98" s="88">
        <v>42090.193271295633</v>
      </c>
      <c r="AL98" s="88">
        <v>42491.917885032257</v>
      </c>
      <c r="AM98" s="88">
        <v>42000</v>
      </c>
      <c r="AN98" s="88">
        <v>25200</v>
      </c>
      <c r="AO98" s="88">
        <v>25549.9005178433</v>
      </c>
      <c r="AP98" s="88">
        <v>24631.426180214301</v>
      </c>
      <c r="AQ98" s="88">
        <v>0</v>
      </c>
      <c r="AR98" s="88">
        <v>40433.212996389891</v>
      </c>
      <c r="AS98" s="88">
        <v>42643.156574496017</v>
      </c>
      <c r="AT98" s="88">
        <v>25549.9005178433</v>
      </c>
      <c r="AU98" s="88">
        <v>24631.426180214301</v>
      </c>
      <c r="AV98" s="88">
        <v>39900</v>
      </c>
      <c r="AW98" s="88">
        <v>39480</v>
      </c>
      <c r="AX98" s="88">
        <v>39270</v>
      </c>
      <c r="AY98" s="88">
        <v>42000</v>
      </c>
      <c r="AZ98" s="88">
        <v>42000</v>
      </c>
      <c r="BA98" s="88">
        <v>42000</v>
      </c>
      <c r="BB98" s="88">
        <v>42000</v>
      </c>
      <c r="BC98" s="88">
        <v>42000</v>
      </c>
      <c r="BD98" s="88">
        <v>42000</v>
      </c>
      <c r="BE98" s="88">
        <v>42000</v>
      </c>
      <c r="BF98" s="88">
        <v>42000</v>
      </c>
      <c r="BG98" s="88">
        <v>42000</v>
      </c>
      <c r="BH98" s="88">
        <v>42000</v>
      </c>
      <c r="BI98" s="88">
        <v>42000</v>
      </c>
      <c r="BJ98" s="88">
        <v>42000</v>
      </c>
      <c r="BK98" s="88">
        <v>1913.2082368709721</v>
      </c>
      <c r="BL98" s="88">
        <v>1913.1442700594389</v>
      </c>
      <c r="BM98" s="88">
        <v>1913.080259422055</v>
      </c>
      <c r="BN98" s="88">
        <v>3669.5345941173841</v>
      </c>
      <c r="BO98" s="88">
        <v>3669.4656696125148</v>
      </c>
      <c r="BP98" s="88">
        <v>3669.396696232413</v>
      </c>
      <c r="BQ98" s="88">
        <v>3669.3276739250582</v>
      </c>
      <c r="BR98" s="88">
        <v>3669.257469913864</v>
      </c>
      <c r="BS98" s="88">
        <v>3669.1883487914761</v>
      </c>
      <c r="BT98" s="88">
        <v>1494.3992176995621</v>
      </c>
      <c r="BU98" s="88">
        <v>1494.3332945149691</v>
      </c>
      <c r="BV98" s="88">
        <v>1494.267324483493</v>
      </c>
      <c r="BW98" s="88">
        <v>2100.0000000000018</v>
      </c>
      <c r="BX98" s="88">
        <v>2100.0000000000018</v>
      </c>
      <c r="BY98" s="88">
        <v>2100.0000000000018</v>
      </c>
      <c r="BZ98" s="88">
        <v>3864.0000000000041</v>
      </c>
      <c r="CA98" s="88">
        <v>3864.0000000000041</v>
      </c>
      <c r="CB98" s="88">
        <v>3864.0000000000041</v>
      </c>
      <c r="CC98" s="88">
        <v>3864.0000000000041</v>
      </c>
      <c r="CD98" s="88">
        <v>3864.0000000000041</v>
      </c>
      <c r="CE98" s="88">
        <v>3864.0000000000041</v>
      </c>
      <c r="CF98" s="88">
        <v>1680.000000000002</v>
      </c>
      <c r="CG98" s="88">
        <v>1680.000000000002</v>
      </c>
      <c r="CH98" s="88">
        <v>1680.000000000002</v>
      </c>
      <c r="CI98" s="88">
        <v>42000</v>
      </c>
      <c r="CJ98" s="88">
        <v>42000</v>
      </c>
      <c r="CK98" s="88">
        <v>42000</v>
      </c>
      <c r="CL98" s="88">
        <v>42000</v>
      </c>
      <c r="CM98" s="88">
        <v>42000</v>
      </c>
      <c r="CN98" s="88">
        <v>42000</v>
      </c>
      <c r="CO98" s="88">
        <v>42000</v>
      </c>
      <c r="CP98" s="88">
        <v>42000</v>
      </c>
      <c r="CQ98" s="88">
        <v>42000</v>
      </c>
      <c r="CR98" s="88">
        <v>42000</v>
      </c>
      <c r="CS98" s="88">
        <v>42000</v>
      </c>
      <c r="CT98" s="88">
        <v>42000</v>
      </c>
      <c r="CU98" s="88">
        <v>-177.89691726574179</v>
      </c>
      <c r="CV98" s="88">
        <v>-177.95783803862889</v>
      </c>
      <c r="CW98" s="88">
        <v>-178.0188005504275</v>
      </c>
      <c r="CX98" s="88">
        <v>-178.08187351888159</v>
      </c>
      <c r="CY98" s="88">
        <v>-178.14499119733071</v>
      </c>
      <c r="CZ98" s="88">
        <v>-178.20815363332289</v>
      </c>
      <c r="DA98" s="88">
        <v>-178.27136087448989</v>
      </c>
      <c r="DB98" s="88">
        <v>-178.33565026203411</v>
      </c>
      <c r="DC98" s="88">
        <v>-178.398947993158</v>
      </c>
      <c r="DD98" s="88">
        <v>-178.4622906735043</v>
      </c>
      <c r="DE98" s="88">
        <v>-178.52567835098921</v>
      </c>
      <c r="DF98" s="88">
        <v>-178.58911107356639</v>
      </c>
      <c r="DG98" s="93">
        <v>46296</v>
      </c>
      <c r="DH98" s="91">
        <v>0.05</v>
      </c>
      <c r="DI98" t="s">
        <v>301</v>
      </c>
      <c r="DJ98" s="93">
        <v>46478</v>
      </c>
      <c r="DK98" s="91">
        <v>0.04</v>
      </c>
      <c r="DL98" t="s">
        <v>302</v>
      </c>
      <c r="DM98" s="93"/>
      <c r="DN98" s="91"/>
      <c r="DP98" s="93"/>
      <c r="DQ98" s="91"/>
    </row>
    <row r="99" spans="1:121" x14ac:dyDescent="0.3">
      <c r="A99" t="s">
        <v>24</v>
      </c>
      <c r="B99" t="s">
        <v>45</v>
      </c>
      <c r="C99" t="s">
        <v>85</v>
      </c>
      <c r="D99" t="s">
        <v>369</v>
      </c>
      <c r="E99" t="s">
        <v>462</v>
      </c>
      <c r="F99" s="86">
        <v>28000</v>
      </c>
      <c r="G99" s="87">
        <v>12</v>
      </c>
      <c r="H99" s="88">
        <v>1.06</v>
      </c>
      <c r="I99" s="88">
        <v>1.039166666666667</v>
      </c>
      <c r="J99" s="89">
        <v>0.94199580598103549</v>
      </c>
      <c r="K99" s="88">
        <v>1.020048115477145</v>
      </c>
      <c r="L99" s="88">
        <v>1.008497059082581</v>
      </c>
      <c r="M99" s="88">
        <v>1</v>
      </c>
      <c r="N99" s="90">
        <v>0.628</v>
      </c>
      <c r="O99" s="90">
        <v>0.64603334943713786</v>
      </c>
      <c r="P99" s="90">
        <v>0.628889477199984</v>
      </c>
      <c r="Q99" s="91">
        <v>0</v>
      </c>
      <c r="R99" s="88">
        <v>0.99999999999999978</v>
      </c>
      <c r="S99" s="88">
        <v>1.001416364968128</v>
      </c>
      <c r="T99" s="91">
        <v>-1.965408805031443E-2</v>
      </c>
      <c r="U99" s="91">
        <v>2.0048115477145249E-2</v>
      </c>
      <c r="V99" s="87">
        <v>0</v>
      </c>
      <c r="W99" s="91">
        <v>0</v>
      </c>
      <c r="X99" s="87">
        <v>1</v>
      </c>
      <c r="Y99" s="90">
        <v>0.64603334943713786</v>
      </c>
      <c r="Z99" s="90">
        <v>0.628889477199984</v>
      </c>
      <c r="AA99" s="92">
        <v>0</v>
      </c>
      <c r="AB99" s="88">
        <v>0</v>
      </c>
      <c r="AC99" s="87">
        <v>1</v>
      </c>
      <c r="AD99" s="87">
        <v>0</v>
      </c>
      <c r="AE99" s="88">
        <v>1.05</v>
      </c>
      <c r="AF99" s="88">
        <v>1.008514817427199</v>
      </c>
      <c r="AG99" s="88">
        <v>1.058940860724505</v>
      </c>
      <c r="AH99" s="88">
        <v>29680</v>
      </c>
      <c r="AI99" s="88">
        <v>29096.666666666672</v>
      </c>
      <c r="AJ99" s="88">
        <v>26375.882567468991</v>
      </c>
      <c r="AK99" s="88">
        <v>28561.347233360058</v>
      </c>
      <c r="AL99" s="88">
        <v>28237.91765431227</v>
      </c>
      <c r="AM99" s="88">
        <v>28000</v>
      </c>
      <c r="AN99" s="88">
        <v>17584</v>
      </c>
      <c r="AO99" s="88">
        <v>18088.93378423986</v>
      </c>
      <c r="AP99" s="88">
        <v>17608.905361599551</v>
      </c>
      <c r="AQ99" s="88">
        <v>0</v>
      </c>
      <c r="AR99" s="88">
        <v>27999.999999999989</v>
      </c>
      <c r="AS99" s="88">
        <v>28039.658219107569</v>
      </c>
      <c r="AT99" s="88">
        <v>18088.93378423986</v>
      </c>
      <c r="AU99" s="88">
        <v>17608.905361599551</v>
      </c>
      <c r="AV99" s="88">
        <v>26600</v>
      </c>
      <c r="AW99" s="88">
        <v>26320</v>
      </c>
      <c r="AX99" s="88">
        <v>26600</v>
      </c>
      <c r="AY99" s="88">
        <v>28000</v>
      </c>
      <c r="AZ99" s="88">
        <v>28000</v>
      </c>
      <c r="BA99" s="88">
        <v>28000</v>
      </c>
      <c r="BB99" s="88">
        <v>28000</v>
      </c>
      <c r="BC99" s="88">
        <v>28000</v>
      </c>
      <c r="BD99" s="88">
        <v>28000</v>
      </c>
      <c r="BE99" s="88">
        <v>28000</v>
      </c>
      <c r="BF99" s="88">
        <v>28000</v>
      </c>
      <c r="BG99" s="88">
        <v>28000</v>
      </c>
      <c r="BH99" s="88">
        <v>28000</v>
      </c>
      <c r="BI99" s="88">
        <v>28000</v>
      </c>
      <c r="BJ99" s="88">
        <v>28000</v>
      </c>
      <c r="BK99" s="88">
        <v>1933.7019472839911</v>
      </c>
      <c r="BL99" s="88">
        <v>1933.5267961619491</v>
      </c>
      <c r="BM99" s="88">
        <v>1933.351886715235</v>
      </c>
      <c r="BN99" s="88">
        <v>1933.1713017060081</v>
      </c>
      <c r="BO99" s="88">
        <v>1932.9909739493951</v>
      </c>
      <c r="BP99" s="88">
        <v>1932.810902896083</v>
      </c>
      <c r="BQ99" s="88">
        <v>1932.63108799832</v>
      </c>
      <c r="BR99" s="88">
        <v>1932.4485872414809</v>
      </c>
      <c r="BS99" s="88">
        <v>1932.269287194656</v>
      </c>
      <c r="BT99" s="88">
        <v>1932.09024166056</v>
      </c>
      <c r="BU99" s="88">
        <v>237.6523114128926</v>
      </c>
      <c r="BV99" s="88">
        <v>237.48387921319301</v>
      </c>
      <c r="BW99" s="88">
        <v>1680.000000000002</v>
      </c>
      <c r="BX99" s="88">
        <v>1680.000000000002</v>
      </c>
      <c r="BY99" s="88">
        <v>1680.000000000002</v>
      </c>
      <c r="BZ99" s="88">
        <v>1680.000000000002</v>
      </c>
      <c r="CA99" s="88">
        <v>1680.000000000002</v>
      </c>
      <c r="CB99" s="88">
        <v>1680.000000000002</v>
      </c>
      <c r="CC99" s="88">
        <v>1680.000000000002</v>
      </c>
      <c r="CD99" s="88">
        <v>1680.000000000002</v>
      </c>
      <c r="CE99" s="88">
        <v>1680.000000000002</v>
      </c>
      <c r="CF99" s="88">
        <v>1680.000000000002</v>
      </c>
      <c r="CG99" s="88">
        <v>0</v>
      </c>
      <c r="CH99" s="88">
        <v>0</v>
      </c>
      <c r="CI99" s="88">
        <v>28000</v>
      </c>
      <c r="CJ99" s="88">
        <v>28000</v>
      </c>
      <c r="CK99" s="88">
        <v>28000</v>
      </c>
      <c r="CL99" s="88">
        <v>28000</v>
      </c>
      <c r="CM99" s="88">
        <v>28000</v>
      </c>
      <c r="CN99" s="88">
        <v>28000</v>
      </c>
      <c r="CO99" s="88">
        <v>28000</v>
      </c>
      <c r="CP99" s="88">
        <v>28000</v>
      </c>
      <c r="CQ99" s="88">
        <v>28000</v>
      </c>
      <c r="CR99" s="88">
        <v>28000</v>
      </c>
      <c r="CS99" s="88">
        <v>28000</v>
      </c>
      <c r="CT99" s="88">
        <v>28000</v>
      </c>
      <c r="CU99" s="88">
        <v>239.34145970187879</v>
      </c>
      <c r="CV99" s="88">
        <v>239.1762227942902</v>
      </c>
      <c r="CW99" s="88">
        <v>239.01121388229731</v>
      </c>
      <c r="CX99" s="88">
        <v>238.84085066604399</v>
      </c>
      <c r="CY99" s="88">
        <v>238.67073014093609</v>
      </c>
      <c r="CZ99" s="88">
        <v>238.50085178875349</v>
      </c>
      <c r="DA99" s="88">
        <v>238.33121509275571</v>
      </c>
      <c r="DB99" s="88">
        <v>238.1590445674355</v>
      </c>
      <c r="DC99" s="88">
        <v>237.98989357986059</v>
      </c>
      <c r="DD99" s="88">
        <v>237.82098269864079</v>
      </c>
      <c r="DE99" s="88">
        <v>237.6523114128926</v>
      </c>
      <c r="DF99" s="88">
        <v>237.48387921319301</v>
      </c>
      <c r="DG99" s="93">
        <v>46327</v>
      </c>
      <c r="DH99" s="91">
        <v>0.06</v>
      </c>
      <c r="DI99" t="s">
        <v>301</v>
      </c>
      <c r="DJ99" s="93"/>
      <c r="DK99" s="91"/>
      <c r="DM99" s="93"/>
      <c r="DN99" s="91"/>
      <c r="DP99" s="93"/>
      <c r="DQ99" s="91"/>
    </row>
    <row r="100" spans="1:121" x14ac:dyDescent="0.3">
      <c r="A100" t="s">
        <v>24</v>
      </c>
      <c r="B100" t="s">
        <v>45</v>
      </c>
      <c r="C100" t="s">
        <v>87</v>
      </c>
      <c r="D100" t="s">
        <v>371</v>
      </c>
      <c r="E100" t="s">
        <v>463</v>
      </c>
      <c r="F100" s="86">
        <v>73500</v>
      </c>
      <c r="G100" s="87">
        <v>12</v>
      </c>
      <c r="H100" s="88">
        <v>1</v>
      </c>
      <c r="I100" s="88">
        <v>1</v>
      </c>
      <c r="J100" s="89">
        <v>0.93800419401896429</v>
      </c>
      <c r="K100" s="88">
        <v>1</v>
      </c>
      <c r="L100" s="88">
        <v>1.012788648555651</v>
      </c>
      <c r="M100" s="88">
        <v>1</v>
      </c>
      <c r="N100" s="90">
        <v>0.61199999999999999</v>
      </c>
      <c r="O100" s="90">
        <v>0.61982665291605865</v>
      </c>
      <c r="P100" s="90">
        <v>0.62425937405227483</v>
      </c>
      <c r="Q100" s="91">
        <v>0</v>
      </c>
      <c r="R100" s="88">
        <v>1</v>
      </c>
      <c r="S100" s="88">
        <v>1.020031656948162</v>
      </c>
      <c r="T100" s="91">
        <v>0</v>
      </c>
      <c r="U100" s="91">
        <v>0</v>
      </c>
      <c r="V100" s="87">
        <v>0</v>
      </c>
      <c r="W100" s="91">
        <v>0</v>
      </c>
      <c r="X100" s="87">
        <v>1</v>
      </c>
      <c r="Y100" s="90">
        <v>0.61982665291605865</v>
      </c>
      <c r="Z100" s="90">
        <v>0.62425937405227483</v>
      </c>
      <c r="AA100" s="92">
        <v>0</v>
      </c>
      <c r="AB100" s="88">
        <v>0</v>
      </c>
      <c r="AC100" s="87">
        <v>0</v>
      </c>
      <c r="AD100" s="87">
        <v>0</v>
      </c>
      <c r="AE100" s="88">
        <v>1</v>
      </c>
      <c r="AF100" s="88">
        <v>0.99152129657519972</v>
      </c>
      <c r="AG100" s="88">
        <v>0.99152129657519972</v>
      </c>
      <c r="AH100" s="88">
        <v>73500</v>
      </c>
      <c r="AI100" s="88">
        <v>73500</v>
      </c>
      <c r="AJ100" s="88">
        <v>68943.308260393882</v>
      </c>
      <c r="AK100" s="88">
        <v>73500</v>
      </c>
      <c r="AL100" s="88">
        <v>74439.965668840377</v>
      </c>
      <c r="AM100" s="88">
        <v>73500</v>
      </c>
      <c r="AN100" s="88">
        <v>44982</v>
      </c>
      <c r="AO100" s="88">
        <v>45557.258989330308</v>
      </c>
      <c r="AP100" s="88">
        <v>45883.063992842202</v>
      </c>
      <c r="AQ100" s="88">
        <v>0</v>
      </c>
      <c r="AR100" s="88">
        <v>73500</v>
      </c>
      <c r="AS100" s="88">
        <v>74972.326785689875</v>
      </c>
      <c r="AT100" s="88">
        <v>45557.258989330308</v>
      </c>
      <c r="AU100" s="88">
        <v>45883.063992842202</v>
      </c>
      <c r="AV100" s="88">
        <v>69825</v>
      </c>
      <c r="AW100" s="88">
        <v>69090</v>
      </c>
      <c r="AX100" s="88">
        <v>68355</v>
      </c>
      <c r="AY100" s="88">
        <v>73500</v>
      </c>
      <c r="AZ100" s="88">
        <v>73500</v>
      </c>
      <c r="BA100" s="88">
        <v>73500</v>
      </c>
      <c r="BB100" s="88">
        <v>73500</v>
      </c>
      <c r="BC100" s="88">
        <v>73500</v>
      </c>
      <c r="BD100" s="88">
        <v>73500</v>
      </c>
      <c r="BE100" s="88">
        <v>73500</v>
      </c>
      <c r="BF100" s="88">
        <v>73500</v>
      </c>
      <c r="BG100" s="88">
        <v>73500</v>
      </c>
      <c r="BH100" s="88">
        <v>73500</v>
      </c>
      <c r="BI100" s="88">
        <v>73500</v>
      </c>
      <c r="BJ100" s="88">
        <v>73500</v>
      </c>
      <c r="BK100" s="88">
        <v>-620.78420936932457</v>
      </c>
      <c r="BL100" s="88">
        <v>-621.20826193673224</v>
      </c>
      <c r="BM100" s="88">
        <v>-621.63289423376511</v>
      </c>
      <c r="BN100" s="88">
        <v>-622.07253165143607</v>
      </c>
      <c r="BO100" s="88">
        <v>-622.51279135871346</v>
      </c>
      <c r="BP100" s="88">
        <v>-622.9536746778092</v>
      </c>
      <c r="BQ100" s="88">
        <v>-623.39518293460719</v>
      </c>
      <c r="BR100" s="88">
        <v>-623.84457079074525</v>
      </c>
      <c r="BS100" s="88">
        <v>-624.28734321549689</v>
      </c>
      <c r="BT100" s="88">
        <v>-624.73074460033638</v>
      </c>
      <c r="BU100" s="88">
        <v>-625.17477628634185</v>
      </c>
      <c r="BV100" s="88">
        <v>-625.61943961848363</v>
      </c>
      <c r="BW100" s="88">
        <v>0</v>
      </c>
      <c r="BX100" s="88">
        <v>0</v>
      </c>
      <c r="BY100" s="88">
        <v>0</v>
      </c>
      <c r="BZ100" s="88">
        <v>0</v>
      </c>
      <c r="CA100" s="88">
        <v>0</v>
      </c>
      <c r="CB100" s="88">
        <v>0</v>
      </c>
      <c r="CC100" s="88">
        <v>0</v>
      </c>
      <c r="CD100" s="88">
        <v>0</v>
      </c>
      <c r="CE100" s="88">
        <v>0</v>
      </c>
      <c r="CF100" s="88">
        <v>0</v>
      </c>
      <c r="CG100" s="88">
        <v>0</v>
      </c>
      <c r="CH100" s="88">
        <v>0</v>
      </c>
      <c r="CI100" s="88">
        <v>73500</v>
      </c>
      <c r="CJ100" s="88">
        <v>73500</v>
      </c>
      <c r="CK100" s="88">
        <v>73500</v>
      </c>
      <c r="CL100" s="88">
        <v>73500</v>
      </c>
      <c r="CM100" s="88">
        <v>73500</v>
      </c>
      <c r="CN100" s="88">
        <v>73500</v>
      </c>
      <c r="CO100" s="88">
        <v>73500</v>
      </c>
      <c r="CP100" s="88">
        <v>73500</v>
      </c>
      <c r="CQ100" s="88">
        <v>73500</v>
      </c>
      <c r="CR100" s="88">
        <v>73500</v>
      </c>
      <c r="CS100" s="88">
        <v>73500</v>
      </c>
      <c r="CT100" s="88">
        <v>73500</v>
      </c>
      <c r="CU100" s="88">
        <v>-620.78420936932457</v>
      </c>
      <c r="CV100" s="88">
        <v>-621.20826193673224</v>
      </c>
      <c r="CW100" s="88">
        <v>-621.63289423376511</v>
      </c>
      <c r="CX100" s="88">
        <v>-622.07253165143607</v>
      </c>
      <c r="CY100" s="88">
        <v>-622.51279135871346</v>
      </c>
      <c r="CZ100" s="88">
        <v>-622.9536746778092</v>
      </c>
      <c r="DA100" s="88">
        <v>-623.39518293460719</v>
      </c>
      <c r="DB100" s="88">
        <v>-623.84457079074525</v>
      </c>
      <c r="DC100" s="88">
        <v>-624.28734321549689</v>
      </c>
      <c r="DD100" s="88">
        <v>-624.73074460033638</v>
      </c>
      <c r="DE100" s="88">
        <v>-625.17477628634185</v>
      </c>
      <c r="DF100" s="88">
        <v>-625.61943961848363</v>
      </c>
      <c r="DG100" s="93"/>
      <c r="DH100" s="91"/>
      <c r="DJ100" s="93"/>
      <c r="DK100" s="91"/>
      <c r="DM100" s="93"/>
      <c r="DN100" s="91"/>
      <c r="DP100" s="93"/>
      <c r="DQ100" s="91"/>
    </row>
    <row r="101" spans="1:121" x14ac:dyDescent="0.3">
      <c r="A101" t="s">
        <v>24</v>
      </c>
      <c r="B101" t="s">
        <v>45</v>
      </c>
      <c r="C101" t="s">
        <v>89</v>
      </c>
      <c r="D101" t="s">
        <v>373</v>
      </c>
      <c r="E101" t="s">
        <v>464</v>
      </c>
      <c r="F101" s="86">
        <v>59500</v>
      </c>
      <c r="G101" s="87">
        <v>12</v>
      </c>
      <c r="H101" s="88">
        <v>1.03</v>
      </c>
      <c r="I101" s="88">
        <v>1.03</v>
      </c>
      <c r="J101" s="89">
        <v>0.94099790299051811</v>
      </c>
      <c r="K101" s="88">
        <v>0.99999999999999978</v>
      </c>
      <c r="L101" s="88">
        <v>1.009566543114361</v>
      </c>
      <c r="M101" s="88">
        <v>1</v>
      </c>
      <c r="N101" s="90">
        <v>0.64</v>
      </c>
      <c r="O101" s="90">
        <v>0.64612258759319086</v>
      </c>
      <c r="P101" s="90">
        <v>0.64384396658433085</v>
      </c>
      <c r="Q101" s="91">
        <v>0</v>
      </c>
      <c r="R101" s="88">
        <v>0.99999999999999978</v>
      </c>
      <c r="S101" s="88">
        <v>1.006006197788017</v>
      </c>
      <c r="T101" s="91">
        <v>0</v>
      </c>
      <c r="U101" s="91">
        <v>0</v>
      </c>
      <c r="V101" s="87">
        <v>0</v>
      </c>
      <c r="W101" s="91">
        <v>0</v>
      </c>
      <c r="X101" s="87">
        <v>1</v>
      </c>
      <c r="Y101" s="90">
        <v>0.64612258759319086</v>
      </c>
      <c r="Z101" s="90">
        <v>0.64384396658433085</v>
      </c>
      <c r="AA101" s="92">
        <v>0</v>
      </c>
      <c r="AB101" s="88">
        <v>0</v>
      </c>
      <c r="AC101" s="87">
        <v>1</v>
      </c>
      <c r="AD101" s="87">
        <v>0</v>
      </c>
      <c r="AE101" s="88">
        <v>1</v>
      </c>
      <c r="AF101" s="88">
        <v>1.004252860915166</v>
      </c>
      <c r="AG101" s="88">
        <v>1.004252860915166</v>
      </c>
      <c r="AH101" s="88">
        <v>61285</v>
      </c>
      <c r="AI101" s="88">
        <v>61285.000000000007</v>
      </c>
      <c r="AJ101" s="88">
        <v>55989.37522793583</v>
      </c>
      <c r="AK101" s="88">
        <v>59499.999999999993</v>
      </c>
      <c r="AL101" s="88">
        <v>60069.20931530447</v>
      </c>
      <c r="AM101" s="88">
        <v>59500</v>
      </c>
      <c r="AN101" s="88">
        <v>38080</v>
      </c>
      <c r="AO101" s="88">
        <v>38444.293961794858</v>
      </c>
      <c r="AP101" s="88">
        <v>38308.716011767683</v>
      </c>
      <c r="AQ101" s="88">
        <v>0</v>
      </c>
      <c r="AR101" s="88">
        <v>59499.999999999993</v>
      </c>
      <c r="AS101" s="88">
        <v>59857.368768387023</v>
      </c>
      <c r="AT101" s="88">
        <v>38444.293961794858</v>
      </c>
      <c r="AU101" s="88">
        <v>38308.716011767683</v>
      </c>
      <c r="AV101" s="88">
        <v>56525</v>
      </c>
      <c r="AW101" s="88">
        <v>55930</v>
      </c>
      <c r="AX101" s="88">
        <v>56227.5</v>
      </c>
      <c r="AY101" s="88">
        <v>59500</v>
      </c>
      <c r="AZ101" s="88">
        <v>59500</v>
      </c>
      <c r="BA101" s="88">
        <v>59500</v>
      </c>
      <c r="BB101" s="88">
        <v>59500</v>
      </c>
      <c r="BC101" s="88">
        <v>59500</v>
      </c>
      <c r="BD101" s="88">
        <v>59500</v>
      </c>
      <c r="BE101" s="88">
        <v>59500</v>
      </c>
      <c r="BF101" s="88">
        <v>59500</v>
      </c>
      <c r="BG101" s="88">
        <v>59500</v>
      </c>
      <c r="BH101" s="88">
        <v>59500</v>
      </c>
      <c r="BI101" s="88">
        <v>59500</v>
      </c>
      <c r="BJ101" s="88">
        <v>59500</v>
      </c>
      <c r="BK101" s="88">
        <v>253.5358429110963</v>
      </c>
      <c r="BL101" s="88">
        <v>253.44855755764789</v>
      </c>
      <c r="BM101" s="88">
        <v>253.36133228337701</v>
      </c>
      <c r="BN101" s="88">
        <v>253.2712133227588</v>
      </c>
      <c r="BO101" s="88">
        <v>253.18115844879591</v>
      </c>
      <c r="BP101" s="88">
        <v>253.09116759314421</v>
      </c>
      <c r="BQ101" s="88">
        <v>253.00124068756571</v>
      </c>
      <c r="BR101" s="88">
        <v>252.90990503140739</v>
      </c>
      <c r="BS101" s="88">
        <v>252.82010686721401</v>
      </c>
      <c r="BT101" s="88">
        <v>252.73037244782429</v>
      </c>
      <c r="BU101" s="88">
        <v>252.6407017054095</v>
      </c>
      <c r="BV101" s="88">
        <v>252.55109457219399</v>
      </c>
      <c r="BW101" s="88">
        <v>0</v>
      </c>
      <c r="BX101" s="88">
        <v>0</v>
      </c>
      <c r="BY101" s="88">
        <v>0</v>
      </c>
      <c r="BZ101" s="88">
        <v>0</v>
      </c>
      <c r="CA101" s="88">
        <v>0</v>
      </c>
      <c r="CB101" s="88">
        <v>0</v>
      </c>
      <c r="CC101" s="88">
        <v>0</v>
      </c>
      <c r="CD101" s="88">
        <v>0</v>
      </c>
      <c r="CE101" s="88">
        <v>0</v>
      </c>
      <c r="CF101" s="88">
        <v>0</v>
      </c>
      <c r="CG101" s="88">
        <v>0</v>
      </c>
      <c r="CH101" s="88">
        <v>0</v>
      </c>
      <c r="CI101" s="88">
        <v>59500</v>
      </c>
      <c r="CJ101" s="88">
        <v>59500</v>
      </c>
      <c r="CK101" s="88">
        <v>59500</v>
      </c>
      <c r="CL101" s="88">
        <v>59500</v>
      </c>
      <c r="CM101" s="88">
        <v>59500</v>
      </c>
      <c r="CN101" s="88">
        <v>59500</v>
      </c>
      <c r="CO101" s="88">
        <v>59500</v>
      </c>
      <c r="CP101" s="88">
        <v>59500</v>
      </c>
      <c r="CQ101" s="88">
        <v>59500</v>
      </c>
      <c r="CR101" s="88">
        <v>59500</v>
      </c>
      <c r="CS101" s="88">
        <v>59500</v>
      </c>
      <c r="CT101" s="88">
        <v>59500</v>
      </c>
      <c r="CU101" s="88">
        <v>253.5358429110963</v>
      </c>
      <c r="CV101" s="88">
        <v>253.44855755764789</v>
      </c>
      <c r="CW101" s="88">
        <v>253.36133228337701</v>
      </c>
      <c r="CX101" s="88">
        <v>253.2712133227588</v>
      </c>
      <c r="CY101" s="88">
        <v>253.18115844879591</v>
      </c>
      <c r="CZ101" s="88">
        <v>253.09116759314421</v>
      </c>
      <c r="DA101" s="88">
        <v>253.00124068756571</v>
      </c>
      <c r="DB101" s="88">
        <v>252.90990503140739</v>
      </c>
      <c r="DC101" s="88">
        <v>252.82010686721401</v>
      </c>
      <c r="DD101" s="88">
        <v>252.73037244782429</v>
      </c>
      <c r="DE101" s="88">
        <v>252.6407017054095</v>
      </c>
      <c r="DF101" s="88">
        <v>252.55109457219399</v>
      </c>
      <c r="DG101" s="93">
        <v>46023</v>
      </c>
      <c r="DH101" s="91">
        <v>0.03</v>
      </c>
      <c r="DI101" t="s">
        <v>301</v>
      </c>
      <c r="DJ101" s="93"/>
      <c r="DK101" s="91"/>
      <c r="DM101" s="93"/>
      <c r="DN101" s="91"/>
      <c r="DP101" s="93"/>
      <c r="DQ101" s="91"/>
    </row>
    <row r="102" spans="1:121" x14ac:dyDescent="0.3">
      <c r="A102" t="s">
        <v>24</v>
      </c>
      <c r="B102" t="s">
        <v>45</v>
      </c>
      <c r="C102" t="s">
        <v>91</v>
      </c>
      <c r="D102" t="s">
        <v>375</v>
      </c>
      <c r="E102" t="s">
        <v>465</v>
      </c>
      <c r="F102" s="86">
        <v>45500</v>
      </c>
      <c r="G102" s="87">
        <v>12</v>
      </c>
      <c r="H102" s="88">
        <v>1.04</v>
      </c>
      <c r="I102" s="88">
        <v>1.0434722222222219</v>
      </c>
      <c r="J102" s="89">
        <v>0.9439916119620716</v>
      </c>
      <c r="K102" s="88">
        <v>0.99667243444695852</v>
      </c>
      <c r="L102" s="88">
        <v>1.0063648743927289</v>
      </c>
      <c r="M102" s="88">
        <v>1</v>
      </c>
      <c r="N102" s="90">
        <v>0.624</v>
      </c>
      <c r="O102" s="90">
        <v>0.62588206468501506</v>
      </c>
      <c r="P102" s="90">
        <v>0.59933867926800821</v>
      </c>
      <c r="Q102" s="91">
        <v>0</v>
      </c>
      <c r="R102" s="88">
        <v>0.96787202580992038</v>
      </c>
      <c r="S102" s="88">
        <v>0.99236120794932203</v>
      </c>
      <c r="T102" s="91">
        <v>3.3386752136752569E-3</v>
      </c>
      <c r="U102" s="91">
        <v>2.9756422201517641E-2</v>
      </c>
      <c r="V102" s="87">
        <v>0</v>
      </c>
      <c r="W102" s="91">
        <v>0</v>
      </c>
      <c r="X102" s="87">
        <v>1</v>
      </c>
      <c r="Y102" s="90">
        <v>0.62588206468501506</v>
      </c>
      <c r="Z102" s="90">
        <v>0.59933867926800821</v>
      </c>
      <c r="AA102" s="92">
        <v>0</v>
      </c>
      <c r="AB102" s="88">
        <v>0</v>
      </c>
      <c r="AC102" s="87">
        <v>1</v>
      </c>
      <c r="AD102" s="87">
        <v>1</v>
      </c>
      <c r="AE102" s="88">
        <v>1.02</v>
      </c>
      <c r="AF102" s="88">
        <v>1.017066289316704</v>
      </c>
      <c r="AG102" s="88">
        <v>1.0374066403868449</v>
      </c>
      <c r="AH102" s="88">
        <v>47320</v>
      </c>
      <c r="AI102" s="88">
        <v>47477.986111111117</v>
      </c>
      <c r="AJ102" s="88">
        <v>42951.618344274248</v>
      </c>
      <c r="AK102" s="88">
        <v>45348.595767336607</v>
      </c>
      <c r="AL102" s="88">
        <v>45789.601784869163</v>
      </c>
      <c r="AM102" s="88">
        <v>45500</v>
      </c>
      <c r="AN102" s="88">
        <v>28392</v>
      </c>
      <c r="AO102" s="88">
        <v>28477.633943168181</v>
      </c>
      <c r="AP102" s="88">
        <v>27269.909906694371</v>
      </c>
      <c r="AQ102" s="88">
        <v>0</v>
      </c>
      <c r="AR102" s="88">
        <v>44038.177174351367</v>
      </c>
      <c r="AS102" s="88">
        <v>45152.434961694147</v>
      </c>
      <c r="AT102" s="88">
        <v>28477.633943168181</v>
      </c>
      <c r="AU102" s="88">
        <v>27269.909906694371</v>
      </c>
      <c r="AV102" s="88">
        <v>43225</v>
      </c>
      <c r="AW102" s="88">
        <v>42770</v>
      </c>
      <c r="AX102" s="88">
        <v>43680</v>
      </c>
      <c r="AY102" s="88">
        <v>45500</v>
      </c>
      <c r="AZ102" s="88">
        <v>45500</v>
      </c>
      <c r="BA102" s="88">
        <v>45500</v>
      </c>
      <c r="BB102" s="88">
        <v>45500</v>
      </c>
      <c r="BC102" s="88">
        <v>45500</v>
      </c>
      <c r="BD102" s="88">
        <v>45500</v>
      </c>
      <c r="BE102" s="88">
        <v>45500</v>
      </c>
      <c r="BF102" s="88">
        <v>45500</v>
      </c>
      <c r="BG102" s="88">
        <v>45500</v>
      </c>
      <c r="BH102" s="88">
        <v>45500</v>
      </c>
      <c r="BI102" s="88">
        <v>45500</v>
      </c>
      <c r="BJ102" s="88">
        <v>45500</v>
      </c>
      <c r="BK102" s="88">
        <v>2633.8821478217969</v>
      </c>
      <c r="BL102" s="88">
        <v>781.49263564067803</v>
      </c>
      <c r="BM102" s="88">
        <v>780.4092948943927</v>
      </c>
      <c r="BN102" s="88">
        <v>779.29238421472769</v>
      </c>
      <c r="BO102" s="88">
        <v>778.17866597943032</v>
      </c>
      <c r="BP102" s="88">
        <v>777.06812652068777</v>
      </c>
      <c r="BQ102" s="88">
        <v>775.96075224857168</v>
      </c>
      <c r="BR102" s="88">
        <v>2625.8319919751812</v>
      </c>
      <c r="BS102" s="88">
        <v>2624.686917629524</v>
      </c>
      <c r="BT102" s="88">
        <v>2623.5450929307399</v>
      </c>
      <c r="BU102" s="88">
        <v>2622.4065040650471</v>
      </c>
      <c r="BV102" s="88">
        <v>2621.2711372967492</v>
      </c>
      <c r="BW102" s="88">
        <v>1820.000000000002</v>
      </c>
      <c r="BX102" s="88">
        <v>0</v>
      </c>
      <c r="BY102" s="88">
        <v>0</v>
      </c>
      <c r="BZ102" s="88">
        <v>0</v>
      </c>
      <c r="CA102" s="88">
        <v>0</v>
      </c>
      <c r="CB102" s="88">
        <v>0</v>
      </c>
      <c r="CC102" s="88">
        <v>0</v>
      </c>
      <c r="CD102" s="88">
        <v>1820.000000000002</v>
      </c>
      <c r="CE102" s="88">
        <v>1820.000000000002</v>
      </c>
      <c r="CF102" s="88">
        <v>1820.000000000002</v>
      </c>
      <c r="CG102" s="88">
        <v>1820.000000000002</v>
      </c>
      <c r="CH102" s="88">
        <v>1820.000000000002</v>
      </c>
      <c r="CI102" s="88">
        <v>45500</v>
      </c>
      <c r="CJ102" s="88">
        <v>45500</v>
      </c>
      <c r="CK102" s="88">
        <v>45500</v>
      </c>
      <c r="CL102" s="88">
        <v>45500</v>
      </c>
      <c r="CM102" s="88">
        <v>45500</v>
      </c>
      <c r="CN102" s="88">
        <v>45500</v>
      </c>
      <c r="CO102" s="88">
        <v>45500</v>
      </c>
      <c r="CP102" s="88">
        <v>45500</v>
      </c>
      <c r="CQ102" s="88">
        <v>45500</v>
      </c>
      <c r="CR102" s="88">
        <v>45500</v>
      </c>
      <c r="CS102" s="88">
        <v>45500</v>
      </c>
      <c r="CT102" s="88">
        <v>45500</v>
      </c>
      <c r="CU102" s="88">
        <v>782.57898829018336</v>
      </c>
      <c r="CV102" s="88">
        <v>781.49263564067803</v>
      </c>
      <c r="CW102" s="88">
        <v>780.4092948943927</v>
      </c>
      <c r="CX102" s="88">
        <v>779.29238421472769</v>
      </c>
      <c r="CY102" s="88">
        <v>778.17866597943032</v>
      </c>
      <c r="CZ102" s="88">
        <v>777.06812652068777</v>
      </c>
      <c r="DA102" s="88">
        <v>775.96075224857168</v>
      </c>
      <c r="DB102" s="88">
        <v>774.83845382229106</v>
      </c>
      <c r="DC102" s="88">
        <v>773.73742079762144</v>
      </c>
      <c r="DD102" s="88">
        <v>772.63951243340694</v>
      </c>
      <c r="DE102" s="88">
        <v>771.5447154471542</v>
      </c>
      <c r="DF102" s="88">
        <v>770.45301663148598</v>
      </c>
      <c r="DG102" s="93">
        <v>46054</v>
      </c>
      <c r="DH102" s="91">
        <v>0.04</v>
      </c>
      <c r="DI102" t="s">
        <v>301</v>
      </c>
      <c r="DJ102" s="93">
        <v>46600</v>
      </c>
      <c r="DK102" s="91">
        <v>0.04</v>
      </c>
      <c r="DL102" t="s">
        <v>302</v>
      </c>
      <c r="DM102" s="93"/>
      <c r="DN102" s="91"/>
      <c r="DP102" s="93"/>
      <c r="DQ102" s="91"/>
    </row>
    <row r="103" spans="1:121" x14ac:dyDescent="0.3">
      <c r="A103" t="s">
        <v>24</v>
      </c>
      <c r="B103" t="s">
        <v>45</v>
      </c>
      <c r="C103" t="s">
        <v>92</v>
      </c>
      <c r="D103" t="s">
        <v>377</v>
      </c>
      <c r="E103" t="s">
        <v>466</v>
      </c>
      <c r="F103" s="86">
        <v>31500</v>
      </c>
      <c r="G103" s="87">
        <v>12</v>
      </c>
      <c r="H103" s="88">
        <v>1</v>
      </c>
      <c r="I103" s="88">
        <v>1</v>
      </c>
      <c r="J103" s="89">
        <v>0.93999999999999984</v>
      </c>
      <c r="K103" s="88">
        <v>1</v>
      </c>
      <c r="L103" s="88">
        <v>1.0106382978723401</v>
      </c>
      <c r="M103" s="88">
        <v>1</v>
      </c>
      <c r="N103" s="90">
        <v>0.60799999999999998</v>
      </c>
      <c r="O103" s="90">
        <v>0.61446808510638296</v>
      </c>
      <c r="P103" s="90">
        <v>0.61446808510638296</v>
      </c>
      <c r="Q103" s="91">
        <v>0</v>
      </c>
      <c r="R103" s="88">
        <v>1</v>
      </c>
      <c r="S103" s="88">
        <v>1.0106382978723401</v>
      </c>
      <c r="T103" s="91">
        <v>0</v>
      </c>
      <c r="U103" s="91">
        <v>0</v>
      </c>
      <c r="V103" s="87">
        <v>0</v>
      </c>
      <c r="W103" s="91">
        <v>0</v>
      </c>
      <c r="X103" s="87">
        <v>1</v>
      </c>
      <c r="Y103" s="90">
        <v>0.61446808510638296</v>
      </c>
      <c r="Z103" s="90">
        <v>0.61446808510638296</v>
      </c>
      <c r="AA103" s="92">
        <v>0</v>
      </c>
      <c r="AB103" s="88">
        <v>0</v>
      </c>
      <c r="AC103" s="87">
        <v>0</v>
      </c>
      <c r="AD103" s="87">
        <v>0</v>
      </c>
      <c r="AE103" s="88">
        <v>1</v>
      </c>
      <c r="AF103" s="88">
        <v>1</v>
      </c>
      <c r="AG103" s="88">
        <v>1</v>
      </c>
      <c r="AH103" s="88">
        <v>31500</v>
      </c>
      <c r="AI103" s="88">
        <v>31500</v>
      </c>
      <c r="AJ103" s="88">
        <v>29610</v>
      </c>
      <c r="AK103" s="88">
        <v>31500</v>
      </c>
      <c r="AL103" s="88">
        <v>31835.106382978731</v>
      </c>
      <c r="AM103" s="88">
        <v>31500</v>
      </c>
      <c r="AN103" s="88">
        <v>19152</v>
      </c>
      <c r="AO103" s="88">
        <v>19355.744680851061</v>
      </c>
      <c r="AP103" s="88">
        <v>19355.744680851061</v>
      </c>
      <c r="AQ103" s="88">
        <v>0</v>
      </c>
      <c r="AR103" s="88">
        <v>31500</v>
      </c>
      <c r="AS103" s="88">
        <v>31835.106382978731</v>
      </c>
      <c r="AT103" s="88">
        <v>19355.744680851061</v>
      </c>
      <c r="AU103" s="88">
        <v>19355.744680851061</v>
      </c>
      <c r="AV103" s="88">
        <v>29925</v>
      </c>
      <c r="AW103" s="88">
        <v>29610</v>
      </c>
      <c r="AX103" s="88">
        <v>29610</v>
      </c>
      <c r="AY103" s="88">
        <v>31500</v>
      </c>
      <c r="AZ103" s="88">
        <v>31500</v>
      </c>
      <c r="BA103" s="88">
        <v>31500</v>
      </c>
      <c r="BB103" s="88">
        <v>31500</v>
      </c>
      <c r="BC103" s="88">
        <v>31500</v>
      </c>
      <c r="BD103" s="88">
        <v>31500</v>
      </c>
      <c r="BE103" s="88">
        <v>31500</v>
      </c>
      <c r="BF103" s="88">
        <v>31500</v>
      </c>
      <c r="BG103" s="88">
        <v>31500</v>
      </c>
      <c r="BH103" s="88">
        <v>31500</v>
      </c>
      <c r="BI103" s="88">
        <v>31500</v>
      </c>
      <c r="BJ103" s="88">
        <v>31500</v>
      </c>
      <c r="BK103" s="88">
        <v>0</v>
      </c>
      <c r="BL103" s="88">
        <v>0</v>
      </c>
      <c r="BM103" s="88">
        <v>0</v>
      </c>
      <c r="BN103" s="88">
        <v>0</v>
      </c>
      <c r="BO103" s="88">
        <v>0</v>
      </c>
      <c r="BP103" s="88">
        <v>0</v>
      </c>
      <c r="BQ103" s="88">
        <v>0</v>
      </c>
      <c r="BR103" s="88">
        <v>0</v>
      </c>
      <c r="BS103" s="88">
        <v>0</v>
      </c>
      <c r="BT103" s="88">
        <v>0</v>
      </c>
      <c r="BU103" s="88">
        <v>0</v>
      </c>
      <c r="BV103" s="88">
        <v>0</v>
      </c>
      <c r="BW103" s="88">
        <v>0</v>
      </c>
      <c r="BX103" s="88">
        <v>0</v>
      </c>
      <c r="BY103" s="88">
        <v>0</v>
      </c>
      <c r="BZ103" s="88">
        <v>0</v>
      </c>
      <c r="CA103" s="88">
        <v>0</v>
      </c>
      <c r="CB103" s="88">
        <v>0</v>
      </c>
      <c r="CC103" s="88">
        <v>0</v>
      </c>
      <c r="CD103" s="88">
        <v>0</v>
      </c>
      <c r="CE103" s="88">
        <v>0</v>
      </c>
      <c r="CF103" s="88">
        <v>0</v>
      </c>
      <c r="CG103" s="88">
        <v>0</v>
      </c>
      <c r="CH103" s="88">
        <v>0</v>
      </c>
      <c r="CI103" s="88">
        <v>31500</v>
      </c>
      <c r="CJ103" s="88">
        <v>31500</v>
      </c>
      <c r="CK103" s="88">
        <v>31500</v>
      </c>
      <c r="CL103" s="88">
        <v>31500</v>
      </c>
      <c r="CM103" s="88">
        <v>31500</v>
      </c>
      <c r="CN103" s="88">
        <v>31500</v>
      </c>
      <c r="CO103" s="88">
        <v>31500</v>
      </c>
      <c r="CP103" s="88">
        <v>31500</v>
      </c>
      <c r="CQ103" s="88">
        <v>31500</v>
      </c>
      <c r="CR103" s="88">
        <v>31500</v>
      </c>
      <c r="CS103" s="88">
        <v>31500</v>
      </c>
      <c r="CT103" s="88">
        <v>31500</v>
      </c>
      <c r="CU103" s="88">
        <v>0</v>
      </c>
      <c r="CV103" s="88">
        <v>0</v>
      </c>
      <c r="CW103" s="88">
        <v>0</v>
      </c>
      <c r="CX103" s="88">
        <v>0</v>
      </c>
      <c r="CY103" s="88">
        <v>0</v>
      </c>
      <c r="CZ103" s="88">
        <v>0</v>
      </c>
      <c r="DA103" s="88">
        <v>0</v>
      </c>
      <c r="DB103" s="88">
        <v>0</v>
      </c>
      <c r="DC103" s="88">
        <v>0</v>
      </c>
      <c r="DD103" s="88">
        <v>0</v>
      </c>
      <c r="DE103" s="88">
        <v>0</v>
      </c>
      <c r="DF103" s="88">
        <v>0</v>
      </c>
      <c r="DG103" s="93"/>
      <c r="DH103" s="91"/>
      <c r="DJ103" s="93"/>
      <c r="DK103" s="91"/>
      <c r="DM103" s="93"/>
      <c r="DN103" s="91"/>
      <c r="DP103" s="93"/>
      <c r="DQ103" s="91"/>
    </row>
    <row r="104" spans="1:121" x14ac:dyDescent="0.3">
      <c r="A104" t="s">
        <v>24</v>
      </c>
      <c r="B104" t="s">
        <v>45</v>
      </c>
      <c r="C104" t="s">
        <v>94</v>
      </c>
      <c r="D104" t="s">
        <v>379</v>
      </c>
      <c r="E104" t="s">
        <v>467</v>
      </c>
      <c r="F104" s="86">
        <v>77000</v>
      </c>
      <c r="G104" s="87">
        <v>12</v>
      </c>
      <c r="H104" s="88">
        <v>1.06</v>
      </c>
      <c r="I104" s="88">
        <v>1.058125</v>
      </c>
      <c r="J104" s="89">
        <v>0.94299370897155343</v>
      </c>
      <c r="K104" s="88">
        <v>1.0017720023626699</v>
      </c>
      <c r="L104" s="88">
        <v>1.007429838568157</v>
      </c>
      <c r="M104" s="88">
        <v>1</v>
      </c>
      <c r="N104" s="90">
        <v>0.63600000000000001</v>
      </c>
      <c r="O104" s="90">
        <v>0.64186074421179817</v>
      </c>
      <c r="P104" s="90">
        <v>0.63400819015608645</v>
      </c>
      <c r="Q104" s="91">
        <v>0</v>
      </c>
      <c r="R104" s="88">
        <v>0.99999999999999978</v>
      </c>
      <c r="S104" s="88">
        <v>0.99686822351585935</v>
      </c>
      <c r="T104" s="91">
        <v>-1.768867924528128E-3</v>
      </c>
      <c r="U104" s="91">
        <v>1.7720023626699439E-3</v>
      </c>
      <c r="V104" s="87">
        <v>0</v>
      </c>
      <c r="W104" s="91">
        <v>0</v>
      </c>
      <c r="X104" s="87">
        <v>1</v>
      </c>
      <c r="Y104" s="90">
        <v>0.64186074421179817</v>
      </c>
      <c r="Z104" s="90">
        <v>0.63400819015608645</v>
      </c>
      <c r="AA104" s="92">
        <v>0</v>
      </c>
      <c r="AB104" s="88">
        <v>0</v>
      </c>
      <c r="AC104" s="87">
        <v>1</v>
      </c>
      <c r="AD104" s="87">
        <v>0</v>
      </c>
      <c r="AE104" s="88">
        <v>1.0149999999999999</v>
      </c>
      <c r="AF104" s="88">
        <v>1.012785937399076</v>
      </c>
      <c r="AG104" s="88">
        <v>1.027978646848646</v>
      </c>
      <c r="AH104" s="88">
        <v>81620</v>
      </c>
      <c r="AI104" s="88">
        <v>81475.625000000015</v>
      </c>
      <c r="AJ104" s="88">
        <v>72610.51559080962</v>
      </c>
      <c r="AK104" s="88">
        <v>77136.444181925574</v>
      </c>
      <c r="AL104" s="88">
        <v>77572.097569748104</v>
      </c>
      <c r="AM104" s="88">
        <v>77000</v>
      </c>
      <c r="AN104" s="88">
        <v>48972</v>
      </c>
      <c r="AO104" s="88">
        <v>49423.27730430846</v>
      </c>
      <c r="AP104" s="88">
        <v>48818.630642018659</v>
      </c>
      <c r="AQ104" s="88">
        <v>0</v>
      </c>
      <c r="AR104" s="88">
        <v>76999.999999999985</v>
      </c>
      <c r="AS104" s="88">
        <v>76758.853210721165</v>
      </c>
      <c r="AT104" s="88">
        <v>49423.27730430846</v>
      </c>
      <c r="AU104" s="88">
        <v>48818.630642018659</v>
      </c>
      <c r="AV104" s="88">
        <v>73150</v>
      </c>
      <c r="AW104" s="88">
        <v>72380</v>
      </c>
      <c r="AX104" s="88">
        <v>73535</v>
      </c>
      <c r="AY104" s="88">
        <v>77000</v>
      </c>
      <c r="AZ104" s="88">
        <v>77000</v>
      </c>
      <c r="BA104" s="88">
        <v>77000</v>
      </c>
      <c r="BB104" s="88">
        <v>77000</v>
      </c>
      <c r="BC104" s="88">
        <v>77000</v>
      </c>
      <c r="BD104" s="88">
        <v>77000</v>
      </c>
      <c r="BE104" s="88">
        <v>77000</v>
      </c>
      <c r="BF104" s="88">
        <v>77000</v>
      </c>
      <c r="BG104" s="88">
        <v>77000</v>
      </c>
      <c r="BH104" s="88">
        <v>77000</v>
      </c>
      <c r="BI104" s="88">
        <v>77000</v>
      </c>
      <c r="BJ104" s="88">
        <v>77000</v>
      </c>
      <c r="BK104" s="88">
        <v>5669.6855308978411</v>
      </c>
      <c r="BL104" s="88">
        <v>5668.5955978975126</v>
      </c>
      <c r="BM104" s="88">
        <v>5667.5079259966951</v>
      </c>
      <c r="BN104" s="88">
        <v>987.15637147005668</v>
      </c>
      <c r="BO104" s="88">
        <v>986.09998421117177</v>
      </c>
      <c r="BP104" s="88">
        <v>985.045855482207</v>
      </c>
      <c r="BQ104" s="88">
        <v>983.99397804788725</v>
      </c>
      <c r="BR104" s="88">
        <v>982.92715625528308</v>
      </c>
      <c r="BS104" s="88">
        <v>981.87979643884682</v>
      </c>
      <c r="BT104" s="88">
        <v>980.83466627890141</v>
      </c>
      <c r="BU104" s="88">
        <v>979.79175866315325</v>
      </c>
      <c r="BV104" s="88">
        <v>978.7510665095715</v>
      </c>
      <c r="BW104" s="88">
        <v>4620.0000000000045</v>
      </c>
      <c r="BX104" s="88">
        <v>4620.0000000000045</v>
      </c>
      <c r="BY104" s="88">
        <v>4620.0000000000045</v>
      </c>
      <c r="BZ104" s="88">
        <v>0</v>
      </c>
      <c r="CA104" s="88">
        <v>0</v>
      </c>
      <c r="CB104" s="88">
        <v>0</v>
      </c>
      <c r="CC104" s="88">
        <v>0</v>
      </c>
      <c r="CD104" s="88">
        <v>0</v>
      </c>
      <c r="CE104" s="88">
        <v>0</v>
      </c>
      <c r="CF104" s="88">
        <v>0</v>
      </c>
      <c r="CG104" s="88">
        <v>0</v>
      </c>
      <c r="CH104" s="88">
        <v>0</v>
      </c>
      <c r="CI104" s="88">
        <v>77000</v>
      </c>
      <c r="CJ104" s="88">
        <v>77000</v>
      </c>
      <c r="CK104" s="88">
        <v>77000</v>
      </c>
      <c r="CL104" s="88">
        <v>77000</v>
      </c>
      <c r="CM104" s="88">
        <v>77000</v>
      </c>
      <c r="CN104" s="88">
        <v>77000</v>
      </c>
      <c r="CO104" s="88">
        <v>77000</v>
      </c>
      <c r="CP104" s="88">
        <v>77000</v>
      </c>
      <c r="CQ104" s="88">
        <v>77000</v>
      </c>
      <c r="CR104" s="88">
        <v>77000</v>
      </c>
      <c r="CS104" s="88">
        <v>77000</v>
      </c>
      <c r="CT104" s="88">
        <v>77000</v>
      </c>
      <c r="CU104" s="88">
        <v>990.26936877153719</v>
      </c>
      <c r="CV104" s="88">
        <v>989.24113009199561</v>
      </c>
      <c r="CW104" s="88">
        <v>988.21502452518598</v>
      </c>
      <c r="CX104" s="88">
        <v>987.15637147005668</v>
      </c>
      <c r="CY104" s="88">
        <v>986.09998421117177</v>
      </c>
      <c r="CZ104" s="88">
        <v>985.045855482207</v>
      </c>
      <c r="DA104" s="88">
        <v>983.99397804788725</v>
      </c>
      <c r="DB104" s="88">
        <v>982.92715625528308</v>
      </c>
      <c r="DC104" s="88">
        <v>981.87979643884682</v>
      </c>
      <c r="DD104" s="88">
        <v>980.83466627890141</v>
      </c>
      <c r="DE104" s="88">
        <v>979.79175866315325</v>
      </c>
      <c r="DF104" s="88">
        <v>978.7510665095715</v>
      </c>
      <c r="DG104" s="93">
        <v>46113</v>
      </c>
      <c r="DH104" s="91">
        <v>0.06</v>
      </c>
      <c r="DI104" t="s">
        <v>301</v>
      </c>
      <c r="DJ104" s="93"/>
      <c r="DK104" s="91"/>
      <c r="DM104" s="93"/>
      <c r="DN104" s="91"/>
      <c r="DP104" s="93"/>
      <c r="DQ104" s="91"/>
    </row>
    <row r="105" spans="1:121" x14ac:dyDescent="0.3">
      <c r="A105" t="s">
        <v>24</v>
      </c>
      <c r="B105" t="s">
        <v>45</v>
      </c>
      <c r="C105" t="s">
        <v>95</v>
      </c>
      <c r="D105" t="s">
        <v>381</v>
      </c>
      <c r="E105" t="s">
        <v>468</v>
      </c>
      <c r="F105" s="86">
        <v>63000</v>
      </c>
      <c r="G105" s="87">
        <v>12</v>
      </c>
      <c r="H105" s="88">
        <v>1.02</v>
      </c>
      <c r="I105" s="88">
        <v>1.018888888888889</v>
      </c>
      <c r="J105" s="89">
        <v>0.93900209700948201</v>
      </c>
      <c r="K105" s="88">
        <v>1.001090512540894</v>
      </c>
      <c r="L105" s="88">
        <v>1.0117123305960061</v>
      </c>
      <c r="M105" s="88">
        <v>1</v>
      </c>
      <c r="N105" s="90">
        <v>0.62</v>
      </c>
      <c r="O105" s="90">
        <v>0.62794568165978493</v>
      </c>
      <c r="P105" s="90">
        <v>0.62949421609970324</v>
      </c>
      <c r="Q105" s="91">
        <v>0</v>
      </c>
      <c r="R105" s="88">
        <v>1</v>
      </c>
      <c r="S105" s="88">
        <v>1.0153132517737149</v>
      </c>
      <c r="T105" s="91">
        <v>-1.089324618736343E-3</v>
      </c>
      <c r="U105" s="91">
        <v>1.090512540893984E-3</v>
      </c>
      <c r="V105" s="87">
        <v>0</v>
      </c>
      <c r="W105" s="91">
        <v>0</v>
      </c>
      <c r="X105" s="87">
        <v>1</v>
      </c>
      <c r="Y105" s="90">
        <v>0.62794568165978493</v>
      </c>
      <c r="Z105" s="90">
        <v>0.62949421609970324</v>
      </c>
      <c r="AA105" s="92">
        <v>0</v>
      </c>
      <c r="AB105" s="88">
        <v>0</v>
      </c>
      <c r="AC105" s="87">
        <v>1</v>
      </c>
      <c r="AD105" s="87">
        <v>0</v>
      </c>
      <c r="AE105" s="88">
        <v>1.006666666666667</v>
      </c>
      <c r="AF105" s="88">
        <v>0.99575616743366657</v>
      </c>
      <c r="AG105" s="88">
        <v>1.0023945819007549</v>
      </c>
      <c r="AH105" s="88">
        <v>64260</v>
      </c>
      <c r="AI105" s="88">
        <v>64190.000000000007</v>
      </c>
      <c r="AJ105" s="88">
        <v>59157.13211159737</v>
      </c>
      <c r="AK105" s="88">
        <v>63068.702290076333</v>
      </c>
      <c r="AL105" s="88">
        <v>63737.876827548382</v>
      </c>
      <c r="AM105" s="88">
        <v>63000</v>
      </c>
      <c r="AN105" s="88">
        <v>39060</v>
      </c>
      <c r="AO105" s="88">
        <v>39560.577944566452</v>
      </c>
      <c r="AP105" s="88">
        <v>39658.135614281302</v>
      </c>
      <c r="AQ105" s="88">
        <v>0</v>
      </c>
      <c r="AR105" s="88">
        <v>63000.000000000007</v>
      </c>
      <c r="AS105" s="88">
        <v>63964.734861744022</v>
      </c>
      <c r="AT105" s="88">
        <v>39560.577944566452</v>
      </c>
      <c r="AU105" s="88">
        <v>39658.135614281302</v>
      </c>
      <c r="AV105" s="88">
        <v>59850</v>
      </c>
      <c r="AW105" s="88">
        <v>59220</v>
      </c>
      <c r="AX105" s="88">
        <v>58905</v>
      </c>
      <c r="AY105" s="88">
        <v>63000</v>
      </c>
      <c r="AZ105" s="88">
        <v>63000</v>
      </c>
      <c r="BA105" s="88">
        <v>63000</v>
      </c>
      <c r="BB105" s="88">
        <v>63000</v>
      </c>
      <c r="BC105" s="88">
        <v>63000</v>
      </c>
      <c r="BD105" s="88">
        <v>63000</v>
      </c>
      <c r="BE105" s="88">
        <v>63000</v>
      </c>
      <c r="BF105" s="88">
        <v>63000</v>
      </c>
      <c r="BG105" s="88">
        <v>63000</v>
      </c>
      <c r="BH105" s="88">
        <v>63000</v>
      </c>
      <c r="BI105" s="88">
        <v>63000</v>
      </c>
      <c r="BJ105" s="88">
        <v>63000</v>
      </c>
      <c r="BK105" s="88">
        <v>987.81771658341677</v>
      </c>
      <c r="BL105" s="88">
        <v>987.72450780089446</v>
      </c>
      <c r="BM105" s="88">
        <v>987.63123515784537</v>
      </c>
      <c r="BN105" s="88">
        <v>987.53473351611581</v>
      </c>
      <c r="BO105" s="88">
        <v>-267.21748679599608</v>
      </c>
      <c r="BP105" s="88">
        <v>-267.31223044998433</v>
      </c>
      <c r="BQ105" s="88">
        <v>-267.40704131173487</v>
      </c>
      <c r="BR105" s="88">
        <v>-267.50347539305119</v>
      </c>
      <c r="BS105" s="88">
        <v>-267.59842198973712</v>
      </c>
      <c r="BT105" s="88">
        <v>-267.69343601025639</v>
      </c>
      <c r="BU105" s="88">
        <v>-267.78851752648382</v>
      </c>
      <c r="BV105" s="88">
        <v>-267.88366661034968</v>
      </c>
      <c r="BW105" s="88">
        <v>1260.0000000000009</v>
      </c>
      <c r="BX105" s="88">
        <v>1260.0000000000009</v>
      </c>
      <c r="BY105" s="88">
        <v>1260.0000000000009</v>
      </c>
      <c r="BZ105" s="88">
        <v>1260.0000000000009</v>
      </c>
      <c r="CA105" s="88">
        <v>0</v>
      </c>
      <c r="CB105" s="88">
        <v>0</v>
      </c>
      <c r="CC105" s="88">
        <v>0</v>
      </c>
      <c r="CD105" s="88">
        <v>0</v>
      </c>
      <c r="CE105" s="88">
        <v>0</v>
      </c>
      <c r="CF105" s="88">
        <v>0</v>
      </c>
      <c r="CG105" s="88">
        <v>0</v>
      </c>
      <c r="CH105" s="88">
        <v>0</v>
      </c>
      <c r="CI105" s="88">
        <v>63000</v>
      </c>
      <c r="CJ105" s="88">
        <v>63000</v>
      </c>
      <c r="CK105" s="88">
        <v>63000</v>
      </c>
      <c r="CL105" s="88">
        <v>63000</v>
      </c>
      <c r="CM105" s="88">
        <v>63000</v>
      </c>
      <c r="CN105" s="88">
        <v>63000</v>
      </c>
      <c r="CO105" s="88">
        <v>63000</v>
      </c>
      <c r="CP105" s="88">
        <v>63000</v>
      </c>
      <c r="CQ105" s="88">
        <v>63000</v>
      </c>
      <c r="CR105" s="88">
        <v>63000</v>
      </c>
      <c r="CS105" s="88">
        <v>63000</v>
      </c>
      <c r="CT105" s="88">
        <v>63000</v>
      </c>
      <c r="CU105" s="88">
        <v>-266.84537589861282</v>
      </c>
      <c r="CV105" s="88">
        <v>-266.93675705794328</v>
      </c>
      <c r="CW105" s="88">
        <v>-267.02820082564119</v>
      </c>
      <c r="CX105" s="88">
        <v>-267.12281027832239</v>
      </c>
      <c r="CY105" s="88">
        <v>-267.21748679599608</v>
      </c>
      <c r="CZ105" s="88">
        <v>-267.31223044998433</v>
      </c>
      <c r="DA105" s="88">
        <v>-267.40704131173487</v>
      </c>
      <c r="DB105" s="88">
        <v>-267.50347539305119</v>
      </c>
      <c r="DC105" s="88">
        <v>-267.59842198973712</v>
      </c>
      <c r="DD105" s="88">
        <v>-267.69343601025639</v>
      </c>
      <c r="DE105" s="88">
        <v>-267.78851752648382</v>
      </c>
      <c r="DF105" s="88">
        <v>-267.88366661034968</v>
      </c>
      <c r="DG105" s="93">
        <v>46143</v>
      </c>
      <c r="DH105" s="91">
        <v>0.02</v>
      </c>
      <c r="DI105" t="s">
        <v>301</v>
      </c>
      <c r="DJ105" s="93"/>
      <c r="DK105" s="91"/>
      <c r="DM105" s="93"/>
      <c r="DN105" s="91"/>
      <c r="DP105" s="93"/>
      <c r="DQ105" s="91"/>
    </row>
    <row r="106" spans="1:121" x14ac:dyDescent="0.3">
      <c r="A106" t="s">
        <v>24</v>
      </c>
      <c r="B106" t="s">
        <v>45</v>
      </c>
      <c r="C106" t="s">
        <v>96</v>
      </c>
      <c r="D106" t="s">
        <v>383</v>
      </c>
      <c r="E106" t="s">
        <v>469</v>
      </c>
      <c r="F106" s="86">
        <v>49000</v>
      </c>
      <c r="G106" s="87">
        <v>12</v>
      </c>
      <c r="H106" s="88">
        <v>1</v>
      </c>
      <c r="I106" s="88">
        <v>1.016805555555556</v>
      </c>
      <c r="J106" s="89">
        <v>0.94199580598103549</v>
      </c>
      <c r="K106" s="88">
        <v>0.98347220325092199</v>
      </c>
      <c r="L106" s="88">
        <v>1.008497059082581</v>
      </c>
      <c r="M106" s="88">
        <v>1</v>
      </c>
      <c r="N106" s="90">
        <v>0.60399999999999998</v>
      </c>
      <c r="O106" s="90">
        <v>0.59906461009948475</v>
      </c>
      <c r="P106" s="90">
        <v>0.58166949218290265</v>
      </c>
      <c r="Q106" s="91">
        <v>0</v>
      </c>
      <c r="R106" s="88">
        <v>0.96166688927474264</v>
      </c>
      <c r="S106" s="88">
        <v>1.001416364968128</v>
      </c>
      <c r="T106" s="91">
        <v>1.6805555555555522E-2</v>
      </c>
      <c r="U106" s="91">
        <v>2.2674498019396468E-2</v>
      </c>
      <c r="V106" s="87">
        <v>0</v>
      </c>
      <c r="W106" s="91">
        <v>0</v>
      </c>
      <c r="X106" s="87">
        <v>1</v>
      </c>
      <c r="Y106" s="90">
        <v>0.59906461009948475</v>
      </c>
      <c r="Z106" s="90">
        <v>0.58166949218290265</v>
      </c>
      <c r="AA106" s="92">
        <v>0</v>
      </c>
      <c r="AB106" s="88">
        <v>0</v>
      </c>
      <c r="AC106" s="87">
        <v>0</v>
      </c>
      <c r="AD106" s="87">
        <v>1</v>
      </c>
      <c r="AE106" s="88">
        <v>1.036666666666666</v>
      </c>
      <c r="AF106" s="88">
        <v>1.008514817427199</v>
      </c>
      <c r="AG106" s="88">
        <v>1.045493583760037</v>
      </c>
      <c r="AH106" s="88">
        <v>49000</v>
      </c>
      <c r="AI106" s="88">
        <v>49823.472222222219</v>
      </c>
      <c r="AJ106" s="88">
        <v>46157.794493070738</v>
      </c>
      <c r="AK106" s="88">
        <v>48190.137959295178</v>
      </c>
      <c r="AL106" s="88">
        <v>49416.355895046472</v>
      </c>
      <c r="AM106" s="88">
        <v>49000</v>
      </c>
      <c r="AN106" s="88">
        <v>29596</v>
      </c>
      <c r="AO106" s="88">
        <v>29354.16589487475</v>
      </c>
      <c r="AP106" s="88">
        <v>28501.80511696223</v>
      </c>
      <c r="AQ106" s="88">
        <v>0</v>
      </c>
      <c r="AR106" s="88">
        <v>47121.677574462388</v>
      </c>
      <c r="AS106" s="88">
        <v>49069.401883438251</v>
      </c>
      <c r="AT106" s="88">
        <v>29354.16589487475</v>
      </c>
      <c r="AU106" s="88">
        <v>28501.80511696223</v>
      </c>
      <c r="AV106" s="88">
        <v>46550</v>
      </c>
      <c r="AW106" s="88">
        <v>46060</v>
      </c>
      <c r="AX106" s="88">
        <v>46550</v>
      </c>
      <c r="AY106" s="88">
        <v>49000</v>
      </c>
      <c r="AZ106" s="88">
        <v>49000</v>
      </c>
      <c r="BA106" s="88">
        <v>49000</v>
      </c>
      <c r="BB106" s="88">
        <v>49000</v>
      </c>
      <c r="BC106" s="88">
        <v>49000</v>
      </c>
      <c r="BD106" s="88">
        <v>49000</v>
      </c>
      <c r="BE106" s="88">
        <v>49000</v>
      </c>
      <c r="BF106" s="88">
        <v>49000</v>
      </c>
      <c r="BG106" s="88">
        <v>49000</v>
      </c>
      <c r="BH106" s="88">
        <v>49000</v>
      </c>
      <c r="BI106" s="88">
        <v>49000</v>
      </c>
      <c r="BJ106" s="88">
        <v>49000</v>
      </c>
      <c r="BK106" s="88">
        <v>418.84755447828792</v>
      </c>
      <c r="BL106" s="88">
        <v>2395.3007254856138</v>
      </c>
      <c r="BM106" s="88">
        <v>2395.0004092657809</v>
      </c>
      <c r="BN106" s="88">
        <v>2394.6903482122061</v>
      </c>
      <c r="BO106" s="88">
        <v>2394.3807288565108</v>
      </c>
      <c r="BP106" s="88">
        <v>2394.0715502555372</v>
      </c>
      <c r="BQ106" s="88">
        <v>2393.7628114688218</v>
      </c>
      <c r="BR106" s="88">
        <v>2393.4494611127361</v>
      </c>
      <c r="BS106" s="88">
        <v>2393.1416063153511</v>
      </c>
      <c r="BT106" s="88">
        <v>2392.8341885115269</v>
      </c>
      <c r="BU106" s="88">
        <v>2392.5272067714641</v>
      </c>
      <c r="BV106" s="88">
        <v>2392.2206601680082</v>
      </c>
      <c r="BW106" s="88">
        <v>0</v>
      </c>
      <c r="BX106" s="88">
        <v>1960.000000000002</v>
      </c>
      <c r="BY106" s="88">
        <v>1960.000000000002</v>
      </c>
      <c r="BZ106" s="88">
        <v>1960.000000000002</v>
      </c>
      <c r="CA106" s="88">
        <v>1960.000000000002</v>
      </c>
      <c r="CB106" s="88">
        <v>1960.000000000002</v>
      </c>
      <c r="CC106" s="88">
        <v>1960.000000000002</v>
      </c>
      <c r="CD106" s="88">
        <v>1960.000000000002</v>
      </c>
      <c r="CE106" s="88">
        <v>1960.000000000002</v>
      </c>
      <c r="CF106" s="88">
        <v>1960.000000000002</v>
      </c>
      <c r="CG106" s="88">
        <v>1960.000000000002</v>
      </c>
      <c r="CH106" s="88">
        <v>1960.000000000002</v>
      </c>
      <c r="CI106" s="88">
        <v>49000</v>
      </c>
      <c r="CJ106" s="88">
        <v>49000</v>
      </c>
      <c r="CK106" s="88">
        <v>49000</v>
      </c>
      <c r="CL106" s="88">
        <v>49000</v>
      </c>
      <c r="CM106" s="88">
        <v>49000</v>
      </c>
      <c r="CN106" s="88">
        <v>49000</v>
      </c>
      <c r="CO106" s="88">
        <v>49000</v>
      </c>
      <c r="CP106" s="88">
        <v>49000</v>
      </c>
      <c r="CQ106" s="88">
        <v>49000</v>
      </c>
      <c r="CR106" s="88">
        <v>49000</v>
      </c>
      <c r="CS106" s="88">
        <v>49000</v>
      </c>
      <c r="CT106" s="88">
        <v>49000</v>
      </c>
      <c r="CU106" s="88">
        <v>418.84755447828792</v>
      </c>
      <c r="CV106" s="88">
        <v>418.55838989000779</v>
      </c>
      <c r="CW106" s="88">
        <v>418.26962429402028</v>
      </c>
      <c r="CX106" s="88">
        <v>417.971488665577</v>
      </c>
      <c r="CY106" s="88">
        <v>417.67377774663822</v>
      </c>
      <c r="CZ106" s="88">
        <v>417.37649063031859</v>
      </c>
      <c r="DA106" s="88">
        <v>417.07962641232251</v>
      </c>
      <c r="DB106" s="88">
        <v>416.77832799301223</v>
      </c>
      <c r="DC106" s="88">
        <v>416.48231376475599</v>
      </c>
      <c r="DD106" s="88">
        <v>416.18671972262138</v>
      </c>
      <c r="DE106" s="88">
        <v>415.89154497256197</v>
      </c>
      <c r="DF106" s="88">
        <v>415.59678862308778</v>
      </c>
      <c r="DG106" s="93">
        <v>46419</v>
      </c>
      <c r="DH106" s="91">
        <v>0.04</v>
      </c>
      <c r="DI106" t="s">
        <v>302</v>
      </c>
      <c r="DJ106" s="93"/>
      <c r="DK106" s="91"/>
      <c r="DM106" s="93"/>
      <c r="DN106" s="91"/>
      <c r="DP106" s="93"/>
      <c r="DQ106" s="91"/>
    </row>
    <row r="107" spans="1:121" x14ac:dyDescent="0.3">
      <c r="A107" t="s">
        <v>24</v>
      </c>
      <c r="B107" t="s">
        <v>47</v>
      </c>
      <c r="C107" t="s">
        <v>43</v>
      </c>
      <c r="D107" t="s">
        <v>385</v>
      </c>
      <c r="E107" t="s">
        <v>470</v>
      </c>
      <c r="F107" s="86">
        <v>35000</v>
      </c>
      <c r="G107" s="87">
        <v>12</v>
      </c>
      <c r="H107" s="88">
        <v>1.04</v>
      </c>
      <c r="I107" s="88">
        <v>1.0349999999999999</v>
      </c>
      <c r="J107" s="89">
        <v>0.93800419401896429</v>
      </c>
      <c r="K107" s="88">
        <v>1.0048309178743959</v>
      </c>
      <c r="L107" s="88">
        <v>1.012788648555651</v>
      </c>
      <c r="M107" s="88">
        <v>1</v>
      </c>
      <c r="N107" s="90">
        <v>0.63200000000000001</v>
      </c>
      <c r="O107" s="90">
        <v>0.64317461151947686</v>
      </c>
      <c r="P107" s="90">
        <v>0.64466000719123795</v>
      </c>
      <c r="Q107" s="91">
        <v>0</v>
      </c>
      <c r="R107" s="88">
        <v>0.99999999999999978</v>
      </c>
      <c r="S107" s="88">
        <v>1.020031656948162</v>
      </c>
      <c r="T107" s="91">
        <v>-4.8076923076921796E-3</v>
      </c>
      <c r="U107" s="91">
        <v>4.8309178743961567E-3</v>
      </c>
      <c r="V107" s="87">
        <v>0</v>
      </c>
      <c r="W107" s="91">
        <v>0</v>
      </c>
      <c r="X107" s="87">
        <v>1</v>
      </c>
      <c r="Y107" s="90">
        <v>0.64317461151947686</v>
      </c>
      <c r="Z107" s="90">
        <v>0.64466000719123795</v>
      </c>
      <c r="AA107" s="92">
        <v>0</v>
      </c>
      <c r="AB107" s="88">
        <v>0</v>
      </c>
      <c r="AC107" s="87">
        <v>1</v>
      </c>
      <c r="AD107" s="87">
        <v>0</v>
      </c>
      <c r="AE107" s="88">
        <v>1.02</v>
      </c>
      <c r="AF107" s="88">
        <v>0.99152129657519972</v>
      </c>
      <c r="AG107" s="88">
        <v>1.0113520827718789</v>
      </c>
      <c r="AH107" s="88">
        <v>36400</v>
      </c>
      <c r="AI107" s="88">
        <v>36225.000000000007</v>
      </c>
      <c r="AJ107" s="88">
        <v>32830.146790663748</v>
      </c>
      <c r="AK107" s="88">
        <v>35169.082125603847</v>
      </c>
      <c r="AL107" s="88">
        <v>35447.602699447802</v>
      </c>
      <c r="AM107" s="88">
        <v>35000</v>
      </c>
      <c r="AN107" s="88">
        <v>22120</v>
      </c>
      <c r="AO107" s="88">
        <v>22511.111403181691</v>
      </c>
      <c r="AP107" s="88">
        <v>22563.100251693329</v>
      </c>
      <c r="AQ107" s="88">
        <v>0</v>
      </c>
      <c r="AR107" s="88">
        <v>34999.999999999993</v>
      </c>
      <c r="AS107" s="88">
        <v>35701.107993185651</v>
      </c>
      <c r="AT107" s="88">
        <v>22511.111403181691</v>
      </c>
      <c r="AU107" s="88">
        <v>22563.100251693329</v>
      </c>
      <c r="AV107" s="88">
        <v>33250</v>
      </c>
      <c r="AW107" s="88">
        <v>32900</v>
      </c>
      <c r="AX107" s="88">
        <v>32550</v>
      </c>
      <c r="AY107" s="88">
        <v>35000</v>
      </c>
      <c r="AZ107" s="88">
        <v>35000</v>
      </c>
      <c r="BA107" s="88">
        <v>35000</v>
      </c>
      <c r="BB107" s="88">
        <v>35000</v>
      </c>
      <c r="BC107" s="88">
        <v>35000</v>
      </c>
      <c r="BD107" s="88">
        <v>35000</v>
      </c>
      <c r="BE107" s="88">
        <v>35000</v>
      </c>
      <c r="BF107" s="88">
        <v>35000</v>
      </c>
      <c r="BG107" s="88">
        <v>35000</v>
      </c>
      <c r="BH107" s="88">
        <v>35000</v>
      </c>
      <c r="BI107" s="88">
        <v>35000</v>
      </c>
      <c r="BJ107" s="88">
        <v>35000</v>
      </c>
      <c r="BK107" s="88">
        <v>1092.564010598049</v>
      </c>
      <c r="BL107" s="88">
        <v>1092.3540036122879</v>
      </c>
      <c r="BM107" s="88">
        <v>1092.143709522325</v>
      </c>
      <c r="BN107" s="88">
        <v>1091.9259843250061</v>
      </c>
      <c r="BO107" s="88">
        <v>1091.7079509461651</v>
      </c>
      <c r="BP107" s="88">
        <v>1091.4896087309919</v>
      </c>
      <c r="BQ107" s="88">
        <v>-296.85484901647959</v>
      </c>
      <c r="BR107" s="88">
        <v>-297.0688432336882</v>
      </c>
      <c r="BS107" s="88">
        <v>-297.27968724547469</v>
      </c>
      <c r="BT107" s="88">
        <v>-297.49083076206489</v>
      </c>
      <c r="BU107" s="88">
        <v>-297.70227442206749</v>
      </c>
      <c r="BV107" s="88">
        <v>-297.91401886594463</v>
      </c>
      <c r="BW107" s="88">
        <v>1400.0000000000009</v>
      </c>
      <c r="BX107" s="88">
        <v>1400.0000000000009</v>
      </c>
      <c r="BY107" s="88">
        <v>1400.0000000000009</v>
      </c>
      <c r="BZ107" s="88">
        <v>1400.0000000000009</v>
      </c>
      <c r="CA107" s="88">
        <v>1400.0000000000009</v>
      </c>
      <c r="CB107" s="88">
        <v>1400.0000000000009</v>
      </c>
      <c r="CC107" s="88">
        <v>0</v>
      </c>
      <c r="CD107" s="88">
        <v>0</v>
      </c>
      <c r="CE107" s="88">
        <v>0</v>
      </c>
      <c r="CF107" s="88">
        <v>0</v>
      </c>
      <c r="CG107" s="88">
        <v>0</v>
      </c>
      <c r="CH107" s="88">
        <v>0</v>
      </c>
      <c r="CI107" s="88">
        <v>35000</v>
      </c>
      <c r="CJ107" s="88">
        <v>35000</v>
      </c>
      <c r="CK107" s="88">
        <v>35000</v>
      </c>
      <c r="CL107" s="88">
        <v>35000</v>
      </c>
      <c r="CM107" s="88">
        <v>35000</v>
      </c>
      <c r="CN107" s="88">
        <v>35000</v>
      </c>
      <c r="CO107" s="88">
        <v>35000</v>
      </c>
      <c r="CP107" s="88">
        <v>35000</v>
      </c>
      <c r="CQ107" s="88">
        <v>35000</v>
      </c>
      <c r="CR107" s="88">
        <v>35000</v>
      </c>
      <c r="CS107" s="88">
        <v>35000</v>
      </c>
      <c r="CT107" s="88">
        <v>35000</v>
      </c>
      <c r="CU107" s="88">
        <v>-295.61152827110692</v>
      </c>
      <c r="CV107" s="88">
        <v>-295.81345806511058</v>
      </c>
      <c r="CW107" s="88">
        <v>-296.01566392084061</v>
      </c>
      <c r="CX107" s="88">
        <v>-296.2250150721124</v>
      </c>
      <c r="CY107" s="88">
        <v>-296.43466255176833</v>
      </c>
      <c r="CZ107" s="88">
        <v>-296.64460698943287</v>
      </c>
      <c r="DA107" s="88">
        <v>-296.85484901647959</v>
      </c>
      <c r="DB107" s="88">
        <v>-297.0688432336882</v>
      </c>
      <c r="DC107" s="88">
        <v>-297.27968724547469</v>
      </c>
      <c r="DD107" s="88">
        <v>-297.49083076206489</v>
      </c>
      <c r="DE107" s="88">
        <v>-297.70227442206749</v>
      </c>
      <c r="DF107" s="88">
        <v>-297.91401886594463</v>
      </c>
      <c r="DG107" s="93">
        <v>46204</v>
      </c>
      <c r="DH107" s="91">
        <v>0.04</v>
      </c>
      <c r="DI107" t="s">
        <v>301</v>
      </c>
      <c r="DJ107" s="93"/>
      <c r="DK107" s="91"/>
      <c r="DM107" s="93"/>
      <c r="DN107" s="91"/>
      <c r="DP107" s="93"/>
      <c r="DQ107" s="91"/>
    </row>
    <row r="108" spans="1:121" x14ac:dyDescent="0.3">
      <c r="A108" t="s">
        <v>24</v>
      </c>
      <c r="B108" t="s">
        <v>47</v>
      </c>
      <c r="C108" t="s">
        <v>46</v>
      </c>
      <c r="D108" t="s">
        <v>387</v>
      </c>
      <c r="E108" t="s">
        <v>471</v>
      </c>
      <c r="F108" s="86">
        <v>80500</v>
      </c>
      <c r="G108" s="87">
        <v>12</v>
      </c>
      <c r="H108" s="88">
        <v>1.05</v>
      </c>
      <c r="I108" s="88">
        <v>1.041493055555555</v>
      </c>
      <c r="J108" s="89">
        <v>0.94099790299051811</v>
      </c>
      <c r="K108" s="88">
        <v>1.0081680280046681</v>
      </c>
      <c r="L108" s="88">
        <v>1.009566543114361</v>
      </c>
      <c r="M108" s="88">
        <v>1</v>
      </c>
      <c r="N108" s="90">
        <v>0.61599999999999999</v>
      </c>
      <c r="O108" s="90">
        <v>0.62697262992123415</v>
      </c>
      <c r="P108" s="90">
        <v>0.61969981783741845</v>
      </c>
      <c r="Q108" s="91">
        <v>0</v>
      </c>
      <c r="R108" s="88">
        <v>1</v>
      </c>
      <c r="S108" s="88">
        <v>1.006006197788017</v>
      </c>
      <c r="T108" s="91">
        <v>-8.1018518518519711E-3</v>
      </c>
      <c r="U108" s="91">
        <v>8.168028004667649E-3</v>
      </c>
      <c r="V108" s="87">
        <v>0</v>
      </c>
      <c r="W108" s="91">
        <v>0</v>
      </c>
      <c r="X108" s="87">
        <v>1</v>
      </c>
      <c r="Y108" s="90">
        <v>0.62697262992123415</v>
      </c>
      <c r="Z108" s="90">
        <v>0.61969981783741845</v>
      </c>
      <c r="AA108" s="92">
        <v>0</v>
      </c>
      <c r="AB108" s="88">
        <v>0</v>
      </c>
      <c r="AC108" s="87">
        <v>1</v>
      </c>
      <c r="AD108" s="87">
        <v>0</v>
      </c>
      <c r="AE108" s="88">
        <v>1.029166666666667</v>
      </c>
      <c r="AF108" s="88">
        <v>1.004252860915166</v>
      </c>
      <c r="AG108" s="88">
        <v>1.0335436795785271</v>
      </c>
      <c r="AH108" s="88">
        <v>84525</v>
      </c>
      <c r="AI108" s="88">
        <v>83840.190972222219</v>
      </c>
      <c r="AJ108" s="88">
        <v>75750.331190736702</v>
      </c>
      <c r="AK108" s="88">
        <v>81157.526254375742</v>
      </c>
      <c r="AL108" s="88">
        <v>81270.106720706041</v>
      </c>
      <c r="AM108" s="88">
        <v>80500</v>
      </c>
      <c r="AN108" s="88">
        <v>49588</v>
      </c>
      <c r="AO108" s="88">
        <v>50471.296708659349</v>
      </c>
      <c r="AP108" s="88">
        <v>49885.835335912183</v>
      </c>
      <c r="AQ108" s="88">
        <v>0</v>
      </c>
      <c r="AR108" s="88">
        <v>80500</v>
      </c>
      <c r="AS108" s="88">
        <v>80983.498921935374</v>
      </c>
      <c r="AT108" s="88">
        <v>50471.296708659349</v>
      </c>
      <c r="AU108" s="88">
        <v>49885.835335912183</v>
      </c>
      <c r="AV108" s="88">
        <v>76475</v>
      </c>
      <c r="AW108" s="88">
        <v>75670</v>
      </c>
      <c r="AX108" s="88">
        <v>76072.5</v>
      </c>
      <c r="AY108" s="88">
        <v>80500</v>
      </c>
      <c r="AZ108" s="88">
        <v>80500</v>
      </c>
      <c r="BA108" s="88">
        <v>80500</v>
      </c>
      <c r="BB108" s="88">
        <v>80500</v>
      </c>
      <c r="BC108" s="88">
        <v>80500</v>
      </c>
      <c r="BD108" s="88">
        <v>80500</v>
      </c>
      <c r="BE108" s="88">
        <v>80500</v>
      </c>
      <c r="BF108" s="88">
        <v>80500</v>
      </c>
      <c r="BG108" s="88">
        <v>80500</v>
      </c>
      <c r="BH108" s="88">
        <v>80500</v>
      </c>
      <c r="BI108" s="88">
        <v>80500</v>
      </c>
      <c r="BJ108" s="88">
        <v>80500</v>
      </c>
      <c r="BK108" s="88">
        <v>4385.1700356648807</v>
      </c>
      <c r="BL108" s="88">
        <v>4385.046039118668</v>
      </c>
      <c r="BM108" s="88">
        <v>4384.9221279202111</v>
      </c>
      <c r="BN108" s="88">
        <v>4384.7941059849818</v>
      </c>
      <c r="BO108" s="88">
        <v>4384.6661750904941</v>
      </c>
      <c r="BP108" s="88">
        <v>4384.5383351396722</v>
      </c>
      <c r="BQ108" s="88">
        <v>4384.4105860355821</v>
      </c>
      <c r="BR108" s="88">
        <v>342.1722244542571</v>
      </c>
      <c r="BS108" s="88">
        <v>342.05073282034829</v>
      </c>
      <c r="BT108" s="88">
        <v>341.92932742940928</v>
      </c>
      <c r="BU108" s="88">
        <v>341.80800818967168</v>
      </c>
      <c r="BV108" s="88">
        <v>341.68677500943897</v>
      </c>
      <c r="BW108" s="88">
        <v>4025.0000000000041</v>
      </c>
      <c r="BX108" s="88">
        <v>4025.0000000000041</v>
      </c>
      <c r="BY108" s="88">
        <v>4025.0000000000041</v>
      </c>
      <c r="BZ108" s="88">
        <v>4025.0000000000041</v>
      </c>
      <c r="CA108" s="88">
        <v>4025.0000000000041</v>
      </c>
      <c r="CB108" s="88">
        <v>4025.0000000000041</v>
      </c>
      <c r="CC108" s="88">
        <v>4025.0000000000041</v>
      </c>
      <c r="CD108" s="88">
        <v>0</v>
      </c>
      <c r="CE108" s="88">
        <v>0</v>
      </c>
      <c r="CF108" s="88">
        <v>0</v>
      </c>
      <c r="CG108" s="88">
        <v>0</v>
      </c>
      <c r="CH108" s="88">
        <v>0</v>
      </c>
      <c r="CI108" s="88">
        <v>80500</v>
      </c>
      <c r="CJ108" s="88">
        <v>80500</v>
      </c>
      <c r="CK108" s="88">
        <v>80500</v>
      </c>
      <c r="CL108" s="88">
        <v>80500</v>
      </c>
      <c r="CM108" s="88">
        <v>80500</v>
      </c>
      <c r="CN108" s="88">
        <v>80500</v>
      </c>
      <c r="CO108" s="88">
        <v>80500</v>
      </c>
      <c r="CP108" s="88">
        <v>80500</v>
      </c>
      <c r="CQ108" s="88">
        <v>80500</v>
      </c>
      <c r="CR108" s="88">
        <v>80500</v>
      </c>
      <c r="CS108" s="88">
        <v>80500</v>
      </c>
      <c r="CT108" s="88">
        <v>80500</v>
      </c>
      <c r="CU108" s="88">
        <v>343.01908158560087</v>
      </c>
      <c r="CV108" s="88">
        <v>342.90098963681783</v>
      </c>
      <c r="CW108" s="88">
        <v>342.7829789716277</v>
      </c>
      <c r="CX108" s="88">
        <v>342.66105331902662</v>
      </c>
      <c r="CY108" s="88">
        <v>342.53921437190019</v>
      </c>
      <c r="CZ108" s="88">
        <v>342.41746203778342</v>
      </c>
      <c r="DA108" s="88">
        <v>342.29579622435358</v>
      </c>
      <c r="DB108" s="88">
        <v>342.1722244542571</v>
      </c>
      <c r="DC108" s="88">
        <v>342.05073282034829</v>
      </c>
      <c r="DD108" s="88">
        <v>341.92932742940928</v>
      </c>
      <c r="DE108" s="88">
        <v>341.80800818967168</v>
      </c>
      <c r="DF108" s="88">
        <v>341.68677500943897</v>
      </c>
      <c r="DG108" s="93">
        <v>46235</v>
      </c>
      <c r="DH108" s="91">
        <v>0.05</v>
      </c>
      <c r="DI108" t="s">
        <v>301</v>
      </c>
      <c r="DJ108" s="93"/>
      <c r="DK108" s="91"/>
      <c r="DM108" s="93"/>
      <c r="DN108" s="91"/>
      <c r="DP108" s="93"/>
      <c r="DQ108" s="91"/>
    </row>
    <row r="109" spans="1:121" x14ac:dyDescent="0.3">
      <c r="A109" t="s">
        <v>24</v>
      </c>
      <c r="B109" t="s">
        <v>47</v>
      </c>
      <c r="C109" t="s">
        <v>48</v>
      </c>
      <c r="D109" t="s">
        <v>389</v>
      </c>
      <c r="E109" t="s">
        <v>472</v>
      </c>
      <c r="F109" s="86">
        <v>66500</v>
      </c>
      <c r="G109" s="87">
        <v>12</v>
      </c>
      <c r="H109" s="88">
        <v>1</v>
      </c>
      <c r="I109" s="88">
        <v>1</v>
      </c>
      <c r="J109" s="89">
        <v>0.9439916119620716</v>
      </c>
      <c r="K109" s="88">
        <v>1</v>
      </c>
      <c r="L109" s="88">
        <v>1.0063648743927289</v>
      </c>
      <c r="M109" s="88">
        <v>1</v>
      </c>
      <c r="N109" s="90">
        <v>0.6</v>
      </c>
      <c r="O109" s="90">
        <v>0.60381892463563736</v>
      </c>
      <c r="P109" s="90">
        <v>0.59541672476959318</v>
      </c>
      <c r="Q109" s="91">
        <v>0</v>
      </c>
      <c r="R109" s="88">
        <v>1</v>
      </c>
      <c r="S109" s="88">
        <v>0.99236120794932203</v>
      </c>
      <c r="T109" s="91">
        <v>0</v>
      </c>
      <c r="U109" s="91">
        <v>0</v>
      </c>
      <c r="V109" s="87">
        <v>0</v>
      </c>
      <c r="W109" s="91">
        <v>0</v>
      </c>
      <c r="X109" s="87">
        <v>1</v>
      </c>
      <c r="Y109" s="90">
        <v>0.60381892463563736</v>
      </c>
      <c r="Z109" s="90">
        <v>0.59541672476959318</v>
      </c>
      <c r="AA109" s="92">
        <v>0</v>
      </c>
      <c r="AB109" s="88">
        <v>0</v>
      </c>
      <c r="AC109" s="87">
        <v>0</v>
      </c>
      <c r="AD109" s="87">
        <v>0</v>
      </c>
      <c r="AE109" s="88">
        <v>1</v>
      </c>
      <c r="AF109" s="88">
        <v>1.017066289316704</v>
      </c>
      <c r="AG109" s="88">
        <v>1.017066289316704</v>
      </c>
      <c r="AH109" s="88">
        <v>66500</v>
      </c>
      <c r="AI109" s="88">
        <v>66500</v>
      </c>
      <c r="AJ109" s="88">
        <v>62775.442195477757</v>
      </c>
      <c r="AK109" s="88">
        <v>66500</v>
      </c>
      <c r="AL109" s="88">
        <v>66923.264147116468</v>
      </c>
      <c r="AM109" s="88">
        <v>66500</v>
      </c>
      <c r="AN109" s="88">
        <v>39900</v>
      </c>
      <c r="AO109" s="88">
        <v>40153.958488269876</v>
      </c>
      <c r="AP109" s="88">
        <v>39595.212197177949</v>
      </c>
      <c r="AQ109" s="88">
        <v>0</v>
      </c>
      <c r="AR109" s="88">
        <v>66500</v>
      </c>
      <c r="AS109" s="88">
        <v>65992.020328629922</v>
      </c>
      <c r="AT109" s="88">
        <v>40153.958488269876</v>
      </c>
      <c r="AU109" s="88">
        <v>39595.212197177949</v>
      </c>
      <c r="AV109" s="88">
        <v>63175</v>
      </c>
      <c r="AW109" s="88">
        <v>62510</v>
      </c>
      <c r="AX109" s="88">
        <v>63840</v>
      </c>
      <c r="AY109" s="88">
        <v>66500</v>
      </c>
      <c r="AZ109" s="88">
        <v>66500</v>
      </c>
      <c r="BA109" s="88">
        <v>66500</v>
      </c>
      <c r="BB109" s="88">
        <v>66500</v>
      </c>
      <c r="BC109" s="88">
        <v>66500</v>
      </c>
      <c r="BD109" s="88">
        <v>66500</v>
      </c>
      <c r="BE109" s="88">
        <v>66500</v>
      </c>
      <c r="BF109" s="88">
        <v>66500</v>
      </c>
      <c r="BG109" s="88">
        <v>66500</v>
      </c>
      <c r="BH109" s="88">
        <v>66500</v>
      </c>
      <c r="BI109" s="88">
        <v>66500</v>
      </c>
      <c r="BJ109" s="88">
        <v>66500</v>
      </c>
      <c r="BK109" s="88">
        <v>1143.76929057796</v>
      </c>
      <c r="BL109" s="88">
        <v>1142.181544397914</v>
      </c>
      <c r="BM109" s="88">
        <v>1140.598200230266</v>
      </c>
      <c r="BN109" s="88">
        <v>1138.9657923138329</v>
      </c>
      <c r="BO109" s="88">
        <v>1137.338050277629</v>
      </c>
      <c r="BP109" s="88">
        <v>1135.714954145621</v>
      </c>
      <c r="BQ109" s="88">
        <v>1134.0964840556051</v>
      </c>
      <c r="BR109" s="88">
        <v>1132.456201740272</v>
      </c>
      <c r="BS109" s="88">
        <v>1130.8469996272929</v>
      </c>
      <c r="BT109" s="88">
        <v>1129.242364325748</v>
      </c>
      <c r="BU109" s="88">
        <v>1127.6422764227641</v>
      </c>
      <c r="BV109" s="88">
        <v>1126.0467166152489</v>
      </c>
      <c r="BW109" s="88">
        <v>0</v>
      </c>
      <c r="BX109" s="88">
        <v>0</v>
      </c>
      <c r="BY109" s="88">
        <v>0</v>
      </c>
      <c r="BZ109" s="88">
        <v>0</v>
      </c>
      <c r="CA109" s="88">
        <v>0</v>
      </c>
      <c r="CB109" s="88">
        <v>0</v>
      </c>
      <c r="CC109" s="88">
        <v>0</v>
      </c>
      <c r="CD109" s="88">
        <v>0</v>
      </c>
      <c r="CE109" s="88">
        <v>0</v>
      </c>
      <c r="CF109" s="88">
        <v>0</v>
      </c>
      <c r="CG109" s="88">
        <v>0</v>
      </c>
      <c r="CH109" s="88">
        <v>0</v>
      </c>
      <c r="CI109" s="88">
        <v>66500</v>
      </c>
      <c r="CJ109" s="88">
        <v>66500</v>
      </c>
      <c r="CK109" s="88">
        <v>66500</v>
      </c>
      <c r="CL109" s="88">
        <v>66500</v>
      </c>
      <c r="CM109" s="88">
        <v>66500</v>
      </c>
      <c r="CN109" s="88">
        <v>66500</v>
      </c>
      <c r="CO109" s="88">
        <v>66500</v>
      </c>
      <c r="CP109" s="88">
        <v>66500</v>
      </c>
      <c r="CQ109" s="88">
        <v>66500</v>
      </c>
      <c r="CR109" s="88">
        <v>66500</v>
      </c>
      <c r="CS109" s="88">
        <v>66500</v>
      </c>
      <c r="CT109" s="88">
        <v>66500</v>
      </c>
      <c r="CU109" s="88">
        <v>1143.76929057796</v>
      </c>
      <c r="CV109" s="88">
        <v>1142.181544397914</v>
      </c>
      <c r="CW109" s="88">
        <v>1140.598200230266</v>
      </c>
      <c r="CX109" s="88">
        <v>1138.9657923138329</v>
      </c>
      <c r="CY109" s="88">
        <v>1137.338050277629</v>
      </c>
      <c r="CZ109" s="88">
        <v>1135.714954145621</v>
      </c>
      <c r="DA109" s="88">
        <v>1134.0964840556051</v>
      </c>
      <c r="DB109" s="88">
        <v>1132.456201740272</v>
      </c>
      <c r="DC109" s="88">
        <v>1130.8469996272929</v>
      </c>
      <c r="DD109" s="88">
        <v>1129.242364325748</v>
      </c>
      <c r="DE109" s="88">
        <v>1127.6422764227641</v>
      </c>
      <c r="DF109" s="88">
        <v>1126.0467166152489</v>
      </c>
      <c r="DG109" s="93"/>
      <c r="DH109" s="91"/>
      <c r="DJ109" s="93"/>
      <c r="DK109" s="91"/>
      <c r="DM109" s="93"/>
      <c r="DN109" s="91"/>
      <c r="DP109" s="93"/>
      <c r="DQ109" s="91"/>
    </row>
    <row r="110" spans="1:121" x14ac:dyDescent="0.3">
      <c r="A110" t="s">
        <v>24</v>
      </c>
      <c r="B110" t="s">
        <v>47</v>
      </c>
      <c r="C110" t="s">
        <v>50</v>
      </c>
      <c r="D110" t="s">
        <v>391</v>
      </c>
      <c r="E110" t="s">
        <v>473</v>
      </c>
      <c r="F110" s="86">
        <v>52500</v>
      </c>
      <c r="G110" s="87">
        <v>12</v>
      </c>
      <c r="H110" s="88">
        <v>1.02</v>
      </c>
      <c r="I110" s="88">
        <v>1.0213166666666671</v>
      </c>
      <c r="J110" s="89">
        <v>0.93999999999999984</v>
      </c>
      <c r="K110" s="88">
        <v>0.99871081447151555</v>
      </c>
      <c r="L110" s="88">
        <v>1.0106382978723401</v>
      </c>
      <c r="M110" s="88">
        <v>1</v>
      </c>
      <c r="N110" s="90">
        <v>0.628</v>
      </c>
      <c r="O110" s="90">
        <v>0.63386262969543217</v>
      </c>
      <c r="P110" s="90">
        <v>0.61231436790293092</v>
      </c>
      <c r="Q110" s="91">
        <v>0</v>
      </c>
      <c r="R110" s="88">
        <v>0.96475948010183543</v>
      </c>
      <c r="S110" s="88">
        <v>1.0106382978723401</v>
      </c>
      <c r="T110" s="91">
        <v>1.290849673202477E-3</v>
      </c>
      <c r="U110" s="91">
        <v>3.5191501166794703E-2</v>
      </c>
      <c r="V110" s="87">
        <v>0</v>
      </c>
      <c r="W110" s="91">
        <v>0</v>
      </c>
      <c r="X110" s="87">
        <v>1</v>
      </c>
      <c r="Y110" s="90">
        <v>0.63386262969543217</v>
      </c>
      <c r="Z110" s="90">
        <v>0.61231436790293092</v>
      </c>
      <c r="AA110" s="92">
        <v>0</v>
      </c>
      <c r="AB110" s="88">
        <v>0</v>
      </c>
      <c r="AC110" s="87">
        <v>1</v>
      </c>
      <c r="AD110" s="87">
        <v>1</v>
      </c>
      <c r="AE110" s="88">
        <v>1.0386</v>
      </c>
      <c r="AF110" s="88">
        <v>1</v>
      </c>
      <c r="AG110" s="88">
        <v>1.0386</v>
      </c>
      <c r="AH110" s="88">
        <v>53550</v>
      </c>
      <c r="AI110" s="88">
        <v>53619.125</v>
      </c>
      <c r="AJ110" s="88">
        <v>49349.999999999993</v>
      </c>
      <c r="AK110" s="88">
        <v>52432.317759754573</v>
      </c>
      <c r="AL110" s="88">
        <v>53058.510638297877</v>
      </c>
      <c r="AM110" s="88">
        <v>52500</v>
      </c>
      <c r="AN110" s="88">
        <v>32970</v>
      </c>
      <c r="AO110" s="88">
        <v>33277.788059010192</v>
      </c>
      <c r="AP110" s="88">
        <v>32146.504314903868</v>
      </c>
      <c r="AQ110" s="88">
        <v>0</v>
      </c>
      <c r="AR110" s="88">
        <v>50649.872705346359</v>
      </c>
      <c r="AS110" s="88">
        <v>53058.510638297877</v>
      </c>
      <c r="AT110" s="88">
        <v>33277.788059010192</v>
      </c>
      <c r="AU110" s="88">
        <v>32146.504314903868</v>
      </c>
      <c r="AV110" s="88">
        <v>49875</v>
      </c>
      <c r="AW110" s="88">
        <v>49350</v>
      </c>
      <c r="AX110" s="88">
        <v>49350</v>
      </c>
      <c r="AY110" s="88">
        <v>52500</v>
      </c>
      <c r="AZ110" s="88">
        <v>52500</v>
      </c>
      <c r="BA110" s="88">
        <v>52500</v>
      </c>
      <c r="BB110" s="88">
        <v>52500</v>
      </c>
      <c r="BC110" s="88">
        <v>52500</v>
      </c>
      <c r="BD110" s="88">
        <v>52500</v>
      </c>
      <c r="BE110" s="88">
        <v>52500</v>
      </c>
      <c r="BF110" s="88">
        <v>52500</v>
      </c>
      <c r="BG110" s="88">
        <v>52500</v>
      </c>
      <c r="BH110" s="88">
        <v>52500</v>
      </c>
      <c r="BI110" s="88">
        <v>52500</v>
      </c>
      <c r="BJ110" s="88">
        <v>52500</v>
      </c>
      <c r="BK110" s="88">
        <v>1050.0000000000009</v>
      </c>
      <c r="BL110" s="88">
        <v>1050.0000000000009</v>
      </c>
      <c r="BM110" s="88">
        <v>1050.0000000000009</v>
      </c>
      <c r="BN110" s="88">
        <v>1050.0000000000009</v>
      </c>
      <c r="BO110" s="88">
        <v>1050.0000000000009</v>
      </c>
      <c r="BP110" s="88">
        <v>3191.9999999999982</v>
      </c>
      <c r="BQ110" s="88">
        <v>3191.9999999999982</v>
      </c>
      <c r="BR110" s="88">
        <v>3191.9999999999982</v>
      </c>
      <c r="BS110" s="88">
        <v>3191.9999999999982</v>
      </c>
      <c r="BT110" s="88">
        <v>2100.0000000000018</v>
      </c>
      <c r="BU110" s="88">
        <v>2100.0000000000018</v>
      </c>
      <c r="BV110" s="88">
        <v>2100.0000000000018</v>
      </c>
      <c r="BW110" s="88">
        <v>1050.0000000000009</v>
      </c>
      <c r="BX110" s="88">
        <v>1050.0000000000009</v>
      </c>
      <c r="BY110" s="88">
        <v>1050.0000000000009</v>
      </c>
      <c r="BZ110" s="88">
        <v>1050.0000000000009</v>
      </c>
      <c r="CA110" s="88">
        <v>1050.0000000000009</v>
      </c>
      <c r="CB110" s="88">
        <v>3191.9999999999982</v>
      </c>
      <c r="CC110" s="88">
        <v>3191.9999999999982</v>
      </c>
      <c r="CD110" s="88">
        <v>3191.9999999999982</v>
      </c>
      <c r="CE110" s="88">
        <v>3191.9999999999982</v>
      </c>
      <c r="CF110" s="88">
        <v>2100.0000000000018</v>
      </c>
      <c r="CG110" s="88">
        <v>2100.0000000000018</v>
      </c>
      <c r="CH110" s="88">
        <v>2100.0000000000018</v>
      </c>
      <c r="CI110" s="88">
        <v>52500</v>
      </c>
      <c r="CJ110" s="88">
        <v>52500</v>
      </c>
      <c r="CK110" s="88">
        <v>52500</v>
      </c>
      <c r="CL110" s="88">
        <v>52500</v>
      </c>
      <c r="CM110" s="88">
        <v>52500</v>
      </c>
      <c r="CN110" s="88">
        <v>52500</v>
      </c>
      <c r="CO110" s="88">
        <v>52500</v>
      </c>
      <c r="CP110" s="88">
        <v>52500</v>
      </c>
      <c r="CQ110" s="88">
        <v>52500</v>
      </c>
      <c r="CR110" s="88">
        <v>52500</v>
      </c>
      <c r="CS110" s="88">
        <v>52500</v>
      </c>
      <c r="CT110" s="88">
        <v>52500</v>
      </c>
      <c r="CU110" s="88">
        <v>0</v>
      </c>
      <c r="CV110" s="88">
        <v>0</v>
      </c>
      <c r="CW110" s="88">
        <v>0</v>
      </c>
      <c r="CX110" s="88">
        <v>0</v>
      </c>
      <c r="CY110" s="88">
        <v>0</v>
      </c>
      <c r="CZ110" s="88">
        <v>0</v>
      </c>
      <c r="DA110" s="88">
        <v>0</v>
      </c>
      <c r="DB110" s="88">
        <v>0</v>
      </c>
      <c r="DC110" s="88">
        <v>0</v>
      </c>
      <c r="DD110" s="88">
        <v>0</v>
      </c>
      <c r="DE110" s="88">
        <v>0</v>
      </c>
      <c r="DF110" s="88">
        <v>0</v>
      </c>
      <c r="DG110" s="93">
        <v>46296</v>
      </c>
      <c r="DH110" s="91">
        <v>0.02</v>
      </c>
      <c r="DI110" t="s">
        <v>301</v>
      </c>
      <c r="DJ110" s="93">
        <v>46539</v>
      </c>
      <c r="DK110" s="91">
        <v>0.04</v>
      </c>
      <c r="DL110" t="s">
        <v>302</v>
      </c>
      <c r="DM110" s="93"/>
      <c r="DN110" s="91"/>
      <c r="DP110" s="93"/>
      <c r="DQ110" s="91"/>
    </row>
    <row r="111" spans="1:121" x14ac:dyDescent="0.3">
      <c r="A111" t="s">
        <v>24</v>
      </c>
      <c r="B111" t="s">
        <v>47</v>
      </c>
      <c r="C111" t="s">
        <v>57</v>
      </c>
      <c r="D111" t="s">
        <v>393</v>
      </c>
      <c r="E111" t="s">
        <v>474</v>
      </c>
      <c r="F111" s="86">
        <v>38500</v>
      </c>
      <c r="G111" s="87">
        <v>12</v>
      </c>
      <c r="H111" s="88">
        <v>1</v>
      </c>
      <c r="I111" s="88">
        <v>1</v>
      </c>
      <c r="J111" s="89">
        <v>0.94299370897155343</v>
      </c>
      <c r="K111" s="88">
        <v>1</v>
      </c>
      <c r="L111" s="88">
        <v>1.007429838568157</v>
      </c>
      <c r="M111" s="88">
        <v>1</v>
      </c>
      <c r="N111" s="90">
        <v>0.61199999999999999</v>
      </c>
      <c r="O111" s="90">
        <v>0.61654706120371228</v>
      </c>
      <c r="P111" s="90">
        <v>0.61008335279170589</v>
      </c>
      <c r="Q111" s="91">
        <v>0</v>
      </c>
      <c r="R111" s="88">
        <v>1</v>
      </c>
      <c r="S111" s="88">
        <v>0.99686822351585935</v>
      </c>
      <c r="T111" s="91">
        <v>0</v>
      </c>
      <c r="U111" s="91">
        <v>0</v>
      </c>
      <c r="V111" s="87">
        <v>0</v>
      </c>
      <c r="W111" s="91">
        <v>0</v>
      </c>
      <c r="X111" s="87">
        <v>1</v>
      </c>
      <c r="Y111" s="90">
        <v>0.61654706120371228</v>
      </c>
      <c r="Z111" s="90">
        <v>0.61008335279170589</v>
      </c>
      <c r="AA111" s="92">
        <v>0</v>
      </c>
      <c r="AB111" s="88">
        <v>0</v>
      </c>
      <c r="AC111" s="87">
        <v>0</v>
      </c>
      <c r="AD111" s="87">
        <v>0</v>
      </c>
      <c r="AE111" s="88">
        <v>1</v>
      </c>
      <c r="AF111" s="88">
        <v>1.012785937399076</v>
      </c>
      <c r="AG111" s="88">
        <v>1.012785937399076</v>
      </c>
      <c r="AH111" s="88">
        <v>38500</v>
      </c>
      <c r="AI111" s="88">
        <v>38500</v>
      </c>
      <c r="AJ111" s="88">
        <v>36305.25779540481</v>
      </c>
      <c r="AK111" s="88">
        <v>38500</v>
      </c>
      <c r="AL111" s="88">
        <v>38786.048784874052</v>
      </c>
      <c r="AM111" s="88">
        <v>38500</v>
      </c>
      <c r="AN111" s="88">
        <v>23562</v>
      </c>
      <c r="AO111" s="88">
        <v>23737.06185634292</v>
      </c>
      <c r="AP111" s="88">
        <v>23488.20908248068</v>
      </c>
      <c r="AQ111" s="88">
        <v>0</v>
      </c>
      <c r="AR111" s="88">
        <v>38500</v>
      </c>
      <c r="AS111" s="88">
        <v>38379.426605360582</v>
      </c>
      <c r="AT111" s="88">
        <v>23737.06185634292</v>
      </c>
      <c r="AU111" s="88">
        <v>23488.20908248068</v>
      </c>
      <c r="AV111" s="88">
        <v>36575</v>
      </c>
      <c r="AW111" s="88">
        <v>36190</v>
      </c>
      <c r="AX111" s="88">
        <v>36767.5</v>
      </c>
      <c r="AY111" s="88">
        <v>38500</v>
      </c>
      <c r="AZ111" s="88">
        <v>38500</v>
      </c>
      <c r="BA111" s="88">
        <v>38500</v>
      </c>
      <c r="BB111" s="88">
        <v>38500</v>
      </c>
      <c r="BC111" s="88">
        <v>38500</v>
      </c>
      <c r="BD111" s="88">
        <v>38500</v>
      </c>
      <c r="BE111" s="88">
        <v>38500</v>
      </c>
      <c r="BF111" s="88">
        <v>38500</v>
      </c>
      <c r="BG111" s="88">
        <v>38500</v>
      </c>
      <c r="BH111" s="88">
        <v>38500</v>
      </c>
      <c r="BI111" s="88">
        <v>38500</v>
      </c>
      <c r="BJ111" s="88">
        <v>38500</v>
      </c>
      <c r="BK111" s="88">
        <v>495.13468438576859</v>
      </c>
      <c r="BL111" s="88">
        <v>494.62056504599781</v>
      </c>
      <c r="BM111" s="88">
        <v>494.10751226259299</v>
      </c>
      <c r="BN111" s="88">
        <v>493.57818573502828</v>
      </c>
      <c r="BO111" s="88">
        <v>493.04999210558589</v>
      </c>
      <c r="BP111" s="88">
        <v>492.5229277411035</v>
      </c>
      <c r="BQ111" s="88">
        <v>491.99698902394363</v>
      </c>
      <c r="BR111" s="88">
        <v>491.46357812764148</v>
      </c>
      <c r="BS111" s="88">
        <v>490.93989821942341</v>
      </c>
      <c r="BT111" s="88">
        <v>490.4173331394507</v>
      </c>
      <c r="BU111" s="88">
        <v>489.89587933157662</v>
      </c>
      <c r="BV111" s="88">
        <v>489.37553325478581</v>
      </c>
      <c r="BW111" s="88">
        <v>0</v>
      </c>
      <c r="BX111" s="88">
        <v>0</v>
      </c>
      <c r="BY111" s="88">
        <v>0</v>
      </c>
      <c r="BZ111" s="88">
        <v>0</v>
      </c>
      <c r="CA111" s="88">
        <v>0</v>
      </c>
      <c r="CB111" s="88">
        <v>0</v>
      </c>
      <c r="CC111" s="88">
        <v>0</v>
      </c>
      <c r="CD111" s="88">
        <v>0</v>
      </c>
      <c r="CE111" s="88">
        <v>0</v>
      </c>
      <c r="CF111" s="88">
        <v>0</v>
      </c>
      <c r="CG111" s="88">
        <v>0</v>
      </c>
      <c r="CH111" s="88">
        <v>0</v>
      </c>
      <c r="CI111" s="88">
        <v>38500</v>
      </c>
      <c r="CJ111" s="88">
        <v>38500</v>
      </c>
      <c r="CK111" s="88">
        <v>38500</v>
      </c>
      <c r="CL111" s="88">
        <v>38500</v>
      </c>
      <c r="CM111" s="88">
        <v>38500</v>
      </c>
      <c r="CN111" s="88">
        <v>38500</v>
      </c>
      <c r="CO111" s="88">
        <v>38500</v>
      </c>
      <c r="CP111" s="88">
        <v>38500</v>
      </c>
      <c r="CQ111" s="88">
        <v>38500</v>
      </c>
      <c r="CR111" s="88">
        <v>38500</v>
      </c>
      <c r="CS111" s="88">
        <v>38500</v>
      </c>
      <c r="CT111" s="88">
        <v>38500</v>
      </c>
      <c r="CU111" s="88">
        <v>495.13468438576859</v>
      </c>
      <c r="CV111" s="88">
        <v>494.62056504599781</v>
      </c>
      <c r="CW111" s="88">
        <v>494.10751226259299</v>
      </c>
      <c r="CX111" s="88">
        <v>493.57818573502828</v>
      </c>
      <c r="CY111" s="88">
        <v>493.04999210558589</v>
      </c>
      <c r="CZ111" s="88">
        <v>492.5229277411035</v>
      </c>
      <c r="DA111" s="88">
        <v>491.99698902394363</v>
      </c>
      <c r="DB111" s="88">
        <v>491.46357812764148</v>
      </c>
      <c r="DC111" s="88">
        <v>490.93989821942341</v>
      </c>
      <c r="DD111" s="88">
        <v>490.4173331394507</v>
      </c>
      <c r="DE111" s="88">
        <v>489.89587933157662</v>
      </c>
      <c r="DF111" s="88">
        <v>489.37553325478581</v>
      </c>
      <c r="DG111" s="93"/>
      <c r="DH111" s="91"/>
      <c r="DJ111" s="93"/>
      <c r="DK111" s="91"/>
      <c r="DM111" s="93"/>
      <c r="DN111" s="91"/>
      <c r="DP111" s="93"/>
      <c r="DQ111" s="91"/>
    </row>
    <row r="112" spans="1:121" x14ac:dyDescent="0.3">
      <c r="A112" t="s">
        <v>24</v>
      </c>
      <c r="B112" t="s">
        <v>47</v>
      </c>
      <c r="C112" t="s">
        <v>58</v>
      </c>
      <c r="D112" t="s">
        <v>395</v>
      </c>
      <c r="E112" t="s">
        <v>475</v>
      </c>
      <c r="F112" s="86">
        <v>84000</v>
      </c>
      <c r="G112" s="87">
        <v>12</v>
      </c>
      <c r="H112" s="88">
        <v>1</v>
      </c>
      <c r="I112" s="88">
        <v>1</v>
      </c>
      <c r="J112" s="89">
        <v>0.93900209700948201</v>
      </c>
      <c r="K112" s="88">
        <v>1</v>
      </c>
      <c r="L112" s="88">
        <v>1.0117123305960061</v>
      </c>
      <c r="M112" s="88">
        <v>1</v>
      </c>
      <c r="N112" s="90">
        <v>0.64</v>
      </c>
      <c r="O112" s="90">
        <v>0.64749589158144394</v>
      </c>
      <c r="P112" s="90">
        <v>0.64980048113517741</v>
      </c>
      <c r="Q112" s="91">
        <v>0</v>
      </c>
      <c r="R112" s="88">
        <v>1</v>
      </c>
      <c r="S112" s="88">
        <v>1.0153132517737149</v>
      </c>
      <c r="T112" s="91">
        <v>0</v>
      </c>
      <c r="U112" s="91">
        <v>0</v>
      </c>
      <c r="V112" s="87">
        <v>0</v>
      </c>
      <c r="W112" s="91">
        <v>0</v>
      </c>
      <c r="X112" s="87">
        <v>1</v>
      </c>
      <c r="Y112" s="90">
        <v>0.64749589158144394</v>
      </c>
      <c r="Z112" s="90">
        <v>0.64980048113517741</v>
      </c>
      <c r="AA112" s="92">
        <v>0</v>
      </c>
      <c r="AB112" s="88">
        <v>0</v>
      </c>
      <c r="AC112" s="87">
        <v>0</v>
      </c>
      <c r="AD112" s="87">
        <v>0</v>
      </c>
      <c r="AE112" s="88">
        <v>1</v>
      </c>
      <c r="AF112" s="88">
        <v>0.99575616743366657</v>
      </c>
      <c r="AG112" s="88">
        <v>0.99575616743366657</v>
      </c>
      <c r="AH112" s="88">
        <v>84000</v>
      </c>
      <c r="AI112" s="88">
        <v>84000</v>
      </c>
      <c r="AJ112" s="88">
        <v>78876.176148796483</v>
      </c>
      <c r="AK112" s="88">
        <v>84000</v>
      </c>
      <c r="AL112" s="88">
        <v>84983.835770064514</v>
      </c>
      <c r="AM112" s="88">
        <v>84000</v>
      </c>
      <c r="AN112" s="88">
        <v>53760</v>
      </c>
      <c r="AO112" s="88">
        <v>54389.654892841289</v>
      </c>
      <c r="AP112" s="88">
        <v>54583.2404153549</v>
      </c>
      <c r="AQ112" s="88">
        <v>0</v>
      </c>
      <c r="AR112" s="88">
        <v>84000</v>
      </c>
      <c r="AS112" s="88">
        <v>85286.313148992034</v>
      </c>
      <c r="AT112" s="88">
        <v>54389.654892841289</v>
      </c>
      <c r="AU112" s="88">
        <v>54583.2404153549</v>
      </c>
      <c r="AV112" s="88">
        <v>79800</v>
      </c>
      <c r="AW112" s="88">
        <v>78960</v>
      </c>
      <c r="AX112" s="88">
        <v>78540</v>
      </c>
      <c r="AY112" s="88">
        <v>84000</v>
      </c>
      <c r="AZ112" s="88">
        <v>84000</v>
      </c>
      <c r="BA112" s="88">
        <v>84000</v>
      </c>
      <c r="BB112" s="88">
        <v>84000</v>
      </c>
      <c r="BC112" s="88">
        <v>84000</v>
      </c>
      <c r="BD112" s="88">
        <v>84000</v>
      </c>
      <c r="BE112" s="88">
        <v>84000</v>
      </c>
      <c r="BF112" s="88">
        <v>84000</v>
      </c>
      <c r="BG112" s="88">
        <v>84000</v>
      </c>
      <c r="BH112" s="88">
        <v>84000</v>
      </c>
      <c r="BI112" s="88">
        <v>84000</v>
      </c>
      <c r="BJ112" s="88">
        <v>84000</v>
      </c>
      <c r="BK112" s="88">
        <v>-355.7938345314837</v>
      </c>
      <c r="BL112" s="88">
        <v>-355.91567607725767</v>
      </c>
      <c r="BM112" s="88">
        <v>-356.037601100855</v>
      </c>
      <c r="BN112" s="88">
        <v>-356.16374703776319</v>
      </c>
      <c r="BO112" s="88">
        <v>-356.28998239466148</v>
      </c>
      <c r="BP112" s="88">
        <v>-356.41630726664567</v>
      </c>
      <c r="BQ112" s="88">
        <v>-356.54272174897977</v>
      </c>
      <c r="BR112" s="88">
        <v>-356.67130052406827</v>
      </c>
      <c r="BS112" s="88">
        <v>-356.79789598631612</v>
      </c>
      <c r="BT112" s="88">
        <v>-356.92458134700848</v>
      </c>
      <c r="BU112" s="88">
        <v>-357.05135670197842</v>
      </c>
      <c r="BV112" s="88">
        <v>-357.17822214713289</v>
      </c>
      <c r="BW112" s="88">
        <v>0</v>
      </c>
      <c r="BX112" s="88">
        <v>0</v>
      </c>
      <c r="BY112" s="88">
        <v>0</v>
      </c>
      <c r="BZ112" s="88">
        <v>0</v>
      </c>
      <c r="CA112" s="88">
        <v>0</v>
      </c>
      <c r="CB112" s="88">
        <v>0</v>
      </c>
      <c r="CC112" s="88">
        <v>0</v>
      </c>
      <c r="CD112" s="88">
        <v>0</v>
      </c>
      <c r="CE112" s="88">
        <v>0</v>
      </c>
      <c r="CF112" s="88">
        <v>0</v>
      </c>
      <c r="CG112" s="88">
        <v>0</v>
      </c>
      <c r="CH112" s="88">
        <v>0</v>
      </c>
      <c r="CI112" s="88">
        <v>84000</v>
      </c>
      <c r="CJ112" s="88">
        <v>84000</v>
      </c>
      <c r="CK112" s="88">
        <v>84000</v>
      </c>
      <c r="CL112" s="88">
        <v>84000</v>
      </c>
      <c r="CM112" s="88">
        <v>84000</v>
      </c>
      <c r="CN112" s="88">
        <v>84000</v>
      </c>
      <c r="CO112" s="88">
        <v>84000</v>
      </c>
      <c r="CP112" s="88">
        <v>84000</v>
      </c>
      <c r="CQ112" s="88">
        <v>84000</v>
      </c>
      <c r="CR112" s="88">
        <v>84000</v>
      </c>
      <c r="CS112" s="88">
        <v>84000</v>
      </c>
      <c r="CT112" s="88">
        <v>84000</v>
      </c>
      <c r="CU112" s="88">
        <v>-355.7938345314837</v>
      </c>
      <c r="CV112" s="88">
        <v>-355.91567607725767</v>
      </c>
      <c r="CW112" s="88">
        <v>-356.037601100855</v>
      </c>
      <c r="CX112" s="88">
        <v>-356.16374703776319</v>
      </c>
      <c r="CY112" s="88">
        <v>-356.28998239466148</v>
      </c>
      <c r="CZ112" s="88">
        <v>-356.41630726664567</v>
      </c>
      <c r="DA112" s="88">
        <v>-356.54272174897977</v>
      </c>
      <c r="DB112" s="88">
        <v>-356.67130052406827</v>
      </c>
      <c r="DC112" s="88">
        <v>-356.79789598631612</v>
      </c>
      <c r="DD112" s="88">
        <v>-356.92458134700848</v>
      </c>
      <c r="DE112" s="88">
        <v>-357.05135670197842</v>
      </c>
      <c r="DF112" s="88">
        <v>-357.17822214713289</v>
      </c>
      <c r="DG112" s="93"/>
      <c r="DH112" s="91"/>
      <c r="DJ112" s="93"/>
      <c r="DK112" s="91"/>
      <c r="DM112" s="93"/>
      <c r="DN112" s="91"/>
      <c r="DP112" s="93"/>
      <c r="DQ112" s="91"/>
    </row>
    <row r="113" spans="1:121" x14ac:dyDescent="0.3">
      <c r="A113" t="s">
        <v>24</v>
      </c>
      <c r="B113" t="s">
        <v>47</v>
      </c>
      <c r="C113" t="s">
        <v>65</v>
      </c>
      <c r="D113" t="s">
        <v>397</v>
      </c>
      <c r="E113" t="s">
        <v>476</v>
      </c>
      <c r="F113" s="86">
        <v>70000</v>
      </c>
      <c r="G113" s="87">
        <v>12</v>
      </c>
      <c r="H113" s="88">
        <v>1</v>
      </c>
      <c r="I113" s="88">
        <v>1.056875</v>
      </c>
      <c r="J113" s="89">
        <v>0.94645779815821252</v>
      </c>
      <c r="K113" s="88">
        <v>0.94618568894145472</v>
      </c>
      <c r="L113" s="88">
        <v>1.0037425882576909</v>
      </c>
      <c r="M113" s="88">
        <v>1</v>
      </c>
      <c r="N113" s="90">
        <v>0.624</v>
      </c>
      <c r="O113" s="90">
        <v>0.59262956837166114</v>
      </c>
      <c r="P113" s="90">
        <v>0.57794892332517467</v>
      </c>
      <c r="Q113" s="91">
        <v>0</v>
      </c>
      <c r="R113" s="88">
        <v>0.93896713615023475</v>
      </c>
      <c r="S113" s="88">
        <v>0.98640321048287027</v>
      </c>
      <c r="T113" s="91">
        <v>5.6875000000000009E-2</v>
      </c>
      <c r="U113" s="91">
        <v>7.6877587226491517E-3</v>
      </c>
      <c r="V113" s="87">
        <v>0</v>
      </c>
      <c r="W113" s="91">
        <v>0</v>
      </c>
      <c r="X113" s="87">
        <v>1</v>
      </c>
      <c r="Y113" s="90">
        <v>0.59262956837166114</v>
      </c>
      <c r="Z113" s="90">
        <v>0.57794892332517467</v>
      </c>
      <c r="AA113" s="92">
        <v>0</v>
      </c>
      <c r="AB113" s="88">
        <v>0</v>
      </c>
      <c r="AC113" s="87">
        <v>0</v>
      </c>
      <c r="AD113" s="87">
        <v>1</v>
      </c>
      <c r="AE113" s="88">
        <v>1.0325</v>
      </c>
      <c r="AF113" s="88">
        <v>1.025021798760249</v>
      </c>
      <c r="AG113" s="88">
        <v>1.0583219033444811</v>
      </c>
      <c r="AH113" s="88">
        <v>70000</v>
      </c>
      <c r="AI113" s="88">
        <v>73981.25</v>
      </c>
      <c r="AJ113" s="88">
        <v>66252.045871074879</v>
      </c>
      <c r="AK113" s="88">
        <v>66232.998225901829</v>
      </c>
      <c r="AL113" s="88">
        <v>70261.98117803839</v>
      </c>
      <c r="AM113" s="88">
        <v>70000</v>
      </c>
      <c r="AN113" s="88">
        <v>43680</v>
      </c>
      <c r="AO113" s="88">
        <v>41484.069786016284</v>
      </c>
      <c r="AP113" s="88">
        <v>40456.424632762217</v>
      </c>
      <c r="AQ113" s="88">
        <v>0</v>
      </c>
      <c r="AR113" s="88">
        <v>65727.699530516431</v>
      </c>
      <c r="AS113" s="88">
        <v>69048.224733800918</v>
      </c>
      <c r="AT113" s="88">
        <v>41484.069786016284</v>
      </c>
      <c r="AU113" s="88">
        <v>40456.424632762217</v>
      </c>
      <c r="AV113" s="88">
        <v>66500</v>
      </c>
      <c r="AW113" s="88">
        <v>65800</v>
      </c>
      <c r="AX113" s="88">
        <v>66500</v>
      </c>
      <c r="AY113" s="88">
        <v>70000</v>
      </c>
      <c r="AZ113" s="88">
        <v>70000</v>
      </c>
      <c r="BA113" s="88">
        <v>70000</v>
      </c>
      <c r="BB113" s="88">
        <v>70000</v>
      </c>
      <c r="BC113" s="88">
        <v>70000</v>
      </c>
      <c r="BD113" s="88">
        <v>70000</v>
      </c>
      <c r="BE113" s="88">
        <v>70000</v>
      </c>
      <c r="BF113" s="88">
        <v>70000</v>
      </c>
      <c r="BG113" s="88">
        <v>70000</v>
      </c>
      <c r="BH113" s="88">
        <v>70000</v>
      </c>
      <c r="BI113" s="88">
        <v>70000</v>
      </c>
      <c r="BJ113" s="88">
        <v>70000</v>
      </c>
      <c r="BK113" s="88">
        <v>6079.1971124218526</v>
      </c>
      <c r="BL113" s="88">
        <v>5947.7033044293366</v>
      </c>
      <c r="BM113" s="88">
        <v>5816.6632548618154</v>
      </c>
      <c r="BN113" s="88">
        <v>6488.9267631947796</v>
      </c>
      <c r="BO113" s="88">
        <v>7058.0708103855241</v>
      </c>
      <c r="BP113" s="88">
        <v>6921.3396939903359</v>
      </c>
      <c r="BQ113" s="88">
        <v>2098.6788234269338</v>
      </c>
      <c r="BR113" s="88">
        <v>1969.1139387264229</v>
      </c>
      <c r="BS113" s="88">
        <v>1842.0924715004919</v>
      </c>
      <c r="BT113" s="88">
        <v>1715.5185859111041</v>
      </c>
      <c r="BU113" s="88">
        <v>1589.389920424413</v>
      </c>
      <c r="BV113" s="88">
        <v>1463.7041300906619</v>
      </c>
      <c r="BW113" s="88">
        <v>4549.9999999999964</v>
      </c>
      <c r="BX113" s="88">
        <v>4549.9999999999964</v>
      </c>
      <c r="BY113" s="88">
        <v>4549.9999999999964</v>
      </c>
      <c r="BZ113" s="88">
        <v>4549.9999999999964</v>
      </c>
      <c r="CA113" s="88">
        <v>4549.9999999999964</v>
      </c>
      <c r="CB113" s="88">
        <v>4549.9999999999964</v>
      </c>
      <c r="CC113" s="88">
        <v>0</v>
      </c>
      <c r="CD113" s="88">
        <v>0</v>
      </c>
      <c r="CE113" s="88">
        <v>0</v>
      </c>
      <c r="CF113" s="88">
        <v>0</v>
      </c>
      <c r="CG113" s="88">
        <v>0</v>
      </c>
      <c r="CH113" s="88">
        <v>0</v>
      </c>
      <c r="CI113" s="88">
        <v>70000</v>
      </c>
      <c r="CJ113" s="88">
        <v>70000</v>
      </c>
      <c r="CK113" s="88">
        <v>70000</v>
      </c>
      <c r="CL113" s="88">
        <v>70000</v>
      </c>
      <c r="CM113" s="88">
        <v>70000</v>
      </c>
      <c r="CN113" s="88">
        <v>70000</v>
      </c>
      <c r="CO113" s="88">
        <v>70000</v>
      </c>
      <c r="CP113" s="88">
        <v>70000</v>
      </c>
      <c r="CQ113" s="88">
        <v>70000</v>
      </c>
      <c r="CR113" s="88">
        <v>70000</v>
      </c>
      <c r="CS113" s="88">
        <v>70000</v>
      </c>
      <c r="CT113" s="88">
        <v>70000</v>
      </c>
      <c r="CU113" s="88">
        <v>1435.8658332599659</v>
      </c>
      <c r="CV113" s="88">
        <v>1312.3974689477391</v>
      </c>
      <c r="CW113" s="88">
        <v>1189.3551688843379</v>
      </c>
      <c r="CX113" s="88">
        <v>1820.5885100420451</v>
      </c>
      <c r="CY113" s="88">
        <v>2354.9960660896959</v>
      </c>
      <c r="CZ113" s="88">
        <v>2226.6100413054828</v>
      </c>
      <c r="DA113" s="88">
        <v>2098.6788234269338</v>
      </c>
      <c r="DB113" s="88">
        <v>1969.1139387264229</v>
      </c>
      <c r="DC113" s="88">
        <v>1842.0924715004919</v>
      </c>
      <c r="DD113" s="88">
        <v>1715.5185859111041</v>
      </c>
      <c r="DE113" s="88">
        <v>1589.389920424413</v>
      </c>
      <c r="DF113" s="88">
        <v>1463.7041300906619</v>
      </c>
      <c r="DG113" s="93">
        <v>46204</v>
      </c>
      <c r="DH113" s="91">
        <v>6.5000000000000002E-2</v>
      </c>
      <c r="DI113" t="s">
        <v>302</v>
      </c>
      <c r="DJ113" s="93"/>
      <c r="DK113" s="91"/>
      <c r="DM113" s="93"/>
      <c r="DN113" s="91"/>
      <c r="DP113" s="93"/>
      <c r="DQ113" s="91"/>
    </row>
    <row r="114" spans="1:121" x14ac:dyDescent="0.3">
      <c r="A114" t="s">
        <v>24</v>
      </c>
      <c r="B114" t="s">
        <v>47</v>
      </c>
      <c r="C114" t="s">
        <v>66</v>
      </c>
      <c r="D114" t="s">
        <v>399</v>
      </c>
      <c r="E114" t="s">
        <v>477</v>
      </c>
      <c r="F114" s="86">
        <v>56000</v>
      </c>
      <c r="G114" s="87">
        <v>12</v>
      </c>
      <c r="H114" s="88">
        <v>1.06</v>
      </c>
      <c r="I114" s="88">
        <v>1.0611166666666669</v>
      </c>
      <c r="J114" s="89">
        <v>0.93800419401896429</v>
      </c>
      <c r="K114" s="88">
        <v>0.99894764948874615</v>
      </c>
      <c r="L114" s="88">
        <v>1.012788648555651</v>
      </c>
      <c r="M114" s="88">
        <v>1</v>
      </c>
      <c r="N114" s="90">
        <v>0.60799999999999998</v>
      </c>
      <c r="O114" s="90">
        <v>0.61512748666135941</v>
      </c>
      <c r="P114" s="90">
        <v>0.60284738510277724</v>
      </c>
      <c r="Q114" s="91">
        <v>0</v>
      </c>
      <c r="R114" s="88">
        <v>0.97205346294046147</v>
      </c>
      <c r="S114" s="88">
        <v>1.020031656948162</v>
      </c>
      <c r="T114" s="91">
        <v>1.0534591194968359E-3</v>
      </c>
      <c r="U114" s="91">
        <v>2.7667394411547749E-2</v>
      </c>
      <c r="V114" s="87">
        <v>0</v>
      </c>
      <c r="W114" s="91">
        <v>0</v>
      </c>
      <c r="X114" s="87">
        <v>1</v>
      </c>
      <c r="Y114" s="90">
        <v>0.61512748666135941</v>
      </c>
      <c r="Z114" s="90">
        <v>0.60284738510277724</v>
      </c>
      <c r="AA114" s="92">
        <v>0</v>
      </c>
      <c r="AB114" s="88">
        <v>0</v>
      </c>
      <c r="AC114" s="87">
        <v>1</v>
      </c>
      <c r="AD114" s="87">
        <v>1</v>
      </c>
      <c r="AE114" s="88">
        <v>1.0149999999999999</v>
      </c>
      <c r="AF114" s="88">
        <v>0.99152129657519972</v>
      </c>
      <c r="AG114" s="88">
        <v>1.006394008535537</v>
      </c>
      <c r="AH114" s="88">
        <v>59360</v>
      </c>
      <c r="AI114" s="88">
        <v>59422.533333333333</v>
      </c>
      <c r="AJ114" s="88">
        <v>52528.234865061997</v>
      </c>
      <c r="AK114" s="88">
        <v>55941.068371369787</v>
      </c>
      <c r="AL114" s="88">
        <v>56716.164319116477</v>
      </c>
      <c r="AM114" s="88">
        <v>56000</v>
      </c>
      <c r="AN114" s="88">
        <v>34048</v>
      </c>
      <c r="AO114" s="88">
        <v>34447.139253036134</v>
      </c>
      <c r="AP114" s="88">
        <v>33759.453565755517</v>
      </c>
      <c r="AQ114" s="88">
        <v>0</v>
      </c>
      <c r="AR114" s="88">
        <v>54434.99392466584</v>
      </c>
      <c r="AS114" s="88">
        <v>57121.772789097049</v>
      </c>
      <c r="AT114" s="88">
        <v>34447.139253036134</v>
      </c>
      <c r="AU114" s="88">
        <v>33759.453565755517</v>
      </c>
      <c r="AV114" s="88">
        <v>53200</v>
      </c>
      <c r="AW114" s="88">
        <v>52640</v>
      </c>
      <c r="AX114" s="88">
        <v>52080</v>
      </c>
      <c r="AY114" s="88">
        <v>56000</v>
      </c>
      <c r="AZ114" s="88">
        <v>56000</v>
      </c>
      <c r="BA114" s="88">
        <v>56000</v>
      </c>
      <c r="BB114" s="88">
        <v>56000</v>
      </c>
      <c r="BC114" s="88">
        <v>56000</v>
      </c>
      <c r="BD114" s="88">
        <v>56000</v>
      </c>
      <c r="BE114" s="88">
        <v>56000</v>
      </c>
      <c r="BF114" s="88">
        <v>56000</v>
      </c>
      <c r="BG114" s="88">
        <v>56000</v>
      </c>
      <c r="BH114" s="88">
        <v>56000</v>
      </c>
      <c r="BI114" s="88">
        <v>56000</v>
      </c>
      <c r="BJ114" s="88">
        <v>56000</v>
      </c>
      <c r="BK114" s="88">
        <v>2858.642848052204</v>
      </c>
      <c r="BL114" s="88">
        <v>-473.30153290417701</v>
      </c>
      <c r="BM114" s="88">
        <v>-473.62506227334489</v>
      </c>
      <c r="BN114" s="88">
        <v>-473.96002411537978</v>
      </c>
      <c r="BO114" s="88">
        <v>-474.29546008282932</v>
      </c>
      <c r="BP114" s="88">
        <v>-474.63137118309271</v>
      </c>
      <c r="BQ114" s="88">
        <v>-474.96775842636742</v>
      </c>
      <c r="BR114" s="88">
        <v>-475.31014917390121</v>
      </c>
      <c r="BS114" s="88">
        <v>-475.64749959275952</v>
      </c>
      <c r="BT114" s="88">
        <v>1744.9752576119281</v>
      </c>
      <c r="BU114" s="88">
        <v>1744.623415361687</v>
      </c>
      <c r="BV114" s="88">
        <v>1744.271072607065</v>
      </c>
      <c r="BW114" s="88">
        <v>3360.0000000000032</v>
      </c>
      <c r="BX114" s="88">
        <v>0</v>
      </c>
      <c r="BY114" s="88">
        <v>0</v>
      </c>
      <c r="BZ114" s="88">
        <v>0</v>
      </c>
      <c r="CA114" s="88">
        <v>0</v>
      </c>
      <c r="CB114" s="88">
        <v>0</v>
      </c>
      <c r="CC114" s="88">
        <v>0</v>
      </c>
      <c r="CD114" s="88">
        <v>0</v>
      </c>
      <c r="CE114" s="88">
        <v>0</v>
      </c>
      <c r="CF114" s="88">
        <v>2240.0000000000018</v>
      </c>
      <c r="CG114" s="88">
        <v>2240.0000000000018</v>
      </c>
      <c r="CH114" s="88">
        <v>2240.0000000000018</v>
      </c>
      <c r="CI114" s="88">
        <v>56000</v>
      </c>
      <c r="CJ114" s="88">
        <v>56000</v>
      </c>
      <c r="CK114" s="88">
        <v>56000</v>
      </c>
      <c r="CL114" s="88">
        <v>56000</v>
      </c>
      <c r="CM114" s="88">
        <v>56000</v>
      </c>
      <c r="CN114" s="88">
        <v>56000</v>
      </c>
      <c r="CO114" s="88">
        <v>56000</v>
      </c>
      <c r="CP114" s="88">
        <v>56000</v>
      </c>
      <c r="CQ114" s="88">
        <v>56000</v>
      </c>
      <c r="CR114" s="88">
        <v>56000</v>
      </c>
      <c r="CS114" s="88">
        <v>56000</v>
      </c>
      <c r="CT114" s="88">
        <v>56000</v>
      </c>
      <c r="CU114" s="88">
        <v>-472.97844523377108</v>
      </c>
      <c r="CV114" s="88">
        <v>-473.30153290417701</v>
      </c>
      <c r="CW114" s="88">
        <v>-473.62506227334489</v>
      </c>
      <c r="CX114" s="88">
        <v>-473.96002411537978</v>
      </c>
      <c r="CY114" s="88">
        <v>-474.29546008282932</v>
      </c>
      <c r="CZ114" s="88">
        <v>-474.63137118309271</v>
      </c>
      <c r="DA114" s="88">
        <v>-474.96775842636742</v>
      </c>
      <c r="DB114" s="88">
        <v>-475.31014917390121</v>
      </c>
      <c r="DC114" s="88">
        <v>-475.64749959275952</v>
      </c>
      <c r="DD114" s="88">
        <v>-475.98532921930388</v>
      </c>
      <c r="DE114" s="88">
        <v>-476.32363907530811</v>
      </c>
      <c r="DF114" s="88">
        <v>-476.66243018551143</v>
      </c>
      <c r="DG114" s="93">
        <v>46054</v>
      </c>
      <c r="DH114" s="91">
        <v>0.06</v>
      </c>
      <c r="DI114" t="s">
        <v>301</v>
      </c>
      <c r="DJ114" s="93">
        <v>46661</v>
      </c>
      <c r="DK114" s="91">
        <v>0.04</v>
      </c>
      <c r="DL114" t="s">
        <v>302</v>
      </c>
      <c r="DM114" s="93"/>
      <c r="DN114" s="91"/>
      <c r="DP114" s="93"/>
      <c r="DQ114" s="91"/>
    </row>
    <row r="115" spans="1:121" x14ac:dyDescent="0.3">
      <c r="A115" t="s">
        <v>24</v>
      </c>
      <c r="B115" t="s">
        <v>47</v>
      </c>
      <c r="C115" t="s">
        <v>67</v>
      </c>
      <c r="D115" t="s">
        <v>401</v>
      </c>
      <c r="E115" t="s">
        <v>478</v>
      </c>
      <c r="F115" s="86">
        <v>42000</v>
      </c>
      <c r="G115" s="87">
        <v>12</v>
      </c>
      <c r="H115" s="88">
        <v>1</v>
      </c>
      <c r="I115" s="88">
        <v>1.062868000770983</v>
      </c>
      <c r="J115" s="89">
        <v>0.94099790299051811</v>
      </c>
      <c r="K115" s="88">
        <v>0.94085060353178396</v>
      </c>
      <c r="L115" s="88">
        <v>1</v>
      </c>
      <c r="M115" s="88">
        <v>1</v>
      </c>
      <c r="N115" s="90">
        <v>0.63600000000000001</v>
      </c>
      <c r="O115" s="90">
        <v>0.59838098384621463</v>
      </c>
      <c r="P115" s="90">
        <v>0.54398271258746766</v>
      </c>
      <c r="Q115" s="91">
        <v>0</v>
      </c>
      <c r="R115" s="88">
        <v>0.85531873048343976</v>
      </c>
      <c r="S115" s="88">
        <v>1</v>
      </c>
      <c r="T115" s="91">
        <v>6.2868000770982979E-2</v>
      </c>
      <c r="U115" s="91">
        <v>0.1000000000000003</v>
      </c>
      <c r="V115" s="87">
        <v>1</v>
      </c>
      <c r="W115" s="91">
        <v>0.1</v>
      </c>
      <c r="X115" s="87">
        <v>1</v>
      </c>
      <c r="Y115" s="90">
        <v>0.59219213412103611</v>
      </c>
      <c r="Z115" s="90">
        <v>0.55995619017015963</v>
      </c>
      <c r="AA115" s="92">
        <v>-0.61888497251785246</v>
      </c>
      <c r="AB115" s="88">
        <v>0</v>
      </c>
      <c r="AC115" s="87">
        <v>1</v>
      </c>
      <c r="AD115" s="87">
        <v>1</v>
      </c>
      <c r="AE115" s="88">
        <v>1.107</v>
      </c>
      <c r="AF115" s="88">
        <v>1.004252860915166</v>
      </c>
      <c r="AG115" s="88">
        <v>1.111708019220579</v>
      </c>
      <c r="AH115" s="88">
        <v>42000</v>
      </c>
      <c r="AI115" s="88">
        <v>44640.456032381277</v>
      </c>
      <c r="AJ115" s="88">
        <v>39521.911925601758</v>
      </c>
      <c r="AK115" s="88">
        <v>39515.725348334927</v>
      </c>
      <c r="AL115" s="88">
        <v>42000</v>
      </c>
      <c r="AM115" s="88">
        <v>42000</v>
      </c>
      <c r="AN115" s="88">
        <v>26712</v>
      </c>
      <c r="AO115" s="88">
        <v>25132.001321541011</v>
      </c>
      <c r="AP115" s="88">
        <v>22847.27392867364</v>
      </c>
      <c r="AQ115" s="88">
        <v>0</v>
      </c>
      <c r="AR115" s="88">
        <v>35923.386680304473</v>
      </c>
      <c r="AS115" s="88">
        <v>42000</v>
      </c>
      <c r="AT115" s="88">
        <v>24872.06963308352</v>
      </c>
      <c r="AU115" s="88">
        <v>23518.159987146701</v>
      </c>
      <c r="AV115" s="88">
        <v>39900</v>
      </c>
      <c r="AW115" s="88">
        <v>39480</v>
      </c>
      <c r="AX115" s="88">
        <v>39690</v>
      </c>
      <c r="AY115" s="88">
        <v>42000</v>
      </c>
      <c r="AZ115" s="88">
        <v>42000</v>
      </c>
      <c r="BA115" s="88">
        <v>42000</v>
      </c>
      <c r="BB115" s="88">
        <v>42000</v>
      </c>
      <c r="BC115" s="88">
        <v>42000</v>
      </c>
      <c r="BD115" s="88">
        <v>42000</v>
      </c>
      <c r="BE115" s="88">
        <v>42000</v>
      </c>
      <c r="BF115" s="88">
        <v>42000</v>
      </c>
      <c r="BG115" s="88">
        <v>42000</v>
      </c>
      <c r="BH115" s="88">
        <v>42000</v>
      </c>
      <c r="BI115" s="88">
        <v>42000</v>
      </c>
      <c r="BJ115" s="88">
        <v>42000</v>
      </c>
      <c r="BK115" s="88">
        <v>4396.8631250839098</v>
      </c>
      <c r="BL115" s="88">
        <v>4396.7953505741734</v>
      </c>
      <c r="BM115" s="88">
        <v>4396.7276227141538</v>
      </c>
      <c r="BN115" s="88">
        <v>6252.52395391147</v>
      </c>
      <c r="BO115" s="88">
        <v>6252.4512319520672</v>
      </c>
      <c r="BP115" s="88">
        <v>6252.3785616893392</v>
      </c>
      <c r="BQ115" s="88">
        <v>6252.3059430681769</v>
      </c>
      <c r="BR115" s="88">
        <v>6252.2321868394874</v>
      </c>
      <c r="BS115" s="88">
        <v>6252.1596721807746</v>
      </c>
      <c r="BT115" s="88">
        <v>1865.5338263616991</v>
      </c>
      <c r="BU115" s="88">
        <v>1865.467997487267</v>
      </c>
      <c r="BV115" s="88">
        <v>1865.40221530947</v>
      </c>
      <c r="BW115" s="88">
        <v>4200.0000000000036</v>
      </c>
      <c r="BX115" s="88">
        <v>4200.0000000000036</v>
      </c>
      <c r="BY115" s="88">
        <v>4200.0000000000036</v>
      </c>
      <c r="BZ115" s="88">
        <v>6048.0000000000045</v>
      </c>
      <c r="CA115" s="88">
        <v>6048.0000000000045</v>
      </c>
      <c r="CB115" s="88">
        <v>6048.0000000000045</v>
      </c>
      <c r="CC115" s="88">
        <v>6048.0000000000045</v>
      </c>
      <c r="CD115" s="88">
        <v>6048.0000000000045</v>
      </c>
      <c r="CE115" s="88">
        <v>6048.0000000000045</v>
      </c>
      <c r="CF115" s="88">
        <v>1680.000000000002</v>
      </c>
      <c r="CG115" s="88">
        <v>1680.000000000002</v>
      </c>
      <c r="CH115" s="88">
        <v>1680.000000000002</v>
      </c>
      <c r="CI115" s="88">
        <v>42000</v>
      </c>
      <c r="CJ115" s="88">
        <v>42000</v>
      </c>
      <c r="CK115" s="88">
        <v>42000</v>
      </c>
      <c r="CL115" s="88">
        <v>42000</v>
      </c>
      <c r="CM115" s="88">
        <v>42000</v>
      </c>
      <c r="CN115" s="88">
        <v>42000</v>
      </c>
      <c r="CO115" s="88">
        <v>42000</v>
      </c>
      <c r="CP115" s="88">
        <v>42000</v>
      </c>
      <c r="CQ115" s="88">
        <v>42000</v>
      </c>
      <c r="CR115" s="88">
        <v>42000</v>
      </c>
      <c r="CS115" s="88">
        <v>42000</v>
      </c>
      <c r="CT115" s="88">
        <v>42000</v>
      </c>
      <c r="CU115" s="88">
        <v>178.96647734900921</v>
      </c>
      <c r="CV115" s="88">
        <v>178.90486415833971</v>
      </c>
      <c r="CW115" s="88">
        <v>178.84329337650141</v>
      </c>
      <c r="CX115" s="88">
        <v>178.77967999253559</v>
      </c>
      <c r="CY115" s="88">
        <v>178.7161118462088</v>
      </c>
      <c r="CZ115" s="88">
        <v>178.65258888927829</v>
      </c>
      <c r="DA115" s="88">
        <v>178.58911107357579</v>
      </c>
      <c r="DB115" s="88">
        <v>178.5246388456994</v>
      </c>
      <c r="DC115" s="88">
        <v>178.4612519062687</v>
      </c>
      <c r="DD115" s="88">
        <v>178.39790996317009</v>
      </c>
      <c r="DE115" s="88">
        <v>178.3346129685244</v>
      </c>
      <c r="DF115" s="88">
        <v>178.27136087448989</v>
      </c>
      <c r="DG115" s="93">
        <v>46296</v>
      </c>
      <c r="DH115" s="91">
        <v>0.1</v>
      </c>
      <c r="DI115" t="s">
        <v>403</v>
      </c>
      <c r="DJ115" s="93">
        <v>46478</v>
      </c>
      <c r="DK115" s="91">
        <v>0.04</v>
      </c>
      <c r="DL115" t="s">
        <v>302</v>
      </c>
      <c r="DM115" s="93"/>
      <c r="DN115" s="91"/>
      <c r="DP115" s="93"/>
      <c r="DQ115" s="91"/>
    </row>
    <row r="116" spans="1:121" x14ac:dyDescent="0.3">
      <c r="A116" t="s">
        <v>24</v>
      </c>
      <c r="B116" t="s">
        <v>47</v>
      </c>
      <c r="C116" t="s">
        <v>73</v>
      </c>
      <c r="D116" t="s">
        <v>404</v>
      </c>
      <c r="E116" t="s">
        <v>479</v>
      </c>
      <c r="F116" s="86">
        <v>28000</v>
      </c>
      <c r="G116" s="87">
        <v>12</v>
      </c>
      <c r="H116" s="88">
        <v>1.03</v>
      </c>
      <c r="I116" s="88">
        <v>1.0290625</v>
      </c>
      <c r="J116" s="89">
        <v>0.9439916119620716</v>
      </c>
      <c r="K116" s="88">
        <v>1.000911023382933</v>
      </c>
      <c r="L116" s="88">
        <v>1.0063648743927289</v>
      </c>
      <c r="M116" s="88">
        <v>1</v>
      </c>
      <c r="N116" s="90">
        <v>0.62</v>
      </c>
      <c r="O116" s="90">
        <v>0.6245146517215393</v>
      </c>
      <c r="P116" s="90">
        <v>0.6152639489285795</v>
      </c>
      <c r="Q116" s="91">
        <v>0</v>
      </c>
      <c r="R116" s="88">
        <v>0.99999999999999978</v>
      </c>
      <c r="S116" s="88">
        <v>0.99236120794932203</v>
      </c>
      <c r="T116" s="91">
        <v>-9.1019417475712849E-4</v>
      </c>
      <c r="U116" s="91">
        <v>9.1102338293347351E-4</v>
      </c>
      <c r="V116" s="87">
        <v>0</v>
      </c>
      <c r="W116" s="91">
        <v>0</v>
      </c>
      <c r="X116" s="87">
        <v>1</v>
      </c>
      <c r="Y116" s="90">
        <v>0.6245146517215393</v>
      </c>
      <c r="Z116" s="90">
        <v>0.6152639489285795</v>
      </c>
      <c r="AA116" s="92">
        <v>0</v>
      </c>
      <c r="AB116" s="88">
        <v>0</v>
      </c>
      <c r="AC116" s="87">
        <v>1</v>
      </c>
      <c r="AD116" s="87">
        <v>0</v>
      </c>
      <c r="AE116" s="88">
        <v>1.0075000000000001</v>
      </c>
      <c r="AF116" s="88">
        <v>1.017066289316704</v>
      </c>
      <c r="AG116" s="88">
        <v>1.0246951069496071</v>
      </c>
      <c r="AH116" s="88">
        <v>28840</v>
      </c>
      <c r="AI116" s="88">
        <v>28813.750000000011</v>
      </c>
      <c r="AJ116" s="88">
        <v>26431.765134937999</v>
      </c>
      <c r="AK116" s="88">
        <v>28025.508654722129</v>
      </c>
      <c r="AL116" s="88">
        <v>28178.216482996409</v>
      </c>
      <c r="AM116" s="88">
        <v>28000</v>
      </c>
      <c r="AN116" s="88">
        <v>17360</v>
      </c>
      <c r="AO116" s="88">
        <v>17486.410248203101</v>
      </c>
      <c r="AP116" s="88">
        <v>17227.390570000229</v>
      </c>
      <c r="AQ116" s="88">
        <v>0</v>
      </c>
      <c r="AR116" s="88">
        <v>27999.999999999989</v>
      </c>
      <c r="AS116" s="88">
        <v>27786.113822581021</v>
      </c>
      <c r="AT116" s="88">
        <v>17486.410248203101</v>
      </c>
      <c r="AU116" s="88">
        <v>17227.390570000229</v>
      </c>
      <c r="AV116" s="88">
        <v>26600</v>
      </c>
      <c r="AW116" s="88">
        <v>26320</v>
      </c>
      <c r="AX116" s="88">
        <v>26880</v>
      </c>
      <c r="AY116" s="88">
        <v>28000</v>
      </c>
      <c r="AZ116" s="88">
        <v>28000</v>
      </c>
      <c r="BA116" s="88">
        <v>28000</v>
      </c>
      <c r="BB116" s="88">
        <v>28000</v>
      </c>
      <c r="BC116" s="88">
        <v>28000</v>
      </c>
      <c r="BD116" s="88">
        <v>28000</v>
      </c>
      <c r="BE116" s="88">
        <v>28000</v>
      </c>
      <c r="BF116" s="88">
        <v>28000</v>
      </c>
      <c r="BG116" s="88">
        <v>28000</v>
      </c>
      <c r="BH116" s="88">
        <v>28000</v>
      </c>
      <c r="BI116" s="88">
        <v>28000</v>
      </c>
      <c r="BJ116" s="88">
        <v>28000</v>
      </c>
      <c r="BK116" s="88">
        <v>1336.03468180855</v>
      </c>
      <c r="BL116" s="88">
        <v>1335.346101359936</v>
      </c>
      <c r="BM116" s="88">
        <v>1334.659429994603</v>
      </c>
      <c r="BN116" s="88">
        <v>479.5645441321401</v>
      </c>
      <c r="BO116" s="88">
        <v>478.8791790642648</v>
      </c>
      <c r="BP116" s="88">
        <v>478.19577016657712</v>
      </c>
      <c r="BQ116" s="88">
        <v>477.51430907604413</v>
      </c>
      <c r="BR116" s="88">
        <v>476.82366389064072</v>
      </c>
      <c r="BS116" s="88">
        <v>476.14610510622862</v>
      </c>
      <c r="BT116" s="88">
        <v>475.47046918978879</v>
      </c>
      <c r="BU116" s="88">
        <v>474.79674796747952</v>
      </c>
      <c r="BV116" s="88">
        <v>474.12493331168372</v>
      </c>
      <c r="BW116" s="88">
        <v>840.0000000000008</v>
      </c>
      <c r="BX116" s="88">
        <v>840.0000000000008</v>
      </c>
      <c r="BY116" s="88">
        <v>840.0000000000008</v>
      </c>
      <c r="BZ116" s="88">
        <v>0</v>
      </c>
      <c r="CA116" s="88">
        <v>0</v>
      </c>
      <c r="CB116" s="88">
        <v>0</v>
      </c>
      <c r="CC116" s="88">
        <v>0</v>
      </c>
      <c r="CD116" s="88">
        <v>0</v>
      </c>
      <c r="CE116" s="88">
        <v>0</v>
      </c>
      <c r="CF116" s="88">
        <v>0</v>
      </c>
      <c r="CG116" s="88">
        <v>0</v>
      </c>
      <c r="CH116" s="88">
        <v>0</v>
      </c>
      <c r="CI116" s="88">
        <v>28000</v>
      </c>
      <c r="CJ116" s="88">
        <v>28000</v>
      </c>
      <c r="CK116" s="88">
        <v>28000</v>
      </c>
      <c r="CL116" s="88">
        <v>28000</v>
      </c>
      <c r="CM116" s="88">
        <v>28000</v>
      </c>
      <c r="CN116" s="88">
        <v>28000</v>
      </c>
      <c r="CO116" s="88">
        <v>28000</v>
      </c>
      <c r="CP116" s="88">
        <v>28000</v>
      </c>
      <c r="CQ116" s="88">
        <v>28000</v>
      </c>
      <c r="CR116" s="88">
        <v>28000</v>
      </c>
      <c r="CS116" s="88">
        <v>28000</v>
      </c>
      <c r="CT116" s="88">
        <v>28000</v>
      </c>
      <c r="CU116" s="88">
        <v>481.58706971703589</v>
      </c>
      <c r="CV116" s="88">
        <v>480.91854500964803</v>
      </c>
      <c r="CW116" s="88">
        <v>480.25187378116482</v>
      </c>
      <c r="CX116" s="88">
        <v>479.5645441321401</v>
      </c>
      <c r="CY116" s="88">
        <v>478.8791790642648</v>
      </c>
      <c r="CZ116" s="88">
        <v>478.19577016657712</v>
      </c>
      <c r="DA116" s="88">
        <v>477.51430907604413</v>
      </c>
      <c r="DB116" s="88">
        <v>476.82366389064072</v>
      </c>
      <c r="DC116" s="88">
        <v>476.14610510622862</v>
      </c>
      <c r="DD116" s="88">
        <v>475.47046918978879</v>
      </c>
      <c r="DE116" s="88">
        <v>474.79674796747952</v>
      </c>
      <c r="DF116" s="88">
        <v>474.12493331168372</v>
      </c>
      <c r="DG116" s="93">
        <v>46113</v>
      </c>
      <c r="DH116" s="91">
        <v>0.03</v>
      </c>
      <c r="DI116" t="s">
        <v>301</v>
      </c>
      <c r="DJ116" s="93"/>
      <c r="DK116" s="91"/>
      <c r="DM116" s="93"/>
      <c r="DN116" s="91"/>
      <c r="DP116" s="93"/>
      <c r="DQ116" s="91"/>
    </row>
    <row r="117" spans="1:121" x14ac:dyDescent="0.3">
      <c r="A117" t="s">
        <v>24</v>
      </c>
      <c r="B117" t="s">
        <v>47</v>
      </c>
      <c r="C117" t="s">
        <v>78</v>
      </c>
      <c r="D117" t="s">
        <v>406</v>
      </c>
      <c r="E117" t="s">
        <v>480</v>
      </c>
      <c r="F117" s="86">
        <v>73500</v>
      </c>
      <c r="G117" s="87">
        <v>12</v>
      </c>
      <c r="H117" s="88">
        <v>1.04</v>
      </c>
      <c r="I117" s="88">
        <v>1.0377777777777779</v>
      </c>
      <c r="J117" s="89">
        <v>0.93999999999999984</v>
      </c>
      <c r="K117" s="88">
        <v>1.0021413276231259</v>
      </c>
      <c r="L117" s="88">
        <v>1.0106382978723401</v>
      </c>
      <c r="M117" s="88">
        <v>1</v>
      </c>
      <c r="N117" s="90">
        <v>0.60399999999999998</v>
      </c>
      <c r="O117" s="90">
        <v>0.61173265296824464</v>
      </c>
      <c r="P117" s="90">
        <v>0.61042553191489357</v>
      </c>
      <c r="Q117" s="91">
        <v>0</v>
      </c>
      <c r="R117" s="88">
        <v>0.99999999999999978</v>
      </c>
      <c r="S117" s="88">
        <v>1.0106382978723401</v>
      </c>
      <c r="T117" s="91">
        <v>-2.1367521367520181E-3</v>
      </c>
      <c r="U117" s="91">
        <v>2.1413276231263541E-3</v>
      </c>
      <c r="V117" s="87">
        <v>0</v>
      </c>
      <c r="W117" s="91">
        <v>0</v>
      </c>
      <c r="X117" s="87">
        <v>1</v>
      </c>
      <c r="Y117" s="90">
        <v>0.61173265296824464</v>
      </c>
      <c r="Z117" s="90">
        <v>0.61042553191489357</v>
      </c>
      <c r="AA117" s="92">
        <v>0</v>
      </c>
      <c r="AB117" s="88">
        <v>0</v>
      </c>
      <c r="AC117" s="87">
        <v>1</v>
      </c>
      <c r="AD117" s="87">
        <v>0</v>
      </c>
      <c r="AE117" s="88">
        <v>1.013333333333333</v>
      </c>
      <c r="AF117" s="88">
        <v>1</v>
      </c>
      <c r="AG117" s="88">
        <v>1.013333333333333</v>
      </c>
      <c r="AH117" s="88">
        <v>76440</v>
      </c>
      <c r="AI117" s="88">
        <v>76276.666666666672</v>
      </c>
      <c r="AJ117" s="88">
        <v>69089.999999999985</v>
      </c>
      <c r="AK117" s="88">
        <v>73657.387580299794</v>
      </c>
      <c r="AL117" s="88">
        <v>74281.914893617024</v>
      </c>
      <c r="AM117" s="88">
        <v>73500</v>
      </c>
      <c r="AN117" s="88">
        <v>44394</v>
      </c>
      <c r="AO117" s="88">
        <v>44962.349993165983</v>
      </c>
      <c r="AP117" s="88">
        <v>44866.276595744683</v>
      </c>
      <c r="AQ117" s="88">
        <v>0</v>
      </c>
      <c r="AR117" s="88">
        <v>73499.999999999985</v>
      </c>
      <c r="AS117" s="88">
        <v>74281.914893617024</v>
      </c>
      <c r="AT117" s="88">
        <v>44962.349993165983</v>
      </c>
      <c r="AU117" s="88">
        <v>44866.276595744683</v>
      </c>
      <c r="AV117" s="88">
        <v>69825</v>
      </c>
      <c r="AW117" s="88">
        <v>69090</v>
      </c>
      <c r="AX117" s="88">
        <v>69090</v>
      </c>
      <c r="AY117" s="88">
        <v>73500</v>
      </c>
      <c r="AZ117" s="88">
        <v>73500</v>
      </c>
      <c r="BA117" s="88">
        <v>73500</v>
      </c>
      <c r="BB117" s="88">
        <v>73500</v>
      </c>
      <c r="BC117" s="88">
        <v>73500</v>
      </c>
      <c r="BD117" s="88">
        <v>73500</v>
      </c>
      <c r="BE117" s="88">
        <v>73500</v>
      </c>
      <c r="BF117" s="88">
        <v>73500</v>
      </c>
      <c r="BG117" s="88">
        <v>73500</v>
      </c>
      <c r="BH117" s="88">
        <v>73500</v>
      </c>
      <c r="BI117" s="88">
        <v>73500</v>
      </c>
      <c r="BJ117" s="88">
        <v>73500</v>
      </c>
      <c r="BK117" s="88">
        <v>2940.0000000000032</v>
      </c>
      <c r="BL117" s="88">
        <v>2940.0000000000032</v>
      </c>
      <c r="BM117" s="88">
        <v>2940.0000000000032</v>
      </c>
      <c r="BN117" s="88">
        <v>2940.0000000000032</v>
      </c>
      <c r="BO117" s="88">
        <v>0</v>
      </c>
      <c r="BP117" s="88">
        <v>0</v>
      </c>
      <c r="BQ117" s="88">
        <v>0</v>
      </c>
      <c r="BR117" s="88">
        <v>0</v>
      </c>
      <c r="BS117" s="88">
        <v>0</v>
      </c>
      <c r="BT117" s="88">
        <v>0</v>
      </c>
      <c r="BU117" s="88">
        <v>0</v>
      </c>
      <c r="BV117" s="88">
        <v>0</v>
      </c>
      <c r="BW117" s="88">
        <v>2940.0000000000032</v>
      </c>
      <c r="BX117" s="88">
        <v>2940.0000000000032</v>
      </c>
      <c r="BY117" s="88">
        <v>2940.0000000000032</v>
      </c>
      <c r="BZ117" s="88">
        <v>2940.0000000000032</v>
      </c>
      <c r="CA117" s="88">
        <v>0</v>
      </c>
      <c r="CB117" s="88">
        <v>0</v>
      </c>
      <c r="CC117" s="88">
        <v>0</v>
      </c>
      <c r="CD117" s="88">
        <v>0</v>
      </c>
      <c r="CE117" s="88">
        <v>0</v>
      </c>
      <c r="CF117" s="88">
        <v>0</v>
      </c>
      <c r="CG117" s="88">
        <v>0</v>
      </c>
      <c r="CH117" s="88">
        <v>0</v>
      </c>
      <c r="CI117" s="88">
        <v>73500</v>
      </c>
      <c r="CJ117" s="88">
        <v>73500</v>
      </c>
      <c r="CK117" s="88">
        <v>73500</v>
      </c>
      <c r="CL117" s="88">
        <v>73500</v>
      </c>
      <c r="CM117" s="88">
        <v>73500</v>
      </c>
      <c r="CN117" s="88">
        <v>73500</v>
      </c>
      <c r="CO117" s="88">
        <v>73500</v>
      </c>
      <c r="CP117" s="88">
        <v>73500</v>
      </c>
      <c r="CQ117" s="88">
        <v>73500</v>
      </c>
      <c r="CR117" s="88">
        <v>73500</v>
      </c>
      <c r="CS117" s="88">
        <v>73500</v>
      </c>
      <c r="CT117" s="88">
        <v>73500</v>
      </c>
      <c r="CU117" s="88">
        <v>0</v>
      </c>
      <c r="CV117" s="88">
        <v>0</v>
      </c>
      <c r="CW117" s="88">
        <v>0</v>
      </c>
      <c r="CX117" s="88">
        <v>0</v>
      </c>
      <c r="CY117" s="88">
        <v>0</v>
      </c>
      <c r="CZ117" s="88">
        <v>0</v>
      </c>
      <c r="DA117" s="88">
        <v>0</v>
      </c>
      <c r="DB117" s="88">
        <v>0</v>
      </c>
      <c r="DC117" s="88">
        <v>0</v>
      </c>
      <c r="DD117" s="88">
        <v>0</v>
      </c>
      <c r="DE117" s="88">
        <v>0</v>
      </c>
      <c r="DF117" s="88">
        <v>0</v>
      </c>
      <c r="DG117" s="93">
        <v>46143</v>
      </c>
      <c r="DH117" s="91">
        <v>0.04</v>
      </c>
      <c r="DI117" t="s">
        <v>301</v>
      </c>
      <c r="DJ117" s="93"/>
      <c r="DK117" s="91"/>
      <c r="DM117" s="93"/>
      <c r="DN117" s="91"/>
      <c r="DP117" s="93"/>
      <c r="DQ117" s="91"/>
    </row>
    <row r="118" spans="1:121" x14ac:dyDescent="0.3">
      <c r="A118" t="s">
        <v>24</v>
      </c>
      <c r="B118" t="s">
        <v>47</v>
      </c>
      <c r="C118" t="s">
        <v>80</v>
      </c>
      <c r="D118" t="s">
        <v>408</v>
      </c>
      <c r="E118" t="s">
        <v>481</v>
      </c>
      <c r="F118" s="86">
        <v>59500</v>
      </c>
      <c r="G118" s="87">
        <v>12</v>
      </c>
      <c r="H118" s="88">
        <v>1</v>
      </c>
      <c r="I118" s="88">
        <v>1.01125</v>
      </c>
      <c r="J118" s="89">
        <v>0.94299370897155343</v>
      </c>
      <c r="K118" s="88">
        <v>0.9888751545117429</v>
      </c>
      <c r="L118" s="88">
        <v>1.007429838568157</v>
      </c>
      <c r="M118" s="88">
        <v>1</v>
      </c>
      <c r="N118" s="90">
        <v>0.63200000000000001</v>
      </c>
      <c r="O118" s="90">
        <v>0.62961251715705846</v>
      </c>
      <c r="P118" s="90">
        <v>0.60651813936175503</v>
      </c>
      <c r="Q118" s="91">
        <v>0</v>
      </c>
      <c r="R118" s="88">
        <v>0.96269554753309261</v>
      </c>
      <c r="S118" s="88">
        <v>0.99686822351585935</v>
      </c>
      <c r="T118" s="91">
        <v>1.1249999999999981E-2</v>
      </c>
      <c r="U118" s="91">
        <v>2.7194066749073102E-2</v>
      </c>
      <c r="V118" s="87">
        <v>0</v>
      </c>
      <c r="W118" s="91">
        <v>0</v>
      </c>
      <c r="X118" s="87">
        <v>1</v>
      </c>
      <c r="Y118" s="90">
        <v>0.62961251715705846</v>
      </c>
      <c r="Z118" s="90">
        <v>0.60651813936175503</v>
      </c>
      <c r="AA118" s="92">
        <v>0</v>
      </c>
      <c r="AB118" s="88">
        <v>0</v>
      </c>
      <c r="AC118" s="87">
        <v>0</v>
      </c>
      <c r="AD118" s="87">
        <v>1</v>
      </c>
      <c r="AE118" s="88">
        <v>1.03</v>
      </c>
      <c r="AF118" s="88">
        <v>1.012785937399076</v>
      </c>
      <c r="AG118" s="88">
        <v>1.0431689019286581</v>
      </c>
      <c r="AH118" s="88">
        <v>59500</v>
      </c>
      <c r="AI118" s="88">
        <v>60169.375</v>
      </c>
      <c r="AJ118" s="88">
        <v>56108.125683807433</v>
      </c>
      <c r="AK118" s="88">
        <v>58838.071693448714</v>
      </c>
      <c r="AL118" s="88">
        <v>59942.075394805361</v>
      </c>
      <c r="AM118" s="88">
        <v>59500</v>
      </c>
      <c r="AN118" s="88">
        <v>37604</v>
      </c>
      <c r="AO118" s="88">
        <v>37461.944770844981</v>
      </c>
      <c r="AP118" s="88">
        <v>36087.829292024428</v>
      </c>
      <c r="AQ118" s="88">
        <v>0</v>
      </c>
      <c r="AR118" s="88">
        <v>57280.385078219013</v>
      </c>
      <c r="AS118" s="88">
        <v>59313.659299193627</v>
      </c>
      <c r="AT118" s="88">
        <v>37461.944770844981</v>
      </c>
      <c r="AU118" s="88">
        <v>36087.829292024428</v>
      </c>
      <c r="AV118" s="88">
        <v>56525</v>
      </c>
      <c r="AW118" s="88">
        <v>55930</v>
      </c>
      <c r="AX118" s="88">
        <v>56822.5</v>
      </c>
      <c r="AY118" s="88">
        <v>59500</v>
      </c>
      <c r="AZ118" s="88">
        <v>59500</v>
      </c>
      <c r="BA118" s="88">
        <v>59500</v>
      </c>
      <c r="BB118" s="88">
        <v>59500</v>
      </c>
      <c r="BC118" s="88">
        <v>59500</v>
      </c>
      <c r="BD118" s="88">
        <v>59500</v>
      </c>
      <c r="BE118" s="88">
        <v>59500</v>
      </c>
      <c r="BF118" s="88">
        <v>59500</v>
      </c>
      <c r="BG118" s="88">
        <v>59500</v>
      </c>
      <c r="BH118" s="88">
        <v>59500</v>
      </c>
      <c r="BI118" s="88">
        <v>59500</v>
      </c>
      <c r="BJ118" s="88">
        <v>59500</v>
      </c>
      <c r="BK118" s="88">
        <v>765.20814859618781</v>
      </c>
      <c r="BL118" s="88">
        <v>764.413600525633</v>
      </c>
      <c r="BM118" s="88">
        <v>763.62070076946191</v>
      </c>
      <c r="BN118" s="88">
        <v>3173.314756708663</v>
      </c>
      <c r="BO118" s="88">
        <v>3172.4658054933411</v>
      </c>
      <c r="BP118" s="88">
        <v>3171.6186693147961</v>
      </c>
      <c r="BQ118" s="88">
        <v>3170.773342358485</v>
      </c>
      <c r="BR118" s="88">
        <v>3169.9160055724342</v>
      </c>
      <c r="BS118" s="88">
        <v>3169.0743091381341</v>
      </c>
      <c r="BT118" s="88">
        <v>3168.234404536865</v>
      </c>
      <c r="BU118" s="88">
        <v>3167.3962860529341</v>
      </c>
      <c r="BV118" s="88">
        <v>3166.559947994971</v>
      </c>
      <c r="BW118" s="88">
        <v>0</v>
      </c>
      <c r="BX118" s="88">
        <v>0</v>
      </c>
      <c r="BY118" s="88">
        <v>0</v>
      </c>
      <c r="BZ118" s="88">
        <v>2380.0000000000018</v>
      </c>
      <c r="CA118" s="88">
        <v>2380.0000000000018</v>
      </c>
      <c r="CB118" s="88">
        <v>2380.0000000000018</v>
      </c>
      <c r="CC118" s="88">
        <v>2380.0000000000018</v>
      </c>
      <c r="CD118" s="88">
        <v>2380.0000000000018</v>
      </c>
      <c r="CE118" s="88">
        <v>2380.0000000000018</v>
      </c>
      <c r="CF118" s="88">
        <v>2380.0000000000018</v>
      </c>
      <c r="CG118" s="88">
        <v>2380.0000000000018</v>
      </c>
      <c r="CH118" s="88">
        <v>2380.0000000000018</v>
      </c>
      <c r="CI118" s="88">
        <v>59500</v>
      </c>
      <c r="CJ118" s="88">
        <v>59500</v>
      </c>
      <c r="CK118" s="88">
        <v>59500</v>
      </c>
      <c r="CL118" s="88">
        <v>59500</v>
      </c>
      <c r="CM118" s="88">
        <v>59500</v>
      </c>
      <c r="CN118" s="88">
        <v>59500</v>
      </c>
      <c r="CO118" s="88">
        <v>59500</v>
      </c>
      <c r="CP118" s="88">
        <v>59500</v>
      </c>
      <c r="CQ118" s="88">
        <v>59500</v>
      </c>
      <c r="CR118" s="88">
        <v>59500</v>
      </c>
      <c r="CS118" s="88">
        <v>59500</v>
      </c>
      <c r="CT118" s="88">
        <v>59500</v>
      </c>
      <c r="CU118" s="88">
        <v>765.20814859618781</v>
      </c>
      <c r="CV118" s="88">
        <v>764.413600525633</v>
      </c>
      <c r="CW118" s="88">
        <v>763.62070076946191</v>
      </c>
      <c r="CX118" s="88">
        <v>762.80265068140739</v>
      </c>
      <c r="CY118" s="88">
        <v>761.98635143590548</v>
      </c>
      <c r="CZ118" s="88">
        <v>761.1717974180691</v>
      </c>
      <c r="DA118" s="88">
        <v>760.35898303700378</v>
      </c>
      <c r="DB118" s="88">
        <v>759.53462074271874</v>
      </c>
      <c r="DC118" s="88">
        <v>758.72529724819981</v>
      </c>
      <c r="DD118" s="88">
        <v>757.9176966700602</v>
      </c>
      <c r="DE118" s="88">
        <v>757.11181351243658</v>
      </c>
      <c r="DF118" s="88">
        <v>756.3076423028507</v>
      </c>
      <c r="DG118" s="93">
        <v>46478</v>
      </c>
      <c r="DH118" s="91">
        <v>0.04</v>
      </c>
      <c r="DI118" t="s">
        <v>302</v>
      </c>
      <c r="DJ118" s="93"/>
      <c r="DK118" s="91"/>
      <c r="DM118" s="93"/>
      <c r="DN118" s="91"/>
      <c r="DP118" s="93"/>
      <c r="DQ118" s="91"/>
    </row>
    <row r="119" spans="1:121" x14ac:dyDescent="0.3">
      <c r="A119" t="s">
        <v>24</v>
      </c>
      <c r="B119" t="s">
        <v>47</v>
      </c>
      <c r="C119" t="s">
        <v>82</v>
      </c>
      <c r="D119" t="s">
        <v>410</v>
      </c>
      <c r="E119" t="s">
        <v>482</v>
      </c>
      <c r="F119" s="86">
        <v>45500</v>
      </c>
      <c r="G119" s="87">
        <v>12</v>
      </c>
      <c r="H119" s="88">
        <v>1.06</v>
      </c>
      <c r="I119" s="88">
        <v>1.0525</v>
      </c>
      <c r="J119" s="89">
        <v>0.93900209700948201</v>
      </c>
      <c r="K119" s="88">
        <v>1.0071258907363421</v>
      </c>
      <c r="L119" s="88">
        <v>1.0117123305960061</v>
      </c>
      <c r="M119" s="88">
        <v>1</v>
      </c>
      <c r="N119" s="90">
        <v>0.61599999999999999</v>
      </c>
      <c r="O119" s="90">
        <v>0.62765575618619285</v>
      </c>
      <c r="P119" s="90">
        <v>0.6254329630926081</v>
      </c>
      <c r="Q119" s="91">
        <v>0</v>
      </c>
      <c r="R119" s="88">
        <v>0.99999999999999978</v>
      </c>
      <c r="S119" s="88">
        <v>1.0153132517737149</v>
      </c>
      <c r="T119" s="91">
        <v>-7.0754716981130672E-3</v>
      </c>
      <c r="U119" s="91">
        <v>7.1258907363420656E-3</v>
      </c>
      <c r="V119" s="87">
        <v>0</v>
      </c>
      <c r="W119" s="91">
        <v>0</v>
      </c>
      <c r="X119" s="87">
        <v>1</v>
      </c>
      <c r="Y119" s="90">
        <v>0.62765575618619285</v>
      </c>
      <c r="Z119" s="90">
        <v>0.6254329630926081</v>
      </c>
      <c r="AA119" s="92">
        <v>0</v>
      </c>
      <c r="AB119" s="88">
        <v>0</v>
      </c>
      <c r="AC119" s="87">
        <v>1</v>
      </c>
      <c r="AD119" s="87">
        <v>0</v>
      </c>
      <c r="AE119" s="88">
        <v>1.03</v>
      </c>
      <c r="AF119" s="88">
        <v>0.99575616743366657</v>
      </c>
      <c r="AG119" s="88">
        <v>1.025628987841499</v>
      </c>
      <c r="AH119" s="88">
        <v>48230</v>
      </c>
      <c r="AI119" s="88">
        <v>47888.750000000007</v>
      </c>
      <c r="AJ119" s="88">
        <v>42724.595413931427</v>
      </c>
      <c r="AK119" s="88">
        <v>45824.228028503552</v>
      </c>
      <c r="AL119" s="88">
        <v>46032.911042118278</v>
      </c>
      <c r="AM119" s="88">
        <v>45500</v>
      </c>
      <c r="AN119" s="88">
        <v>28028</v>
      </c>
      <c r="AO119" s="88">
        <v>28558.33690647177</v>
      </c>
      <c r="AP119" s="88">
        <v>28457.199820713671</v>
      </c>
      <c r="AQ119" s="88">
        <v>0</v>
      </c>
      <c r="AR119" s="88">
        <v>45499.999999999993</v>
      </c>
      <c r="AS119" s="88">
        <v>46196.752955704018</v>
      </c>
      <c r="AT119" s="88">
        <v>28558.33690647177</v>
      </c>
      <c r="AU119" s="88">
        <v>28457.199820713671</v>
      </c>
      <c r="AV119" s="88">
        <v>43225</v>
      </c>
      <c r="AW119" s="88">
        <v>42770</v>
      </c>
      <c r="AX119" s="88">
        <v>42542.5</v>
      </c>
      <c r="AY119" s="88">
        <v>45500</v>
      </c>
      <c r="AZ119" s="88">
        <v>45500</v>
      </c>
      <c r="BA119" s="88">
        <v>45500</v>
      </c>
      <c r="BB119" s="88">
        <v>45500</v>
      </c>
      <c r="BC119" s="88">
        <v>45500</v>
      </c>
      <c r="BD119" s="88">
        <v>45500</v>
      </c>
      <c r="BE119" s="88">
        <v>45500</v>
      </c>
      <c r="BF119" s="88">
        <v>45500</v>
      </c>
      <c r="BG119" s="88">
        <v>45500</v>
      </c>
      <c r="BH119" s="88">
        <v>45500</v>
      </c>
      <c r="BI119" s="88">
        <v>45500</v>
      </c>
      <c r="BJ119" s="88">
        <v>45500</v>
      </c>
      <c r="BK119" s="88">
        <v>2525.7150400065102</v>
      </c>
      <c r="BL119" s="88">
        <v>2525.645082652311</v>
      </c>
      <c r="BM119" s="88">
        <v>2525.5750773679251</v>
      </c>
      <c r="BN119" s="88">
        <v>2525.5026485758181</v>
      </c>
      <c r="BO119" s="88">
        <v>2525.430168441731</v>
      </c>
      <c r="BP119" s="88">
        <v>2525.3576369110679</v>
      </c>
      <c r="BQ119" s="88">
        <v>-193.12730761403071</v>
      </c>
      <c r="BR119" s="88">
        <v>-193.19695445053699</v>
      </c>
      <c r="BS119" s="88">
        <v>-193.26552699258789</v>
      </c>
      <c r="BT119" s="88">
        <v>-193.33414822962959</v>
      </c>
      <c r="BU119" s="88">
        <v>-193.40281821357161</v>
      </c>
      <c r="BV119" s="88">
        <v>-193.47153699636371</v>
      </c>
      <c r="BW119" s="88">
        <v>2730.0000000000018</v>
      </c>
      <c r="BX119" s="88">
        <v>2730.0000000000018</v>
      </c>
      <c r="BY119" s="88">
        <v>2730.0000000000018</v>
      </c>
      <c r="BZ119" s="88">
        <v>2730.0000000000018</v>
      </c>
      <c r="CA119" s="88">
        <v>2730.0000000000018</v>
      </c>
      <c r="CB119" s="88">
        <v>2730.0000000000018</v>
      </c>
      <c r="CC119" s="88">
        <v>0</v>
      </c>
      <c r="CD119" s="88">
        <v>0</v>
      </c>
      <c r="CE119" s="88">
        <v>0</v>
      </c>
      <c r="CF119" s="88">
        <v>0</v>
      </c>
      <c r="CG119" s="88">
        <v>0</v>
      </c>
      <c r="CH119" s="88">
        <v>0</v>
      </c>
      <c r="CI119" s="88">
        <v>45500</v>
      </c>
      <c r="CJ119" s="88">
        <v>45500</v>
      </c>
      <c r="CK119" s="88">
        <v>45500</v>
      </c>
      <c r="CL119" s="88">
        <v>45500</v>
      </c>
      <c r="CM119" s="88">
        <v>45500</v>
      </c>
      <c r="CN119" s="88">
        <v>45500</v>
      </c>
      <c r="CO119" s="88">
        <v>45500</v>
      </c>
      <c r="CP119" s="88">
        <v>45500</v>
      </c>
      <c r="CQ119" s="88">
        <v>45500</v>
      </c>
      <c r="CR119" s="88">
        <v>45500</v>
      </c>
      <c r="CS119" s="88">
        <v>45500</v>
      </c>
      <c r="CT119" s="88">
        <v>45500</v>
      </c>
      <c r="CU119" s="88">
        <v>-192.72166037122031</v>
      </c>
      <c r="CV119" s="88">
        <v>-192.78765787518131</v>
      </c>
      <c r="CW119" s="88">
        <v>-192.85370059629651</v>
      </c>
      <c r="CX119" s="88">
        <v>-192.9220296454551</v>
      </c>
      <c r="CY119" s="88">
        <v>-192.99040713044161</v>
      </c>
      <c r="CZ119" s="88">
        <v>-193.05883310276641</v>
      </c>
      <c r="DA119" s="88">
        <v>-193.12730761403071</v>
      </c>
      <c r="DB119" s="88">
        <v>-193.19695445053699</v>
      </c>
      <c r="DC119" s="88">
        <v>-193.26552699258789</v>
      </c>
      <c r="DD119" s="88">
        <v>-193.33414822962959</v>
      </c>
      <c r="DE119" s="88">
        <v>-193.40281821357161</v>
      </c>
      <c r="DF119" s="88">
        <v>-193.47153699636371</v>
      </c>
      <c r="DG119" s="93">
        <v>46204</v>
      </c>
      <c r="DH119" s="91">
        <v>0.06</v>
      </c>
      <c r="DI119" t="s">
        <v>301</v>
      </c>
      <c r="DJ119" s="93"/>
      <c r="DK119" s="91"/>
      <c r="DM119" s="93"/>
      <c r="DN119" s="91"/>
      <c r="DP119" s="93"/>
      <c r="DQ119" s="91"/>
    </row>
    <row r="120" spans="1:121" x14ac:dyDescent="0.3">
      <c r="A120" t="s">
        <v>24</v>
      </c>
      <c r="B120" t="s">
        <v>47</v>
      </c>
      <c r="C120" t="s">
        <v>85</v>
      </c>
      <c r="D120" t="s">
        <v>412</v>
      </c>
      <c r="E120" t="s">
        <v>483</v>
      </c>
      <c r="F120" s="86">
        <v>31500</v>
      </c>
      <c r="G120" s="87">
        <v>12</v>
      </c>
      <c r="H120" s="88">
        <v>1.02</v>
      </c>
      <c r="I120" s="88">
        <v>1.0165972222222219</v>
      </c>
      <c r="J120" s="89">
        <v>0.94199580598103549</v>
      </c>
      <c r="K120" s="88">
        <v>1.0033472231709819</v>
      </c>
      <c r="L120" s="88">
        <v>1.008497059082581</v>
      </c>
      <c r="M120" s="88">
        <v>1</v>
      </c>
      <c r="N120" s="90">
        <v>0.6</v>
      </c>
      <c r="O120" s="90">
        <v>0.60712363428396543</v>
      </c>
      <c r="P120" s="90">
        <v>0.60084981898087664</v>
      </c>
      <c r="Q120" s="91">
        <v>0</v>
      </c>
      <c r="R120" s="88">
        <v>1</v>
      </c>
      <c r="S120" s="88">
        <v>1.001416364968128</v>
      </c>
      <c r="T120" s="91">
        <v>-3.336056644880236E-3</v>
      </c>
      <c r="U120" s="91">
        <v>3.3472231709814611E-3</v>
      </c>
      <c r="V120" s="87">
        <v>0</v>
      </c>
      <c r="W120" s="91">
        <v>0</v>
      </c>
      <c r="X120" s="87">
        <v>1</v>
      </c>
      <c r="Y120" s="90">
        <v>0.60712363428396543</v>
      </c>
      <c r="Z120" s="90">
        <v>0.60084981898087664</v>
      </c>
      <c r="AA120" s="92">
        <v>0</v>
      </c>
      <c r="AB120" s="88">
        <v>0</v>
      </c>
      <c r="AC120" s="87">
        <v>1</v>
      </c>
      <c r="AD120" s="87">
        <v>0</v>
      </c>
      <c r="AE120" s="88">
        <v>1.011666666666666</v>
      </c>
      <c r="AF120" s="88">
        <v>1.008514817427199</v>
      </c>
      <c r="AG120" s="88">
        <v>1.0202810003167271</v>
      </c>
      <c r="AH120" s="88">
        <v>32130</v>
      </c>
      <c r="AI120" s="88">
        <v>32022.8125</v>
      </c>
      <c r="AJ120" s="88">
        <v>29672.867888402619</v>
      </c>
      <c r="AK120" s="88">
        <v>31605.43752988592</v>
      </c>
      <c r="AL120" s="88">
        <v>31767.657361101301</v>
      </c>
      <c r="AM120" s="88">
        <v>31500</v>
      </c>
      <c r="AN120" s="88">
        <v>18900</v>
      </c>
      <c r="AO120" s="88">
        <v>19124.394479944909</v>
      </c>
      <c r="AP120" s="88">
        <v>18926.769297897619</v>
      </c>
      <c r="AQ120" s="88">
        <v>0</v>
      </c>
      <c r="AR120" s="88">
        <v>31500.000000000011</v>
      </c>
      <c r="AS120" s="88">
        <v>31544.615496496019</v>
      </c>
      <c r="AT120" s="88">
        <v>19124.394479944909</v>
      </c>
      <c r="AU120" s="88">
        <v>18926.769297897619</v>
      </c>
      <c r="AV120" s="88">
        <v>29925</v>
      </c>
      <c r="AW120" s="88">
        <v>29610</v>
      </c>
      <c r="AX120" s="88">
        <v>29925</v>
      </c>
      <c r="AY120" s="88">
        <v>31500</v>
      </c>
      <c r="AZ120" s="88">
        <v>31500</v>
      </c>
      <c r="BA120" s="88">
        <v>31500</v>
      </c>
      <c r="BB120" s="88">
        <v>31500</v>
      </c>
      <c r="BC120" s="88">
        <v>31500</v>
      </c>
      <c r="BD120" s="88">
        <v>31500</v>
      </c>
      <c r="BE120" s="88">
        <v>31500</v>
      </c>
      <c r="BF120" s="88">
        <v>31500</v>
      </c>
      <c r="BG120" s="88">
        <v>31500</v>
      </c>
      <c r="BH120" s="88">
        <v>31500</v>
      </c>
      <c r="BI120" s="88">
        <v>31500</v>
      </c>
      <c r="BJ120" s="88">
        <v>31500</v>
      </c>
      <c r="BK120" s="88">
        <v>904.64432500790804</v>
      </c>
      <c r="BL120" s="88">
        <v>904.4547156564463</v>
      </c>
      <c r="BM120" s="88">
        <v>904.26536792993625</v>
      </c>
      <c r="BN120" s="88">
        <v>904.06987613928379</v>
      </c>
      <c r="BO120" s="88">
        <v>903.87466283672291</v>
      </c>
      <c r="BP120" s="88">
        <v>903.67972742759628</v>
      </c>
      <c r="BQ120" s="88">
        <v>903.48506931893928</v>
      </c>
      <c r="BR120" s="88">
        <v>267.92892513836489</v>
      </c>
      <c r="BS120" s="88">
        <v>267.73863027734308</v>
      </c>
      <c r="BT120" s="88">
        <v>267.54860553597092</v>
      </c>
      <c r="BU120" s="88">
        <v>267.3588503395041</v>
      </c>
      <c r="BV120" s="88">
        <v>267.16936411484221</v>
      </c>
      <c r="BW120" s="88">
        <v>630.00000000000057</v>
      </c>
      <c r="BX120" s="88">
        <v>630.00000000000057</v>
      </c>
      <c r="BY120" s="88">
        <v>630.00000000000057</v>
      </c>
      <c r="BZ120" s="88">
        <v>630.00000000000057</v>
      </c>
      <c r="CA120" s="88">
        <v>630.00000000000057</v>
      </c>
      <c r="CB120" s="88">
        <v>630.00000000000057</v>
      </c>
      <c r="CC120" s="88">
        <v>630.00000000000057</v>
      </c>
      <c r="CD120" s="88">
        <v>0</v>
      </c>
      <c r="CE120" s="88">
        <v>0</v>
      </c>
      <c r="CF120" s="88">
        <v>0</v>
      </c>
      <c r="CG120" s="88">
        <v>0</v>
      </c>
      <c r="CH120" s="88">
        <v>0</v>
      </c>
      <c r="CI120" s="88">
        <v>31500</v>
      </c>
      <c r="CJ120" s="88">
        <v>31500</v>
      </c>
      <c r="CK120" s="88">
        <v>31500</v>
      </c>
      <c r="CL120" s="88">
        <v>31500</v>
      </c>
      <c r="CM120" s="88">
        <v>31500</v>
      </c>
      <c r="CN120" s="88">
        <v>31500</v>
      </c>
      <c r="CO120" s="88">
        <v>31500</v>
      </c>
      <c r="CP120" s="88">
        <v>31500</v>
      </c>
      <c r="CQ120" s="88">
        <v>31500</v>
      </c>
      <c r="CR120" s="88">
        <v>31500</v>
      </c>
      <c r="CS120" s="88">
        <v>31500</v>
      </c>
      <c r="CT120" s="88">
        <v>31500</v>
      </c>
      <c r="CU120" s="88">
        <v>269.25914216461359</v>
      </c>
      <c r="CV120" s="88">
        <v>269.07325064357639</v>
      </c>
      <c r="CW120" s="88">
        <v>268.88761561758452</v>
      </c>
      <c r="CX120" s="88">
        <v>268.69595699929948</v>
      </c>
      <c r="CY120" s="88">
        <v>268.50457140855309</v>
      </c>
      <c r="CZ120" s="88">
        <v>268.31345826234758</v>
      </c>
      <c r="DA120" s="88">
        <v>268.12261697935008</v>
      </c>
      <c r="DB120" s="88">
        <v>267.92892513836489</v>
      </c>
      <c r="DC120" s="88">
        <v>267.73863027734308</v>
      </c>
      <c r="DD120" s="88">
        <v>267.54860553597092</v>
      </c>
      <c r="DE120" s="88">
        <v>267.3588503395041</v>
      </c>
      <c r="DF120" s="88">
        <v>267.16936411484221</v>
      </c>
      <c r="DG120" s="93">
        <v>46235</v>
      </c>
      <c r="DH120" s="91">
        <v>0.02</v>
      </c>
      <c r="DI120" t="s">
        <v>301</v>
      </c>
      <c r="DJ120" s="93"/>
      <c r="DK120" s="91"/>
      <c r="DM120" s="93"/>
      <c r="DN120" s="91"/>
      <c r="DP120" s="93"/>
      <c r="DQ120" s="91"/>
    </row>
    <row r="121" spans="1:121" x14ac:dyDescent="0.3">
      <c r="A121" t="s">
        <v>24</v>
      </c>
      <c r="B121" t="s">
        <v>47</v>
      </c>
      <c r="C121" t="s">
        <v>87</v>
      </c>
      <c r="D121" t="s">
        <v>414</v>
      </c>
      <c r="E121" t="s">
        <v>484</v>
      </c>
      <c r="F121" s="86">
        <v>77000</v>
      </c>
      <c r="G121" s="87">
        <v>12</v>
      </c>
      <c r="H121" s="88">
        <v>1</v>
      </c>
      <c r="I121" s="88">
        <v>1</v>
      </c>
      <c r="J121" s="89">
        <v>0.93800419401896429</v>
      </c>
      <c r="K121" s="88">
        <v>1</v>
      </c>
      <c r="L121" s="88">
        <v>1.012788648555651</v>
      </c>
      <c r="M121" s="88">
        <v>1</v>
      </c>
      <c r="N121" s="90">
        <v>0.628</v>
      </c>
      <c r="O121" s="90">
        <v>0.63603127129294912</v>
      </c>
      <c r="P121" s="90">
        <v>0.6405798805634455</v>
      </c>
      <c r="Q121" s="91">
        <v>0</v>
      </c>
      <c r="R121" s="88">
        <v>1</v>
      </c>
      <c r="S121" s="88">
        <v>1.020031656948162</v>
      </c>
      <c r="T121" s="91">
        <v>0</v>
      </c>
      <c r="U121" s="91">
        <v>0</v>
      </c>
      <c r="V121" s="87">
        <v>0</v>
      </c>
      <c r="W121" s="91">
        <v>0</v>
      </c>
      <c r="X121" s="87">
        <v>1</v>
      </c>
      <c r="Y121" s="90">
        <v>0.63603127129294912</v>
      </c>
      <c r="Z121" s="90">
        <v>0.6405798805634455</v>
      </c>
      <c r="AA121" s="92">
        <v>0</v>
      </c>
      <c r="AB121" s="88">
        <v>0</v>
      </c>
      <c r="AC121" s="87">
        <v>0</v>
      </c>
      <c r="AD121" s="87">
        <v>0</v>
      </c>
      <c r="AE121" s="88">
        <v>1</v>
      </c>
      <c r="AF121" s="88">
        <v>0.99152129657519972</v>
      </c>
      <c r="AG121" s="88">
        <v>0.99152129657519972</v>
      </c>
      <c r="AH121" s="88">
        <v>77000</v>
      </c>
      <c r="AI121" s="88">
        <v>77000</v>
      </c>
      <c r="AJ121" s="88">
        <v>72226.322939460253</v>
      </c>
      <c r="AK121" s="88">
        <v>77000</v>
      </c>
      <c r="AL121" s="88">
        <v>77984.725938785166</v>
      </c>
      <c r="AM121" s="88">
        <v>77000</v>
      </c>
      <c r="AN121" s="88">
        <v>48356</v>
      </c>
      <c r="AO121" s="88">
        <v>48974.407889557093</v>
      </c>
      <c r="AP121" s="88">
        <v>49324.650803385302</v>
      </c>
      <c r="AQ121" s="88">
        <v>0</v>
      </c>
      <c r="AR121" s="88">
        <v>77000</v>
      </c>
      <c r="AS121" s="88">
        <v>78542.437585008447</v>
      </c>
      <c r="AT121" s="88">
        <v>48974.407889557093</v>
      </c>
      <c r="AU121" s="88">
        <v>49324.650803385302</v>
      </c>
      <c r="AV121" s="88">
        <v>73150</v>
      </c>
      <c r="AW121" s="88">
        <v>72380</v>
      </c>
      <c r="AX121" s="88">
        <v>71610</v>
      </c>
      <c r="AY121" s="88">
        <v>77000</v>
      </c>
      <c r="AZ121" s="88">
        <v>77000</v>
      </c>
      <c r="BA121" s="88">
        <v>77000</v>
      </c>
      <c r="BB121" s="88">
        <v>77000</v>
      </c>
      <c r="BC121" s="88">
        <v>77000</v>
      </c>
      <c r="BD121" s="88">
        <v>77000</v>
      </c>
      <c r="BE121" s="88">
        <v>77000</v>
      </c>
      <c r="BF121" s="88">
        <v>77000</v>
      </c>
      <c r="BG121" s="88">
        <v>77000</v>
      </c>
      <c r="BH121" s="88">
        <v>77000</v>
      </c>
      <c r="BI121" s="88">
        <v>77000</v>
      </c>
      <c r="BJ121" s="88">
        <v>77000</v>
      </c>
      <c r="BK121" s="88">
        <v>-650.34536219643519</v>
      </c>
      <c r="BL121" s="88">
        <v>-650.78960774324332</v>
      </c>
      <c r="BM121" s="88">
        <v>-651.23446062584924</v>
      </c>
      <c r="BN121" s="88">
        <v>-651.69503315864733</v>
      </c>
      <c r="BO121" s="88">
        <v>-652.15625761389026</v>
      </c>
      <c r="BP121" s="88">
        <v>-652.61813537675255</v>
      </c>
      <c r="BQ121" s="88">
        <v>-653.0806678362552</v>
      </c>
      <c r="BR121" s="88">
        <v>-653.55145511411411</v>
      </c>
      <c r="BS121" s="88">
        <v>-654.0153119400444</v>
      </c>
      <c r="BT121" s="88">
        <v>-654.47982767654287</v>
      </c>
      <c r="BU121" s="88">
        <v>-654.94500372854861</v>
      </c>
      <c r="BV121" s="88">
        <v>-655.41084150507811</v>
      </c>
      <c r="BW121" s="88">
        <v>0</v>
      </c>
      <c r="BX121" s="88">
        <v>0</v>
      </c>
      <c r="BY121" s="88">
        <v>0</v>
      </c>
      <c r="BZ121" s="88">
        <v>0</v>
      </c>
      <c r="CA121" s="88">
        <v>0</v>
      </c>
      <c r="CB121" s="88">
        <v>0</v>
      </c>
      <c r="CC121" s="88">
        <v>0</v>
      </c>
      <c r="CD121" s="88">
        <v>0</v>
      </c>
      <c r="CE121" s="88">
        <v>0</v>
      </c>
      <c r="CF121" s="88">
        <v>0</v>
      </c>
      <c r="CG121" s="88">
        <v>0</v>
      </c>
      <c r="CH121" s="88">
        <v>0</v>
      </c>
      <c r="CI121" s="88">
        <v>77000</v>
      </c>
      <c r="CJ121" s="88">
        <v>77000</v>
      </c>
      <c r="CK121" s="88">
        <v>77000</v>
      </c>
      <c r="CL121" s="88">
        <v>77000</v>
      </c>
      <c r="CM121" s="88">
        <v>77000</v>
      </c>
      <c r="CN121" s="88">
        <v>77000</v>
      </c>
      <c r="CO121" s="88">
        <v>77000</v>
      </c>
      <c r="CP121" s="88">
        <v>77000</v>
      </c>
      <c r="CQ121" s="88">
        <v>77000</v>
      </c>
      <c r="CR121" s="88">
        <v>77000</v>
      </c>
      <c r="CS121" s="88">
        <v>77000</v>
      </c>
      <c r="CT121" s="88">
        <v>77000</v>
      </c>
      <c r="CU121" s="88">
        <v>-650.34536219643519</v>
      </c>
      <c r="CV121" s="88">
        <v>-650.78960774324332</v>
      </c>
      <c r="CW121" s="88">
        <v>-651.23446062584924</v>
      </c>
      <c r="CX121" s="88">
        <v>-651.69503315864733</v>
      </c>
      <c r="CY121" s="88">
        <v>-652.15625761389026</v>
      </c>
      <c r="CZ121" s="88">
        <v>-652.61813537675255</v>
      </c>
      <c r="DA121" s="88">
        <v>-653.0806678362552</v>
      </c>
      <c r="DB121" s="88">
        <v>-653.55145511411411</v>
      </c>
      <c r="DC121" s="88">
        <v>-654.0153119400444</v>
      </c>
      <c r="DD121" s="88">
        <v>-654.47982767654287</v>
      </c>
      <c r="DE121" s="88">
        <v>-654.94500372854861</v>
      </c>
      <c r="DF121" s="88">
        <v>-655.41084150507811</v>
      </c>
      <c r="DG121" s="93"/>
      <c r="DH121" s="91"/>
      <c r="DJ121" s="93"/>
      <c r="DK121" s="91"/>
      <c r="DM121" s="93"/>
      <c r="DN121" s="91"/>
      <c r="DP121" s="93"/>
      <c r="DQ121" s="91"/>
    </row>
    <row r="122" spans="1:121" x14ac:dyDescent="0.3">
      <c r="A122" t="s">
        <v>24</v>
      </c>
      <c r="B122" t="s">
        <v>47</v>
      </c>
      <c r="C122" t="s">
        <v>89</v>
      </c>
      <c r="D122" t="s">
        <v>416</v>
      </c>
      <c r="E122" t="s">
        <v>485</v>
      </c>
      <c r="F122" s="86">
        <v>63000</v>
      </c>
      <c r="G122" s="87">
        <v>12</v>
      </c>
      <c r="H122" s="88">
        <v>1.04</v>
      </c>
      <c r="I122" s="88">
        <v>1.0323611111111111</v>
      </c>
      <c r="J122" s="89">
        <v>0.94099790299051811</v>
      </c>
      <c r="K122" s="88">
        <v>1.0073994349522399</v>
      </c>
      <c r="L122" s="88">
        <v>1.009566543114361</v>
      </c>
      <c r="M122" s="88">
        <v>1</v>
      </c>
      <c r="N122" s="90">
        <v>0.61199999999999999</v>
      </c>
      <c r="O122" s="90">
        <v>0.62242650022901713</v>
      </c>
      <c r="P122" s="90">
        <v>0.59589537705781925</v>
      </c>
      <c r="Q122" s="91">
        <v>0</v>
      </c>
      <c r="R122" s="88">
        <v>0.96787202580992038</v>
      </c>
      <c r="S122" s="88">
        <v>1.006006197788017</v>
      </c>
      <c r="T122" s="91">
        <v>-7.3450854700855004E-3</v>
      </c>
      <c r="U122" s="91">
        <v>4.0839499529127243E-2</v>
      </c>
      <c r="V122" s="87">
        <v>0</v>
      </c>
      <c r="W122" s="91">
        <v>0</v>
      </c>
      <c r="X122" s="87">
        <v>1</v>
      </c>
      <c r="Y122" s="90">
        <v>0.62242650022901713</v>
      </c>
      <c r="Z122" s="90">
        <v>0.59589537705781925</v>
      </c>
      <c r="AA122" s="92">
        <v>0</v>
      </c>
      <c r="AB122" s="88">
        <v>0</v>
      </c>
      <c r="AC122" s="87">
        <v>1</v>
      </c>
      <c r="AD122" s="87">
        <v>1</v>
      </c>
      <c r="AE122" s="88">
        <v>1.046933333333333</v>
      </c>
      <c r="AF122" s="88">
        <v>1.004252860915166</v>
      </c>
      <c r="AG122" s="88">
        <v>1.0513857741871999</v>
      </c>
      <c r="AH122" s="88">
        <v>65520</v>
      </c>
      <c r="AI122" s="88">
        <v>65038.75</v>
      </c>
      <c r="AJ122" s="88">
        <v>59282.867888402638</v>
      </c>
      <c r="AK122" s="88">
        <v>63466.164401991133</v>
      </c>
      <c r="AL122" s="88">
        <v>63602.692216204727</v>
      </c>
      <c r="AM122" s="88">
        <v>63000</v>
      </c>
      <c r="AN122" s="88">
        <v>38556</v>
      </c>
      <c r="AO122" s="88">
        <v>39212.869514428079</v>
      </c>
      <c r="AP122" s="88">
        <v>37541.408754642624</v>
      </c>
      <c r="AQ122" s="88">
        <v>0</v>
      </c>
      <c r="AR122" s="88">
        <v>60975.937626024977</v>
      </c>
      <c r="AS122" s="88">
        <v>63378.390460645067</v>
      </c>
      <c r="AT122" s="88">
        <v>39212.869514428079</v>
      </c>
      <c r="AU122" s="88">
        <v>37541.408754642624</v>
      </c>
      <c r="AV122" s="88">
        <v>59850</v>
      </c>
      <c r="AW122" s="88">
        <v>59220</v>
      </c>
      <c r="AX122" s="88">
        <v>59535</v>
      </c>
      <c r="AY122" s="88">
        <v>63000</v>
      </c>
      <c r="AZ122" s="88">
        <v>63000</v>
      </c>
      <c r="BA122" s="88">
        <v>63000</v>
      </c>
      <c r="BB122" s="88">
        <v>63000</v>
      </c>
      <c r="BC122" s="88">
        <v>63000</v>
      </c>
      <c r="BD122" s="88">
        <v>63000</v>
      </c>
      <c r="BE122" s="88">
        <v>63000</v>
      </c>
      <c r="BF122" s="88">
        <v>63000</v>
      </c>
      <c r="BG122" s="88">
        <v>63000</v>
      </c>
      <c r="BH122" s="88">
        <v>63000</v>
      </c>
      <c r="BI122" s="88">
        <v>63000</v>
      </c>
      <c r="BJ122" s="88">
        <v>63000</v>
      </c>
      <c r="BK122" s="88">
        <v>2799.1877046644572</v>
      </c>
      <c r="BL122" s="88">
        <v>2799.0915880870102</v>
      </c>
      <c r="BM122" s="88">
        <v>2798.9955376673461</v>
      </c>
      <c r="BN122" s="88">
        <v>2798.8963007883581</v>
      </c>
      <c r="BO122" s="88">
        <v>2798.7971344800908</v>
      </c>
      <c r="BP122" s="88">
        <v>2798.6980386672708</v>
      </c>
      <c r="BQ122" s="88">
        <v>2798.5990132747788</v>
      </c>
      <c r="BR122" s="88">
        <v>5430.4383740632629</v>
      </c>
      <c r="BS122" s="88">
        <v>5430.3355350927404</v>
      </c>
      <c r="BT122" s="88">
        <v>2798.3007395425479</v>
      </c>
      <c r="BU122" s="88">
        <v>2798.2019962309009</v>
      </c>
      <c r="BV122" s="88">
        <v>2798.1033229642048</v>
      </c>
      <c r="BW122" s="88">
        <v>2520.0000000000018</v>
      </c>
      <c r="BX122" s="88">
        <v>2520.0000000000018</v>
      </c>
      <c r="BY122" s="88">
        <v>2520.0000000000018</v>
      </c>
      <c r="BZ122" s="88">
        <v>2520.0000000000018</v>
      </c>
      <c r="CA122" s="88">
        <v>2520.0000000000018</v>
      </c>
      <c r="CB122" s="88">
        <v>2520.0000000000018</v>
      </c>
      <c r="CC122" s="88">
        <v>2520.0000000000018</v>
      </c>
      <c r="CD122" s="88">
        <v>5140.8000000000065</v>
      </c>
      <c r="CE122" s="88">
        <v>5140.8000000000065</v>
      </c>
      <c r="CF122" s="88">
        <v>2520.0000000000018</v>
      </c>
      <c r="CG122" s="88">
        <v>2520.0000000000018</v>
      </c>
      <c r="CH122" s="88">
        <v>2520.0000000000018</v>
      </c>
      <c r="CI122" s="88">
        <v>63000</v>
      </c>
      <c r="CJ122" s="88">
        <v>63000</v>
      </c>
      <c r="CK122" s="88">
        <v>63000</v>
      </c>
      <c r="CL122" s="88">
        <v>63000</v>
      </c>
      <c r="CM122" s="88">
        <v>63000</v>
      </c>
      <c r="CN122" s="88">
        <v>63000</v>
      </c>
      <c r="CO122" s="88">
        <v>63000</v>
      </c>
      <c r="CP122" s="88">
        <v>63000</v>
      </c>
      <c r="CQ122" s="88">
        <v>63000</v>
      </c>
      <c r="CR122" s="88">
        <v>63000</v>
      </c>
      <c r="CS122" s="88">
        <v>63000</v>
      </c>
      <c r="CT122" s="88">
        <v>63000</v>
      </c>
      <c r="CU122" s="88">
        <v>268.44971602351382</v>
      </c>
      <c r="CV122" s="88">
        <v>268.35729623750962</v>
      </c>
      <c r="CW122" s="88">
        <v>268.26494006475212</v>
      </c>
      <c r="CX122" s="88">
        <v>268.16951998880347</v>
      </c>
      <c r="CY122" s="88">
        <v>268.07416776931319</v>
      </c>
      <c r="CZ122" s="88">
        <v>267.97888333391739</v>
      </c>
      <c r="DA122" s="88">
        <v>267.88366661036372</v>
      </c>
      <c r="DB122" s="88">
        <v>267.78695826854897</v>
      </c>
      <c r="DC122" s="88">
        <v>267.69187785940312</v>
      </c>
      <c r="DD122" s="88">
        <v>267.59686494475511</v>
      </c>
      <c r="DE122" s="88">
        <v>267.50191945278658</v>
      </c>
      <c r="DF122" s="88">
        <v>267.40704131173487</v>
      </c>
      <c r="DG122" s="93">
        <v>46296</v>
      </c>
      <c r="DH122" s="91">
        <v>0.04</v>
      </c>
      <c r="DI122" t="s">
        <v>301</v>
      </c>
      <c r="DJ122" s="93">
        <v>46600</v>
      </c>
      <c r="DK122" s="91">
        <v>0.04</v>
      </c>
      <c r="DL122" t="s">
        <v>302</v>
      </c>
      <c r="DM122" s="93"/>
      <c r="DN122" s="91"/>
      <c r="DP122" s="93"/>
      <c r="DQ122" s="91"/>
    </row>
    <row r="123" spans="1:121" x14ac:dyDescent="0.3">
      <c r="A123" t="s">
        <v>24</v>
      </c>
      <c r="B123" t="s">
        <v>47</v>
      </c>
      <c r="C123" t="s">
        <v>91</v>
      </c>
      <c r="D123" t="s">
        <v>418</v>
      </c>
      <c r="E123" t="s">
        <v>486</v>
      </c>
      <c r="F123" s="86">
        <v>49000</v>
      </c>
      <c r="G123" s="87">
        <v>12</v>
      </c>
      <c r="H123" s="88">
        <v>1.05</v>
      </c>
      <c r="I123" s="88">
        <v>1.0326388888888891</v>
      </c>
      <c r="J123" s="89">
        <v>0.9439916119620716</v>
      </c>
      <c r="K123" s="88">
        <v>1.0168123739071959</v>
      </c>
      <c r="L123" s="88">
        <v>1.0063648743927289</v>
      </c>
      <c r="M123" s="88">
        <v>1</v>
      </c>
      <c r="N123" s="90">
        <v>0.64</v>
      </c>
      <c r="O123" s="90">
        <v>0.65490192444677608</v>
      </c>
      <c r="P123" s="90">
        <v>0.63511117308756615</v>
      </c>
      <c r="Q123" s="91">
        <v>0</v>
      </c>
      <c r="R123" s="88">
        <v>1</v>
      </c>
      <c r="S123" s="88">
        <v>0.99236120794932203</v>
      </c>
      <c r="T123" s="91">
        <v>-1.653439153439162E-2</v>
      </c>
      <c r="U123" s="91">
        <v>1.6812373907195699E-2</v>
      </c>
      <c r="V123" s="87">
        <v>0</v>
      </c>
      <c r="W123" s="91">
        <v>0</v>
      </c>
      <c r="X123" s="87">
        <v>1</v>
      </c>
      <c r="Y123" s="90">
        <v>0.65490192444677608</v>
      </c>
      <c r="Z123" s="90">
        <v>0.63511117308756615</v>
      </c>
      <c r="AA123" s="92">
        <v>0</v>
      </c>
      <c r="AB123" s="88">
        <v>0</v>
      </c>
      <c r="AC123" s="87">
        <v>1</v>
      </c>
      <c r="AD123" s="87">
        <v>0</v>
      </c>
      <c r="AE123" s="88">
        <v>1.041666666666667</v>
      </c>
      <c r="AF123" s="88">
        <v>1.017066289316704</v>
      </c>
      <c r="AG123" s="88">
        <v>1.059445061865683</v>
      </c>
      <c r="AH123" s="88">
        <v>51450</v>
      </c>
      <c r="AI123" s="88">
        <v>50599.305555555547</v>
      </c>
      <c r="AJ123" s="88">
        <v>46255.588986141513</v>
      </c>
      <c r="AK123" s="88">
        <v>49823.80632145259</v>
      </c>
      <c r="AL123" s="88">
        <v>49311.878845243707</v>
      </c>
      <c r="AM123" s="88">
        <v>49000</v>
      </c>
      <c r="AN123" s="88">
        <v>31360</v>
      </c>
      <c r="AO123" s="88">
        <v>32090.194297892031</v>
      </c>
      <c r="AP123" s="88">
        <v>31120.447481290739</v>
      </c>
      <c r="AQ123" s="88">
        <v>0</v>
      </c>
      <c r="AR123" s="88">
        <v>49000</v>
      </c>
      <c r="AS123" s="88">
        <v>48625.699189516781</v>
      </c>
      <c r="AT123" s="88">
        <v>32090.194297892031</v>
      </c>
      <c r="AU123" s="88">
        <v>31120.447481290739</v>
      </c>
      <c r="AV123" s="88">
        <v>46550</v>
      </c>
      <c r="AW123" s="88">
        <v>46060</v>
      </c>
      <c r="AX123" s="88">
        <v>47040</v>
      </c>
      <c r="AY123" s="88">
        <v>49000</v>
      </c>
      <c r="AZ123" s="88">
        <v>49000</v>
      </c>
      <c r="BA123" s="88">
        <v>49000</v>
      </c>
      <c r="BB123" s="88">
        <v>49000</v>
      </c>
      <c r="BC123" s="88">
        <v>49000</v>
      </c>
      <c r="BD123" s="88">
        <v>49000</v>
      </c>
      <c r="BE123" s="88">
        <v>49000</v>
      </c>
      <c r="BF123" s="88">
        <v>49000</v>
      </c>
      <c r="BG123" s="88">
        <v>49000</v>
      </c>
      <c r="BH123" s="88">
        <v>49000</v>
      </c>
      <c r="BI123" s="88">
        <v>49000</v>
      </c>
      <c r="BJ123" s="88">
        <v>49000</v>
      </c>
      <c r="BK123" s="88">
        <v>3334.9162406050509</v>
      </c>
      <c r="BL123" s="88">
        <v>3333.6878264552311</v>
      </c>
      <c r="BM123" s="88">
        <v>3332.4628180728891</v>
      </c>
      <c r="BN123" s="88">
        <v>3331.199849842807</v>
      </c>
      <c r="BO123" s="88">
        <v>3329.9404915305872</v>
      </c>
      <c r="BP123" s="88">
        <v>3328.684727681089</v>
      </c>
      <c r="BQ123" s="88">
        <v>3327.4325429272362</v>
      </c>
      <c r="BR123" s="88">
        <v>3326.163482399058</v>
      </c>
      <c r="BS123" s="88">
        <v>3324.918468132696</v>
      </c>
      <c r="BT123" s="88">
        <v>3323.6769871362362</v>
      </c>
      <c r="BU123" s="88">
        <v>830.89430894308919</v>
      </c>
      <c r="BV123" s="88">
        <v>829.71863329544647</v>
      </c>
      <c r="BW123" s="88">
        <v>2450.0000000000018</v>
      </c>
      <c r="BX123" s="88">
        <v>2450.0000000000018</v>
      </c>
      <c r="BY123" s="88">
        <v>2450.0000000000018</v>
      </c>
      <c r="BZ123" s="88">
        <v>2450.0000000000018</v>
      </c>
      <c r="CA123" s="88">
        <v>2450.0000000000018</v>
      </c>
      <c r="CB123" s="88">
        <v>2450.0000000000018</v>
      </c>
      <c r="CC123" s="88">
        <v>2450.0000000000018</v>
      </c>
      <c r="CD123" s="88">
        <v>2450.0000000000018</v>
      </c>
      <c r="CE123" s="88">
        <v>2450.0000000000018</v>
      </c>
      <c r="CF123" s="88">
        <v>2450.0000000000018</v>
      </c>
      <c r="CG123" s="88">
        <v>0</v>
      </c>
      <c r="CH123" s="88">
        <v>0</v>
      </c>
      <c r="CI123" s="88">
        <v>49000</v>
      </c>
      <c r="CJ123" s="88">
        <v>49000</v>
      </c>
      <c r="CK123" s="88">
        <v>49000</v>
      </c>
      <c r="CL123" s="88">
        <v>49000</v>
      </c>
      <c r="CM123" s="88">
        <v>49000</v>
      </c>
      <c r="CN123" s="88">
        <v>49000</v>
      </c>
      <c r="CO123" s="88">
        <v>49000</v>
      </c>
      <c r="CP123" s="88">
        <v>49000</v>
      </c>
      <c r="CQ123" s="88">
        <v>49000</v>
      </c>
      <c r="CR123" s="88">
        <v>49000</v>
      </c>
      <c r="CS123" s="88">
        <v>49000</v>
      </c>
      <c r="CT123" s="88">
        <v>49000</v>
      </c>
      <c r="CU123" s="88">
        <v>842.77737200481283</v>
      </c>
      <c r="CV123" s="88">
        <v>841.60745376688408</v>
      </c>
      <c r="CW123" s="88">
        <v>840.44077911703835</v>
      </c>
      <c r="CX123" s="88">
        <v>839.23795223124523</v>
      </c>
      <c r="CY123" s="88">
        <v>838.03856336246338</v>
      </c>
      <c r="CZ123" s="88">
        <v>836.84259779150989</v>
      </c>
      <c r="DA123" s="88">
        <v>835.65004088307717</v>
      </c>
      <c r="DB123" s="88">
        <v>834.44141180862118</v>
      </c>
      <c r="DC123" s="88">
        <v>833.25568393590004</v>
      </c>
      <c r="DD123" s="88">
        <v>832.07332108213052</v>
      </c>
      <c r="DE123" s="88">
        <v>830.89430894308919</v>
      </c>
      <c r="DF123" s="88">
        <v>829.71863329544647</v>
      </c>
      <c r="DG123" s="93">
        <v>46327</v>
      </c>
      <c r="DH123" s="91">
        <v>0.05</v>
      </c>
      <c r="DI123" t="s">
        <v>301</v>
      </c>
      <c r="DJ123" s="93"/>
      <c r="DK123" s="91"/>
      <c r="DM123" s="93"/>
      <c r="DN123" s="91"/>
      <c r="DP123" s="93"/>
      <c r="DQ123" s="91"/>
    </row>
    <row r="124" spans="1:121" x14ac:dyDescent="0.3">
      <c r="A124" t="s">
        <v>24</v>
      </c>
      <c r="B124" t="s">
        <v>47</v>
      </c>
      <c r="C124" t="s">
        <v>92</v>
      </c>
      <c r="D124" t="s">
        <v>420</v>
      </c>
      <c r="E124" t="s">
        <v>487</v>
      </c>
      <c r="F124" s="86">
        <v>35000</v>
      </c>
      <c r="G124" s="87">
        <v>12</v>
      </c>
      <c r="H124" s="88">
        <v>1</v>
      </c>
      <c r="I124" s="88">
        <v>1</v>
      </c>
      <c r="J124" s="89">
        <v>0.93999999999999984</v>
      </c>
      <c r="K124" s="88">
        <v>1</v>
      </c>
      <c r="L124" s="88">
        <v>1.0106382978723401</v>
      </c>
      <c r="M124" s="88">
        <v>1</v>
      </c>
      <c r="N124" s="90">
        <v>0.624</v>
      </c>
      <c r="O124" s="90">
        <v>0.63063829787234049</v>
      </c>
      <c r="P124" s="90">
        <v>0.63063829787234049</v>
      </c>
      <c r="Q124" s="91">
        <v>0</v>
      </c>
      <c r="R124" s="88">
        <v>1</v>
      </c>
      <c r="S124" s="88">
        <v>1.0106382978723401</v>
      </c>
      <c r="T124" s="91">
        <v>0</v>
      </c>
      <c r="U124" s="91">
        <v>0</v>
      </c>
      <c r="V124" s="87">
        <v>0</v>
      </c>
      <c r="W124" s="91">
        <v>0</v>
      </c>
      <c r="X124" s="87">
        <v>1</v>
      </c>
      <c r="Y124" s="90">
        <v>0.63063829787234049</v>
      </c>
      <c r="Z124" s="90">
        <v>0.63063829787234049</v>
      </c>
      <c r="AA124" s="92">
        <v>0</v>
      </c>
      <c r="AB124" s="88">
        <v>0</v>
      </c>
      <c r="AC124" s="87">
        <v>0</v>
      </c>
      <c r="AD124" s="87">
        <v>0</v>
      </c>
      <c r="AE124" s="88">
        <v>1</v>
      </c>
      <c r="AF124" s="88">
        <v>1</v>
      </c>
      <c r="AG124" s="88">
        <v>1</v>
      </c>
      <c r="AH124" s="88">
        <v>35000</v>
      </c>
      <c r="AI124" s="88">
        <v>35000</v>
      </c>
      <c r="AJ124" s="88">
        <v>32899.999999999993</v>
      </c>
      <c r="AK124" s="88">
        <v>35000</v>
      </c>
      <c r="AL124" s="88">
        <v>35372.340425531918</v>
      </c>
      <c r="AM124" s="88">
        <v>35000</v>
      </c>
      <c r="AN124" s="88">
        <v>21840</v>
      </c>
      <c r="AO124" s="88">
        <v>22072.340425531918</v>
      </c>
      <c r="AP124" s="88">
        <v>22072.340425531918</v>
      </c>
      <c r="AQ124" s="88">
        <v>0</v>
      </c>
      <c r="AR124" s="88">
        <v>35000</v>
      </c>
      <c r="AS124" s="88">
        <v>35372.340425531918</v>
      </c>
      <c r="AT124" s="88">
        <v>22072.340425531918</v>
      </c>
      <c r="AU124" s="88">
        <v>22072.340425531918</v>
      </c>
      <c r="AV124" s="88">
        <v>33250</v>
      </c>
      <c r="AW124" s="88">
        <v>32900</v>
      </c>
      <c r="AX124" s="88">
        <v>32900</v>
      </c>
      <c r="AY124" s="88">
        <v>35000</v>
      </c>
      <c r="AZ124" s="88">
        <v>35000</v>
      </c>
      <c r="BA124" s="88">
        <v>35000</v>
      </c>
      <c r="BB124" s="88">
        <v>35000</v>
      </c>
      <c r="BC124" s="88">
        <v>35000</v>
      </c>
      <c r="BD124" s="88">
        <v>35000</v>
      </c>
      <c r="BE124" s="88">
        <v>35000</v>
      </c>
      <c r="BF124" s="88">
        <v>35000</v>
      </c>
      <c r="BG124" s="88">
        <v>35000</v>
      </c>
      <c r="BH124" s="88">
        <v>35000</v>
      </c>
      <c r="BI124" s="88">
        <v>35000</v>
      </c>
      <c r="BJ124" s="88">
        <v>35000</v>
      </c>
      <c r="BK124" s="88">
        <v>0</v>
      </c>
      <c r="BL124" s="88">
        <v>0</v>
      </c>
      <c r="BM124" s="88">
        <v>0</v>
      </c>
      <c r="BN124" s="88">
        <v>0</v>
      </c>
      <c r="BO124" s="88">
        <v>0</v>
      </c>
      <c r="BP124" s="88">
        <v>0</v>
      </c>
      <c r="BQ124" s="88">
        <v>0</v>
      </c>
      <c r="BR124" s="88">
        <v>0</v>
      </c>
      <c r="BS124" s="88">
        <v>0</v>
      </c>
      <c r="BT124" s="88">
        <v>0</v>
      </c>
      <c r="BU124" s="88">
        <v>0</v>
      </c>
      <c r="BV124" s="88">
        <v>0</v>
      </c>
      <c r="BW124" s="88">
        <v>0</v>
      </c>
      <c r="BX124" s="88">
        <v>0</v>
      </c>
      <c r="BY124" s="88">
        <v>0</v>
      </c>
      <c r="BZ124" s="88">
        <v>0</v>
      </c>
      <c r="CA124" s="88">
        <v>0</v>
      </c>
      <c r="CB124" s="88">
        <v>0</v>
      </c>
      <c r="CC124" s="88">
        <v>0</v>
      </c>
      <c r="CD124" s="88">
        <v>0</v>
      </c>
      <c r="CE124" s="88">
        <v>0</v>
      </c>
      <c r="CF124" s="88">
        <v>0</v>
      </c>
      <c r="CG124" s="88">
        <v>0</v>
      </c>
      <c r="CH124" s="88">
        <v>0</v>
      </c>
      <c r="CI124" s="88">
        <v>35000</v>
      </c>
      <c r="CJ124" s="88">
        <v>35000</v>
      </c>
      <c r="CK124" s="88">
        <v>35000</v>
      </c>
      <c r="CL124" s="88">
        <v>35000</v>
      </c>
      <c r="CM124" s="88">
        <v>35000</v>
      </c>
      <c r="CN124" s="88">
        <v>35000</v>
      </c>
      <c r="CO124" s="88">
        <v>35000</v>
      </c>
      <c r="CP124" s="88">
        <v>35000</v>
      </c>
      <c r="CQ124" s="88">
        <v>35000</v>
      </c>
      <c r="CR124" s="88">
        <v>35000</v>
      </c>
      <c r="CS124" s="88">
        <v>35000</v>
      </c>
      <c r="CT124" s="88">
        <v>35000</v>
      </c>
      <c r="CU124" s="88">
        <v>0</v>
      </c>
      <c r="CV124" s="88">
        <v>0</v>
      </c>
      <c r="CW124" s="88">
        <v>0</v>
      </c>
      <c r="CX124" s="88">
        <v>0</v>
      </c>
      <c r="CY124" s="88">
        <v>0</v>
      </c>
      <c r="CZ124" s="88">
        <v>0</v>
      </c>
      <c r="DA124" s="88">
        <v>0</v>
      </c>
      <c r="DB124" s="88">
        <v>0</v>
      </c>
      <c r="DC124" s="88">
        <v>0</v>
      </c>
      <c r="DD124" s="88">
        <v>0</v>
      </c>
      <c r="DE124" s="88">
        <v>0</v>
      </c>
      <c r="DF124" s="88">
        <v>0</v>
      </c>
      <c r="DG124" s="93"/>
      <c r="DH124" s="91"/>
      <c r="DJ124" s="93"/>
      <c r="DK124" s="91"/>
      <c r="DM124" s="93"/>
      <c r="DN124" s="91"/>
      <c r="DP124" s="93"/>
      <c r="DQ124" s="91"/>
    </row>
    <row r="125" spans="1:121" x14ac:dyDescent="0.3">
      <c r="A125" t="s">
        <v>24</v>
      </c>
      <c r="B125" t="s">
        <v>47</v>
      </c>
      <c r="C125" t="s">
        <v>94</v>
      </c>
      <c r="D125" t="s">
        <v>422</v>
      </c>
      <c r="E125" t="s">
        <v>488</v>
      </c>
      <c r="F125" s="86">
        <v>80500</v>
      </c>
      <c r="G125" s="87">
        <v>12</v>
      </c>
      <c r="H125" s="88">
        <v>1.02</v>
      </c>
      <c r="I125" s="88">
        <v>1.02</v>
      </c>
      <c r="J125" s="89">
        <v>0.94299370897155343</v>
      </c>
      <c r="K125" s="88">
        <v>1</v>
      </c>
      <c r="L125" s="88">
        <v>1.007429838568157</v>
      </c>
      <c r="M125" s="88">
        <v>1</v>
      </c>
      <c r="N125" s="90">
        <v>0.60799999999999998</v>
      </c>
      <c r="O125" s="90">
        <v>0.61251734184943973</v>
      </c>
      <c r="P125" s="90">
        <v>0.60609587989764258</v>
      </c>
      <c r="Q125" s="91">
        <v>0</v>
      </c>
      <c r="R125" s="88">
        <v>1</v>
      </c>
      <c r="S125" s="88">
        <v>0.99686822351585935</v>
      </c>
      <c r="T125" s="91">
        <v>0</v>
      </c>
      <c r="U125" s="91">
        <v>0</v>
      </c>
      <c r="V125" s="87">
        <v>0</v>
      </c>
      <c r="W125" s="91">
        <v>0</v>
      </c>
      <c r="X125" s="87">
        <v>1</v>
      </c>
      <c r="Y125" s="90">
        <v>0.61251734184943973</v>
      </c>
      <c r="Z125" s="90">
        <v>0.60609587989764258</v>
      </c>
      <c r="AA125" s="92">
        <v>0</v>
      </c>
      <c r="AB125" s="88">
        <v>0</v>
      </c>
      <c r="AC125" s="87">
        <v>1</v>
      </c>
      <c r="AD125" s="87">
        <v>0</v>
      </c>
      <c r="AE125" s="88">
        <v>1</v>
      </c>
      <c r="AF125" s="88">
        <v>1.012785937399076</v>
      </c>
      <c r="AG125" s="88">
        <v>1.012785937399076</v>
      </c>
      <c r="AH125" s="88">
        <v>82110</v>
      </c>
      <c r="AI125" s="88">
        <v>82109.999999999985</v>
      </c>
      <c r="AJ125" s="88">
        <v>75910.993572210049</v>
      </c>
      <c r="AK125" s="88">
        <v>80500.000000000015</v>
      </c>
      <c r="AL125" s="88">
        <v>81098.102004736662</v>
      </c>
      <c r="AM125" s="88">
        <v>80500</v>
      </c>
      <c r="AN125" s="88">
        <v>48944</v>
      </c>
      <c r="AO125" s="88">
        <v>49307.646018879903</v>
      </c>
      <c r="AP125" s="88">
        <v>48790.718331760218</v>
      </c>
      <c r="AQ125" s="88">
        <v>0</v>
      </c>
      <c r="AR125" s="88">
        <v>80500.000000000015</v>
      </c>
      <c r="AS125" s="88">
        <v>80247.891993026671</v>
      </c>
      <c r="AT125" s="88">
        <v>49307.646018879903</v>
      </c>
      <c r="AU125" s="88">
        <v>48790.718331760218</v>
      </c>
      <c r="AV125" s="88">
        <v>76475</v>
      </c>
      <c r="AW125" s="88">
        <v>75670</v>
      </c>
      <c r="AX125" s="88">
        <v>76877.5</v>
      </c>
      <c r="AY125" s="88">
        <v>80500</v>
      </c>
      <c r="AZ125" s="88">
        <v>80500</v>
      </c>
      <c r="BA125" s="88">
        <v>80500</v>
      </c>
      <c r="BB125" s="88">
        <v>80500</v>
      </c>
      <c r="BC125" s="88">
        <v>80500</v>
      </c>
      <c r="BD125" s="88">
        <v>80500</v>
      </c>
      <c r="BE125" s="88">
        <v>80500</v>
      </c>
      <c r="BF125" s="88">
        <v>80500</v>
      </c>
      <c r="BG125" s="88">
        <v>80500</v>
      </c>
      <c r="BH125" s="88">
        <v>80500</v>
      </c>
      <c r="BI125" s="88">
        <v>80500</v>
      </c>
      <c r="BJ125" s="88">
        <v>80500</v>
      </c>
      <c r="BK125" s="88">
        <v>1035.281612806607</v>
      </c>
      <c r="BL125" s="88">
        <v>1034.2066360052679</v>
      </c>
      <c r="BM125" s="88">
        <v>1033.133889276331</v>
      </c>
      <c r="BN125" s="88">
        <v>1032.027115627787</v>
      </c>
      <c r="BO125" s="88">
        <v>1030.922710766225</v>
      </c>
      <c r="BP125" s="88">
        <v>1029.8206670950351</v>
      </c>
      <c r="BQ125" s="88">
        <v>1028.720977050064</v>
      </c>
      <c r="BR125" s="88">
        <v>1027.6056633577959</v>
      </c>
      <c r="BS125" s="88">
        <v>1026.510696276976</v>
      </c>
      <c r="BT125" s="88">
        <v>1025.41806020067</v>
      </c>
      <c r="BU125" s="88">
        <v>1024.327747693296</v>
      </c>
      <c r="BV125" s="88">
        <v>1023.239751350916</v>
      </c>
      <c r="BW125" s="88">
        <v>0</v>
      </c>
      <c r="BX125" s="88">
        <v>0</v>
      </c>
      <c r="BY125" s="88">
        <v>0</v>
      </c>
      <c r="BZ125" s="88">
        <v>0</v>
      </c>
      <c r="CA125" s="88">
        <v>0</v>
      </c>
      <c r="CB125" s="88">
        <v>0</v>
      </c>
      <c r="CC125" s="88">
        <v>0</v>
      </c>
      <c r="CD125" s="88">
        <v>0</v>
      </c>
      <c r="CE125" s="88">
        <v>0</v>
      </c>
      <c r="CF125" s="88">
        <v>0</v>
      </c>
      <c r="CG125" s="88">
        <v>0</v>
      </c>
      <c r="CH125" s="88">
        <v>0</v>
      </c>
      <c r="CI125" s="88">
        <v>80500</v>
      </c>
      <c r="CJ125" s="88">
        <v>80500</v>
      </c>
      <c r="CK125" s="88">
        <v>80500</v>
      </c>
      <c r="CL125" s="88">
        <v>80500</v>
      </c>
      <c r="CM125" s="88">
        <v>80500</v>
      </c>
      <c r="CN125" s="88">
        <v>80500</v>
      </c>
      <c r="CO125" s="88">
        <v>80500</v>
      </c>
      <c r="CP125" s="88">
        <v>80500</v>
      </c>
      <c r="CQ125" s="88">
        <v>80500</v>
      </c>
      <c r="CR125" s="88">
        <v>80500</v>
      </c>
      <c r="CS125" s="88">
        <v>80500</v>
      </c>
      <c r="CT125" s="88">
        <v>80500</v>
      </c>
      <c r="CU125" s="88">
        <v>1035.281612806607</v>
      </c>
      <c r="CV125" s="88">
        <v>1034.2066360052679</v>
      </c>
      <c r="CW125" s="88">
        <v>1033.133889276331</v>
      </c>
      <c r="CX125" s="88">
        <v>1032.027115627787</v>
      </c>
      <c r="CY125" s="88">
        <v>1030.922710766225</v>
      </c>
      <c r="CZ125" s="88">
        <v>1029.8206670950351</v>
      </c>
      <c r="DA125" s="88">
        <v>1028.720977050064</v>
      </c>
      <c r="DB125" s="88">
        <v>1027.6056633577959</v>
      </c>
      <c r="DC125" s="88">
        <v>1026.510696276976</v>
      </c>
      <c r="DD125" s="88">
        <v>1025.41806020067</v>
      </c>
      <c r="DE125" s="88">
        <v>1024.327747693296</v>
      </c>
      <c r="DF125" s="88">
        <v>1023.239751350916</v>
      </c>
      <c r="DG125" s="93">
        <v>46023</v>
      </c>
      <c r="DH125" s="91">
        <v>0.02</v>
      </c>
      <c r="DI125" t="s">
        <v>301</v>
      </c>
      <c r="DJ125" s="93"/>
      <c r="DK125" s="91"/>
      <c r="DM125" s="93"/>
      <c r="DN125" s="91"/>
      <c r="DP125" s="93"/>
      <c r="DQ125" s="91"/>
    </row>
    <row r="126" spans="1:121" x14ac:dyDescent="0.3">
      <c r="A126" t="s">
        <v>24</v>
      </c>
      <c r="B126" t="s">
        <v>47</v>
      </c>
      <c r="C126" t="s">
        <v>95</v>
      </c>
      <c r="D126" t="s">
        <v>424</v>
      </c>
      <c r="E126" t="s">
        <v>489</v>
      </c>
      <c r="F126" s="86">
        <v>66500</v>
      </c>
      <c r="G126" s="87">
        <v>12</v>
      </c>
      <c r="H126" s="88">
        <v>1.03</v>
      </c>
      <c r="I126" s="88">
        <v>1.0472055555555559</v>
      </c>
      <c r="J126" s="89">
        <v>0.93900209700948201</v>
      </c>
      <c r="K126" s="88">
        <v>0.98357003029225942</v>
      </c>
      <c r="L126" s="88">
        <v>1.0117123305960061</v>
      </c>
      <c r="M126" s="88">
        <v>1</v>
      </c>
      <c r="N126" s="90">
        <v>0.63600000000000001</v>
      </c>
      <c r="O126" s="90">
        <v>0.63287719398626885</v>
      </c>
      <c r="P126" s="90">
        <v>0.62098603479660663</v>
      </c>
      <c r="Q126" s="91">
        <v>0</v>
      </c>
      <c r="R126" s="88">
        <v>0.96166688927474275</v>
      </c>
      <c r="S126" s="88">
        <v>1.0153132517737149</v>
      </c>
      <c r="T126" s="91">
        <v>1.6704422869471269E-2</v>
      </c>
      <c r="U126" s="91">
        <v>2.277622455529826E-2</v>
      </c>
      <c r="V126" s="87">
        <v>0</v>
      </c>
      <c r="W126" s="91">
        <v>0</v>
      </c>
      <c r="X126" s="87">
        <v>1</v>
      </c>
      <c r="Y126" s="90">
        <v>0.63287719398626885</v>
      </c>
      <c r="Z126" s="90">
        <v>0.62098603479660663</v>
      </c>
      <c r="AA126" s="92">
        <v>0</v>
      </c>
      <c r="AB126" s="88">
        <v>0</v>
      </c>
      <c r="AC126" s="87">
        <v>1</v>
      </c>
      <c r="AD126" s="87">
        <v>1</v>
      </c>
      <c r="AE126" s="88">
        <v>1.039166666666667</v>
      </c>
      <c r="AF126" s="88">
        <v>0.99575616743366657</v>
      </c>
      <c r="AG126" s="88">
        <v>1.0347566104984189</v>
      </c>
      <c r="AH126" s="88">
        <v>68495</v>
      </c>
      <c r="AI126" s="88">
        <v>69639.169444444444</v>
      </c>
      <c r="AJ126" s="88">
        <v>62443.639451130563</v>
      </c>
      <c r="AK126" s="88">
        <v>65407.407014435252</v>
      </c>
      <c r="AL126" s="88">
        <v>67278.86998463441</v>
      </c>
      <c r="AM126" s="88">
        <v>66500</v>
      </c>
      <c r="AN126" s="88">
        <v>42294</v>
      </c>
      <c r="AO126" s="88">
        <v>42086.333400086878</v>
      </c>
      <c r="AP126" s="88">
        <v>41295.571313974338</v>
      </c>
      <c r="AQ126" s="88">
        <v>0</v>
      </c>
      <c r="AR126" s="88">
        <v>63950.848136770393</v>
      </c>
      <c r="AS126" s="88">
        <v>67518.33124295203</v>
      </c>
      <c r="AT126" s="88">
        <v>42086.333400086878</v>
      </c>
      <c r="AU126" s="88">
        <v>41295.571313974338</v>
      </c>
      <c r="AV126" s="88">
        <v>63175</v>
      </c>
      <c r="AW126" s="88">
        <v>62510</v>
      </c>
      <c r="AX126" s="88">
        <v>62177.5</v>
      </c>
      <c r="AY126" s="88">
        <v>66500</v>
      </c>
      <c r="AZ126" s="88">
        <v>66500</v>
      </c>
      <c r="BA126" s="88">
        <v>66500</v>
      </c>
      <c r="BB126" s="88">
        <v>66500</v>
      </c>
      <c r="BC126" s="88">
        <v>66500</v>
      </c>
      <c r="BD126" s="88">
        <v>66500</v>
      </c>
      <c r="BE126" s="88">
        <v>66500</v>
      </c>
      <c r="BF126" s="88">
        <v>66500</v>
      </c>
      <c r="BG126" s="88">
        <v>66500</v>
      </c>
      <c r="BH126" s="88">
        <v>66500</v>
      </c>
      <c r="BI126" s="88">
        <v>66500</v>
      </c>
      <c r="BJ126" s="88">
        <v>66500</v>
      </c>
      <c r="BK126" s="88">
        <v>1704.879777425793</v>
      </c>
      <c r="BL126" s="88">
        <v>2366.9627600297322</v>
      </c>
      <c r="BM126" s="88">
        <v>2366.8623750936281</v>
      </c>
      <c r="BN126" s="88">
        <v>2366.758514938911</v>
      </c>
      <c r="BO126" s="88">
        <v>2366.6545811617352</v>
      </c>
      <c r="BP126" s="88">
        <v>2366.5505736837981</v>
      </c>
      <c r="BQ126" s="88">
        <v>2366.4464924266772</v>
      </c>
      <c r="BR126" s="88">
        <v>2366.340629235181</v>
      </c>
      <c r="BS126" s="88">
        <v>2366.236398971269</v>
      </c>
      <c r="BT126" s="88">
        <v>2366.1320946909718</v>
      </c>
      <c r="BU126" s="88">
        <v>2366.0277163153669</v>
      </c>
      <c r="BV126" s="88">
        <v>2365.92326376553</v>
      </c>
      <c r="BW126" s="88">
        <v>1995.000000000002</v>
      </c>
      <c r="BX126" s="88">
        <v>2660.0000000000018</v>
      </c>
      <c r="BY126" s="88">
        <v>2660.0000000000018</v>
      </c>
      <c r="BZ126" s="88">
        <v>2660.0000000000018</v>
      </c>
      <c r="CA126" s="88">
        <v>2660.0000000000018</v>
      </c>
      <c r="CB126" s="88">
        <v>2660.0000000000018</v>
      </c>
      <c r="CC126" s="88">
        <v>2660.0000000000018</v>
      </c>
      <c r="CD126" s="88">
        <v>2660.0000000000018</v>
      </c>
      <c r="CE126" s="88">
        <v>2660.0000000000018</v>
      </c>
      <c r="CF126" s="88">
        <v>2660.0000000000018</v>
      </c>
      <c r="CG126" s="88">
        <v>2660.0000000000018</v>
      </c>
      <c r="CH126" s="88">
        <v>2660.0000000000018</v>
      </c>
      <c r="CI126" s="88">
        <v>66500</v>
      </c>
      <c r="CJ126" s="88">
        <v>66500</v>
      </c>
      <c r="CK126" s="88">
        <v>66500</v>
      </c>
      <c r="CL126" s="88">
        <v>66500</v>
      </c>
      <c r="CM126" s="88">
        <v>66500</v>
      </c>
      <c r="CN126" s="88">
        <v>66500</v>
      </c>
      <c r="CO126" s="88">
        <v>66500</v>
      </c>
      <c r="CP126" s="88">
        <v>66500</v>
      </c>
      <c r="CQ126" s="88">
        <v>66500</v>
      </c>
      <c r="CR126" s="88">
        <v>66500</v>
      </c>
      <c r="CS126" s="88">
        <v>66500</v>
      </c>
      <c r="CT126" s="88">
        <v>66500</v>
      </c>
      <c r="CU126" s="88">
        <v>-281.6701190040913</v>
      </c>
      <c r="CV126" s="88">
        <v>-281.7665768944957</v>
      </c>
      <c r="CW126" s="88">
        <v>-281.86310087151031</v>
      </c>
      <c r="CX126" s="88">
        <v>-281.96296640489589</v>
      </c>
      <c r="CY126" s="88">
        <v>-282.06290272910701</v>
      </c>
      <c r="CZ126" s="88">
        <v>-282.16290991942788</v>
      </c>
      <c r="DA126" s="88">
        <v>-282.26298805127573</v>
      </c>
      <c r="DB126" s="88">
        <v>-282.36477958155399</v>
      </c>
      <c r="DC126" s="88">
        <v>-282.46500098916692</v>
      </c>
      <c r="DD126" s="88">
        <v>-282.5652935663818</v>
      </c>
      <c r="DE126" s="88">
        <v>-282.66565738906621</v>
      </c>
      <c r="DF126" s="88">
        <v>-282.76609253314689</v>
      </c>
      <c r="DG126" s="93">
        <v>46054</v>
      </c>
      <c r="DH126" s="91">
        <v>0.03</v>
      </c>
      <c r="DI126" t="s">
        <v>301</v>
      </c>
      <c r="DJ126" s="93">
        <v>46419</v>
      </c>
      <c r="DK126" s="91">
        <v>0.04</v>
      </c>
      <c r="DL126" t="s">
        <v>302</v>
      </c>
      <c r="DM126" s="93"/>
      <c r="DN126" s="91"/>
      <c r="DP126" s="93"/>
      <c r="DQ126" s="91"/>
    </row>
    <row r="127" spans="1:121" x14ac:dyDescent="0.3">
      <c r="A127" t="s">
        <v>24</v>
      </c>
      <c r="B127" t="s">
        <v>47</v>
      </c>
      <c r="C127" t="s">
        <v>96</v>
      </c>
      <c r="D127" t="s">
        <v>426</v>
      </c>
      <c r="E127" t="s">
        <v>490</v>
      </c>
      <c r="F127" s="86">
        <v>52500</v>
      </c>
      <c r="G127" s="87">
        <v>12</v>
      </c>
      <c r="H127" s="88">
        <v>1</v>
      </c>
      <c r="I127" s="88">
        <v>1</v>
      </c>
      <c r="J127" s="89">
        <v>0.94199580598103549</v>
      </c>
      <c r="K127" s="88">
        <v>1</v>
      </c>
      <c r="L127" s="88">
        <v>1.008497059082581</v>
      </c>
      <c r="M127" s="88">
        <v>1</v>
      </c>
      <c r="N127" s="90">
        <v>0.62</v>
      </c>
      <c r="O127" s="90">
        <v>0.62526817663120027</v>
      </c>
      <c r="P127" s="90">
        <v>0.62087814628023907</v>
      </c>
      <c r="Q127" s="91">
        <v>0</v>
      </c>
      <c r="R127" s="88">
        <v>1</v>
      </c>
      <c r="S127" s="88">
        <v>1.001416364968128</v>
      </c>
      <c r="T127" s="91">
        <v>0</v>
      </c>
      <c r="U127" s="91">
        <v>0</v>
      </c>
      <c r="V127" s="87">
        <v>0</v>
      </c>
      <c r="W127" s="91">
        <v>0</v>
      </c>
      <c r="X127" s="87">
        <v>1</v>
      </c>
      <c r="Y127" s="90">
        <v>0.62526817663120027</v>
      </c>
      <c r="Z127" s="90">
        <v>0.62087814628023907</v>
      </c>
      <c r="AA127" s="92">
        <v>0</v>
      </c>
      <c r="AB127" s="88">
        <v>0</v>
      </c>
      <c r="AC127" s="87">
        <v>0</v>
      </c>
      <c r="AD127" s="87">
        <v>0</v>
      </c>
      <c r="AE127" s="88">
        <v>1</v>
      </c>
      <c r="AF127" s="88">
        <v>1.008514817427199</v>
      </c>
      <c r="AG127" s="88">
        <v>1.008514817427199</v>
      </c>
      <c r="AH127" s="88">
        <v>52500</v>
      </c>
      <c r="AI127" s="88">
        <v>52500</v>
      </c>
      <c r="AJ127" s="88">
        <v>49454.779814004367</v>
      </c>
      <c r="AK127" s="88">
        <v>52500</v>
      </c>
      <c r="AL127" s="88">
        <v>52946.095601835506</v>
      </c>
      <c r="AM127" s="88">
        <v>52500</v>
      </c>
      <c r="AN127" s="88">
        <v>32550</v>
      </c>
      <c r="AO127" s="88">
        <v>32826.579273138013</v>
      </c>
      <c r="AP127" s="88">
        <v>32596.102679712549</v>
      </c>
      <c r="AQ127" s="88">
        <v>0</v>
      </c>
      <c r="AR127" s="88">
        <v>52500</v>
      </c>
      <c r="AS127" s="88">
        <v>52574.359160826702</v>
      </c>
      <c r="AT127" s="88">
        <v>32826.579273138013</v>
      </c>
      <c r="AU127" s="88">
        <v>32596.102679712549</v>
      </c>
      <c r="AV127" s="88">
        <v>49875</v>
      </c>
      <c r="AW127" s="88">
        <v>49350</v>
      </c>
      <c r="AX127" s="88">
        <v>49875</v>
      </c>
      <c r="AY127" s="88">
        <v>52500</v>
      </c>
      <c r="AZ127" s="88">
        <v>52500</v>
      </c>
      <c r="BA127" s="88">
        <v>52500</v>
      </c>
      <c r="BB127" s="88">
        <v>52500</v>
      </c>
      <c r="BC127" s="88">
        <v>52500</v>
      </c>
      <c r="BD127" s="88">
        <v>52500</v>
      </c>
      <c r="BE127" s="88">
        <v>52500</v>
      </c>
      <c r="BF127" s="88">
        <v>52500</v>
      </c>
      <c r="BG127" s="88">
        <v>52500</v>
      </c>
      <c r="BH127" s="88">
        <v>52500</v>
      </c>
      <c r="BI127" s="88">
        <v>52500</v>
      </c>
      <c r="BJ127" s="88">
        <v>52500</v>
      </c>
      <c r="BK127" s="88">
        <v>448.76523694102269</v>
      </c>
      <c r="BL127" s="88">
        <v>448.45541773929409</v>
      </c>
      <c r="BM127" s="88">
        <v>448.14602602930739</v>
      </c>
      <c r="BN127" s="88">
        <v>447.82659499883249</v>
      </c>
      <c r="BO127" s="88">
        <v>447.50761901425523</v>
      </c>
      <c r="BP127" s="88">
        <v>447.18909710391267</v>
      </c>
      <c r="BQ127" s="88">
        <v>446.87102829891688</v>
      </c>
      <c r="BR127" s="88">
        <v>446.54820856394161</v>
      </c>
      <c r="BS127" s="88">
        <v>446.23105046223861</v>
      </c>
      <c r="BT127" s="88">
        <v>445.91434255995148</v>
      </c>
      <c r="BU127" s="88">
        <v>445.59808389917362</v>
      </c>
      <c r="BV127" s="88">
        <v>445.28227352473692</v>
      </c>
      <c r="BW127" s="88">
        <v>0</v>
      </c>
      <c r="BX127" s="88">
        <v>0</v>
      </c>
      <c r="BY127" s="88">
        <v>0</v>
      </c>
      <c r="BZ127" s="88">
        <v>0</v>
      </c>
      <c r="CA127" s="88">
        <v>0</v>
      </c>
      <c r="CB127" s="88">
        <v>0</v>
      </c>
      <c r="CC127" s="88">
        <v>0</v>
      </c>
      <c r="CD127" s="88">
        <v>0</v>
      </c>
      <c r="CE127" s="88">
        <v>0</v>
      </c>
      <c r="CF127" s="88">
        <v>0</v>
      </c>
      <c r="CG127" s="88">
        <v>0</v>
      </c>
      <c r="CH127" s="88">
        <v>0</v>
      </c>
      <c r="CI127" s="88">
        <v>52500</v>
      </c>
      <c r="CJ127" s="88">
        <v>52500</v>
      </c>
      <c r="CK127" s="88">
        <v>52500</v>
      </c>
      <c r="CL127" s="88">
        <v>52500</v>
      </c>
      <c r="CM127" s="88">
        <v>52500</v>
      </c>
      <c r="CN127" s="88">
        <v>52500</v>
      </c>
      <c r="CO127" s="88">
        <v>52500</v>
      </c>
      <c r="CP127" s="88">
        <v>52500</v>
      </c>
      <c r="CQ127" s="88">
        <v>52500</v>
      </c>
      <c r="CR127" s="88">
        <v>52500</v>
      </c>
      <c r="CS127" s="88">
        <v>52500</v>
      </c>
      <c r="CT127" s="88">
        <v>52500</v>
      </c>
      <c r="CU127" s="88">
        <v>448.76523694102269</v>
      </c>
      <c r="CV127" s="88">
        <v>448.45541773929409</v>
      </c>
      <c r="CW127" s="88">
        <v>448.14602602930739</v>
      </c>
      <c r="CX127" s="88">
        <v>447.82659499883249</v>
      </c>
      <c r="CY127" s="88">
        <v>447.50761901425523</v>
      </c>
      <c r="CZ127" s="88">
        <v>447.18909710391267</v>
      </c>
      <c r="DA127" s="88">
        <v>446.87102829891688</v>
      </c>
      <c r="DB127" s="88">
        <v>446.54820856394161</v>
      </c>
      <c r="DC127" s="88">
        <v>446.23105046223861</v>
      </c>
      <c r="DD127" s="88">
        <v>445.91434255995148</v>
      </c>
      <c r="DE127" s="88">
        <v>445.59808389917362</v>
      </c>
      <c r="DF127" s="88">
        <v>445.28227352473692</v>
      </c>
      <c r="DG127" s="93"/>
      <c r="DH127" s="91"/>
      <c r="DJ127" s="93"/>
      <c r="DK127" s="91"/>
      <c r="DM127" s="93"/>
      <c r="DN127" s="91"/>
      <c r="DP127" s="93"/>
      <c r="DQ127" s="91"/>
    </row>
    <row r="128" spans="1:121" x14ac:dyDescent="0.3">
      <c r="A128" t="s">
        <v>26</v>
      </c>
      <c r="B128" t="s">
        <v>42</v>
      </c>
      <c r="C128" t="s">
        <v>43</v>
      </c>
      <c r="D128" t="s">
        <v>299</v>
      </c>
      <c r="E128" t="s">
        <v>491</v>
      </c>
      <c r="F128" s="86">
        <v>32000</v>
      </c>
      <c r="G128" s="87">
        <v>12</v>
      </c>
      <c r="H128" s="88">
        <v>1.1024</v>
      </c>
      <c r="I128" s="88">
        <v>1.1101025</v>
      </c>
      <c r="J128" s="89">
        <v>0.8659874179431073</v>
      </c>
      <c r="K128" s="88">
        <v>0.99306145153262859</v>
      </c>
      <c r="L128" s="88">
        <v>0.98153851013092008</v>
      </c>
      <c r="M128" s="88">
        <v>1</v>
      </c>
      <c r="N128" s="90">
        <v>0.65</v>
      </c>
      <c r="O128" s="90">
        <v>0.63357323744376037</v>
      </c>
      <c r="P128" s="90">
        <v>0.59480029614224839</v>
      </c>
      <c r="Q128" s="91">
        <v>0</v>
      </c>
      <c r="R128" s="88">
        <v>0.95380029806259314</v>
      </c>
      <c r="S128" s="88">
        <v>0.95940143921021315</v>
      </c>
      <c r="T128" s="91">
        <v>6.9870283018869106E-3</v>
      </c>
      <c r="U128" s="91">
        <v>4.1162865591240383E-2</v>
      </c>
      <c r="V128" s="87">
        <v>0</v>
      </c>
      <c r="W128" s="91">
        <v>0</v>
      </c>
      <c r="X128" s="87">
        <v>1</v>
      </c>
      <c r="Y128" s="90">
        <v>0.63357323744376037</v>
      </c>
      <c r="Z128" s="90">
        <v>0.59480029614224839</v>
      </c>
      <c r="AA128" s="92">
        <v>0</v>
      </c>
      <c r="AB128" s="88">
        <v>0</v>
      </c>
      <c r="AC128" s="87">
        <v>2</v>
      </c>
      <c r="AD128" s="87">
        <v>1</v>
      </c>
      <c r="AE128" s="88">
        <v>1.0682499999999999</v>
      </c>
      <c r="AF128" s="88">
        <v>1.028058522028005</v>
      </c>
      <c r="AG128" s="88">
        <v>1.098225804678618</v>
      </c>
      <c r="AH128" s="88">
        <v>35276.800000000003</v>
      </c>
      <c r="AI128" s="88">
        <v>35523.280000000013</v>
      </c>
      <c r="AJ128" s="88">
        <v>27711.59737417943</v>
      </c>
      <c r="AK128" s="88">
        <v>31777.96644904411</v>
      </c>
      <c r="AL128" s="88">
        <v>31409.232324189441</v>
      </c>
      <c r="AM128" s="88">
        <v>32000</v>
      </c>
      <c r="AN128" s="88">
        <v>20800</v>
      </c>
      <c r="AO128" s="88">
        <v>20274.343598200328</v>
      </c>
      <c r="AP128" s="88">
        <v>19033.609476551948</v>
      </c>
      <c r="AQ128" s="88">
        <v>0</v>
      </c>
      <c r="AR128" s="88">
        <v>30521.60953800298</v>
      </c>
      <c r="AS128" s="88">
        <v>30700.846054726819</v>
      </c>
      <c r="AT128" s="88">
        <v>20274.343598200328</v>
      </c>
      <c r="AU128" s="88">
        <v>19033.609476551948</v>
      </c>
      <c r="AV128" s="88">
        <v>27200</v>
      </c>
      <c r="AW128" s="88">
        <v>27520</v>
      </c>
      <c r="AX128" s="88">
        <v>28480</v>
      </c>
      <c r="AY128" s="88">
        <v>32000</v>
      </c>
      <c r="AZ128" s="88">
        <v>32000</v>
      </c>
      <c r="BA128" s="88">
        <v>32000</v>
      </c>
      <c r="BB128" s="88">
        <v>32000</v>
      </c>
      <c r="BC128" s="88">
        <v>32000</v>
      </c>
      <c r="BD128" s="88">
        <v>32000</v>
      </c>
      <c r="BE128" s="88">
        <v>32000</v>
      </c>
      <c r="BF128" s="88">
        <v>32000</v>
      </c>
      <c r="BG128" s="88">
        <v>32000</v>
      </c>
      <c r="BH128" s="88">
        <v>32000</v>
      </c>
      <c r="BI128" s="88">
        <v>32000</v>
      </c>
      <c r="BJ128" s="88">
        <v>32000</v>
      </c>
      <c r="BK128" s="88">
        <v>2883.999013742723</v>
      </c>
      <c r="BL128" s="88">
        <v>2881.7898389352122</v>
      </c>
      <c r="BM128" s="88">
        <v>2879.5907664087472</v>
      </c>
      <c r="BN128" s="88">
        <v>4621.1940821691824</v>
      </c>
      <c r="BO128" s="88">
        <v>4618.8290412579236</v>
      </c>
      <c r="BP128" s="88">
        <v>4616.4751032554323</v>
      </c>
      <c r="BQ128" s="88">
        <v>2541.6341416597352</v>
      </c>
      <c r="BR128" s="88">
        <v>2539.398194839855</v>
      </c>
      <c r="BS128" s="88">
        <v>2537.2086506865021</v>
      </c>
      <c r="BT128" s="88">
        <v>2535.0292895536058</v>
      </c>
      <c r="BU128" s="88">
        <v>2532.8600405679608</v>
      </c>
      <c r="BV128" s="88">
        <v>2530.7008335125188</v>
      </c>
      <c r="BW128" s="88">
        <v>1920.000000000002</v>
      </c>
      <c r="BX128" s="88">
        <v>1920.000000000002</v>
      </c>
      <c r="BY128" s="88">
        <v>1920.000000000002</v>
      </c>
      <c r="BZ128" s="88">
        <v>3616</v>
      </c>
      <c r="CA128" s="88">
        <v>3616</v>
      </c>
      <c r="CB128" s="88">
        <v>3616</v>
      </c>
      <c r="CC128" s="88">
        <v>1600.0000000000009</v>
      </c>
      <c r="CD128" s="88">
        <v>1600.0000000000009</v>
      </c>
      <c r="CE128" s="88">
        <v>1600.0000000000009</v>
      </c>
      <c r="CF128" s="88">
        <v>1600.0000000000009</v>
      </c>
      <c r="CG128" s="88">
        <v>1600.0000000000009</v>
      </c>
      <c r="CH128" s="88">
        <v>1600.0000000000009</v>
      </c>
      <c r="CI128" s="88">
        <v>32000</v>
      </c>
      <c r="CJ128" s="88">
        <v>32000</v>
      </c>
      <c r="CK128" s="88">
        <v>32000</v>
      </c>
      <c r="CL128" s="88">
        <v>32000</v>
      </c>
      <c r="CM128" s="88">
        <v>32000</v>
      </c>
      <c r="CN128" s="88">
        <v>32000</v>
      </c>
      <c r="CO128" s="88">
        <v>32000</v>
      </c>
      <c r="CP128" s="88">
        <v>32000</v>
      </c>
      <c r="CQ128" s="88">
        <v>32000</v>
      </c>
      <c r="CR128" s="88">
        <v>32000</v>
      </c>
      <c r="CS128" s="88">
        <v>32000</v>
      </c>
      <c r="CT128" s="88">
        <v>32000</v>
      </c>
      <c r="CU128" s="88">
        <v>909.43303183275498</v>
      </c>
      <c r="CV128" s="88">
        <v>907.34890465586204</v>
      </c>
      <c r="CW128" s="88">
        <v>905.27430793277836</v>
      </c>
      <c r="CX128" s="88">
        <v>903.13933707923161</v>
      </c>
      <c r="CY128" s="88">
        <v>901.01441263065851</v>
      </c>
      <c r="CZ128" s="88">
        <v>898.8994638413601</v>
      </c>
      <c r="DA128" s="88">
        <v>896.79442062831777</v>
      </c>
      <c r="DB128" s="88">
        <v>894.66494746652359</v>
      </c>
      <c r="DC128" s="88">
        <v>892.57966732047578</v>
      </c>
      <c r="DD128" s="88">
        <v>890.50408528914454</v>
      </c>
      <c r="DE128" s="88">
        <v>888.43813387424575</v>
      </c>
      <c r="DF128" s="88">
        <v>886.38174620239602</v>
      </c>
      <c r="DG128" s="93">
        <v>45839</v>
      </c>
      <c r="DH128" s="91">
        <v>0.04</v>
      </c>
      <c r="DI128" t="s">
        <v>301</v>
      </c>
      <c r="DJ128" s="93">
        <v>46204</v>
      </c>
      <c r="DK128" s="91">
        <v>0.06</v>
      </c>
      <c r="DL128" t="s">
        <v>301</v>
      </c>
      <c r="DM128" s="93">
        <v>46478</v>
      </c>
      <c r="DN128" s="91">
        <v>0.05</v>
      </c>
      <c r="DO128" t="s">
        <v>302</v>
      </c>
      <c r="DP128" s="93"/>
      <c r="DQ128" s="91"/>
    </row>
    <row r="129" spans="1:121" x14ac:dyDescent="0.3">
      <c r="A129" t="s">
        <v>26</v>
      </c>
      <c r="B129" t="s">
        <v>42</v>
      </c>
      <c r="C129" t="s">
        <v>46</v>
      </c>
      <c r="D129" t="s">
        <v>303</v>
      </c>
      <c r="E129" t="s">
        <v>492</v>
      </c>
      <c r="F129" s="86">
        <v>84000</v>
      </c>
      <c r="G129" s="87">
        <v>12</v>
      </c>
      <c r="H129" s="88">
        <v>1.03</v>
      </c>
      <c r="I129" s="88">
        <v>1.0472055555555559</v>
      </c>
      <c r="J129" s="89">
        <v>0.99099790299051793</v>
      </c>
      <c r="K129" s="88">
        <v>0.98357003029225942</v>
      </c>
      <c r="L129" s="88">
        <v>1.009083870896514</v>
      </c>
      <c r="M129" s="88">
        <v>1</v>
      </c>
      <c r="N129" s="90">
        <v>0.68799999999999994</v>
      </c>
      <c r="O129" s="90">
        <v>0.68284320158399892</v>
      </c>
      <c r="P129" s="90">
        <v>0.66540085490558076</v>
      </c>
      <c r="Q129" s="91">
        <v>0</v>
      </c>
      <c r="R129" s="88">
        <v>0.96166688927474275</v>
      </c>
      <c r="S129" s="88">
        <v>1.005704174878489</v>
      </c>
      <c r="T129" s="91">
        <v>1.6704422869471269E-2</v>
      </c>
      <c r="U129" s="91">
        <v>2.277622455529826E-2</v>
      </c>
      <c r="V129" s="87">
        <v>0</v>
      </c>
      <c r="W129" s="91">
        <v>0</v>
      </c>
      <c r="X129" s="87">
        <v>1</v>
      </c>
      <c r="Y129" s="90">
        <v>0.68284320158399892</v>
      </c>
      <c r="Z129" s="90">
        <v>0.66540085490558076</v>
      </c>
      <c r="AA129" s="92">
        <v>0</v>
      </c>
      <c r="AB129" s="88">
        <v>0</v>
      </c>
      <c r="AC129" s="87">
        <v>1</v>
      </c>
      <c r="AD129" s="87">
        <v>1</v>
      </c>
      <c r="AE129" s="88">
        <v>1.039166666666667</v>
      </c>
      <c r="AF129" s="88">
        <v>1.004037852440528</v>
      </c>
      <c r="AG129" s="88">
        <v>1.04336266213396</v>
      </c>
      <c r="AH129" s="88">
        <v>86520</v>
      </c>
      <c r="AI129" s="88">
        <v>87965.266666666663</v>
      </c>
      <c r="AJ129" s="88">
        <v>83243.823851203502</v>
      </c>
      <c r="AK129" s="88">
        <v>82619.882544549793</v>
      </c>
      <c r="AL129" s="88">
        <v>84763.045155307191</v>
      </c>
      <c r="AM129" s="88">
        <v>84000</v>
      </c>
      <c r="AN129" s="88">
        <v>57791.999999999993</v>
      </c>
      <c r="AO129" s="88">
        <v>57358.828933055913</v>
      </c>
      <c r="AP129" s="88">
        <v>55893.671812068787</v>
      </c>
      <c r="AQ129" s="88">
        <v>0</v>
      </c>
      <c r="AR129" s="88">
        <v>80780.018699078384</v>
      </c>
      <c r="AS129" s="88">
        <v>84479.150689793096</v>
      </c>
      <c r="AT129" s="88">
        <v>57358.828933055913</v>
      </c>
      <c r="AU129" s="88">
        <v>55893.671812068787</v>
      </c>
      <c r="AV129" s="88">
        <v>84000</v>
      </c>
      <c r="AW129" s="88">
        <v>83160</v>
      </c>
      <c r="AX129" s="88">
        <v>83580</v>
      </c>
      <c r="AY129" s="88">
        <v>84000</v>
      </c>
      <c r="AZ129" s="88">
        <v>84000</v>
      </c>
      <c r="BA129" s="88">
        <v>84000</v>
      </c>
      <c r="BB129" s="88">
        <v>84000</v>
      </c>
      <c r="BC129" s="88">
        <v>84000</v>
      </c>
      <c r="BD129" s="88">
        <v>84000</v>
      </c>
      <c r="BE129" s="88">
        <v>84000</v>
      </c>
      <c r="BF129" s="88">
        <v>84000</v>
      </c>
      <c r="BG129" s="88">
        <v>84000</v>
      </c>
      <c r="BH129" s="88">
        <v>84000</v>
      </c>
      <c r="BI129" s="88">
        <v>84000</v>
      </c>
      <c r="BJ129" s="88">
        <v>84000</v>
      </c>
      <c r="BK129" s="88">
        <v>2869.9980604797738</v>
      </c>
      <c r="BL129" s="88">
        <v>3713.280595625863</v>
      </c>
      <c r="BM129" s="88">
        <v>3713.1651668281902</v>
      </c>
      <c r="BN129" s="88">
        <v>3713.045904470875</v>
      </c>
      <c r="BO129" s="88">
        <v>3712.926722635128</v>
      </c>
      <c r="BP129" s="88">
        <v>3712.8076212394408</v>
      </c>
      <c r="BQ129" s="88">
        <v>3712.688600202418</v>
      </c>
      <c r="BR129" s="88">
        <v>3712.5677102625641</v>
      </c>
      <c r="BS129" s="88">
        <v>3712.4488510130309</v>
      </c>
      <c r="BT129" s="88">
        <v>3712.3300718772639</v>
      </c>
      <c r="BU129" s="88">
        <v>3712.211372774259</v>
      </c>
      <c r="BV129" s="88">
        <v>3712.092753623197</v>
      </c>
      <c r="BW129" s="88">
        <v>2520.0000000000018</v>
      </c>
      <c r="BX129" s="88">
        <v>3360.0000000000032</v>
      </c>
      <c r="BY129" s="88">
        <v>3360.0000000000032</v>
      </c>
      <c r="BZ129" s="88">
        <v>3360.0000000000032</v>
      </c>
      <c r="CA129" s="88">
        <v>3360.0000000000032</v>
      </c>
      <c r="CB129" s="88">
        <v>3360.0000000000032</v>
      </c>
      <c r="CC129" s="88">
        <v>3360.0000000000032</v>
      </c>
      <c r="CD129" s="88">
        <v>3360.0000000000032</v>
      </c>
      <c r="CE129" s="88">
        <v>3360.0000000000032</v>
      </c>
      <c r="CF129" s="88">
        <v>3360.0000000000032</v>
      </c>
      <c r="CG129" s="88">
        <v>3360.0000000000032</v>
      </c>
      <c r="CH129" s="88">
        <v>3360.0000000000032</v>
      </c>
      <c r="CI129" s="88">
        <v>84000</v>
      </c>
      <c r="CJ129" s="88">
        <v>84000</v>
      </c>
      <c r="CK129" s="88">
        <v>84000</v>
      </c>
      <c r="CL129" s="88">
        <v>84000</v>
      </c>
      <c r="CM129" s="88">
        <v>84000</v>
      </c>
      <c r="CN129" s="88">
        <v>84000</v>
      </c>
      <c r="CO129" s="88">
        <v>84000</v>
      </c>
      <c r="CP129" s="88">
        <v>84000</v>
      </c>
      <c r="CQ129" s="88">
        <v>84000</v>
      </c>
      <c r="CR129" s="88">
        <v>84000</v>
      </c>
      <c r="CS129" s="88">
        <v>84000</v>
      </c>
      <c r="CT129" s="88">
        <v>84000</v>
      </c>
      <c r="CU129" s="88">
        <v>339.80394221337559</v>
      </c>
      <c r="CV129" s="88">
        <v>339.69288040948612</v>
      </c>
      <c r="CW129" s="88">
        <v>339.58189118094231</v>
      </c>
      <c r="CX129" s="88">
        <v>339.46721583736928</v>
      </c>
      <c r="CY129" s="88">
        <v>339.35261791839099</v>
      </c>
      <c r="CZ129" s="88">
        <v>339.23809734561422</v>
      </c>
      <c r="DA129" s="88">
        <v>339.12365404077599</v>
      </c>
      <c r="DB129" s="88">
        <v>339.00741371399329</v>
      </c>
      <c r="DC129" s="88">
        <v>338.8931259740682</v>
      </c>
      <c r="DD129" s="88">
        <v>338.77891526660341</v>
      </c>
      <c r="DE129" s="88">
        <v>338.66478151370939</v>
      </c>
      <c r="DF129" s="88">
        <v>338.55072463768289</v>
      </c>
      <c r="DG129" s="93">
        <v>46054</v>
      </c>
      <c r="DH129" s="91">
        <v>0.03</v>
      </c>
      <c r="DI129" t="s">
        <v>301</v>
      </c>
      <c r="DJ129" s="93">
        <v>46419</v>
      </c>
      <c r="DK129" s="91">
        <v>0.04</v>
      </c>
      <c r="DL129" t="s">
        <v>302</v>
      </c>
      <c r="DM129" s="93"/>
      <c r="DN129" s="91"/>
      <c r="DP129" s="93"/>
      <c r="DQ129" s="91"/>
    </row>
    <row r="130" spans="1:121" x14ac:dyDescent="0.3">
      <c r="A130" t="s">
        <v>26</v>
      </c>
      <c r="B130" t="s">
        <v>42</v>
      </c>
      <c r="C130" t="s">
        <v>48</v>
      </c>
      <c r="D130" t="s">
        <v>305</v>
      </c>
      <c r="E130" t="s">
        <v>493</v>
      </c>
      <c r="F130" s="86">
        <v>68000</v>
      </c>
      <c r="G130" s="87">
        <v>12</v>
      </c>
      <c r="H130" s="88">
        <v>1</v>
      </c>
      <c r="I130" s="88">
        <v>1</v>
      </c>
      <c r="J130" s="89">
        <v>0.99399161196207142</v>
      </c>
      <c r="K130" s="88">
        <v>1</v>
      </c>
      <c r="L130" s="88">
        <v>1.006044706983058</v>
      </c>
      <c r="M130" s="88">
        <v>1</v>
      </c>
      <c r="N130" s="90">
        <v>0.67200000000000004</v>
      </c>
      <c r="O130" s="90">
        <v>0.67606204309261531</v>
      </c>
      <c r="P130" s="90">
        <v>0.66712153187467016</v>
      </c>
      <c r="Q130" s="91">
        <v>0</v>
      </c>
      <c r="R130" s="88">
        <v>1</v>
      </c>
      <c r="S130" s="88">
        <v>0.9927403748134972</v>
      </c>
      <c r="T130" s="91">
        <v>0</v>
      </c>
      <c r="U130" s="91">
        <v>0</v>
      </c>
      <c r="V130" s="87">
        <v>0</v>
      </c>
      <c r="W130" s="91">
        <v>0</v>
      </c>
      <c r="X130" s="87">
        <v>1</v>
      </c>
      <c r="Y130" s="90">
        <v>0.67606204309261531</v>
      </c>
      <c r="Z130" s="90">
        <v>0.66712153187467016</v>
      </c>
      <c r="AA130" s="92">
        <v>0</v>
      </c>
      <c r="AB130" s="88">
        <v>0</v>
      </c>
      <c r="AC130" s="87">
        <v>0</v>
      </c>
      <c r="AD130" s="87">
        <v>0</v>
      </c>
      <c r="AE130" s="88">
        <v>1</v>
      </c>
      <c r="AF130" s="88">
        <v>1.016200824295963</v>
      </c>
      <c r="AG130" s="88">
        <v>1.016200824295963</v>
      </c>
      <c r="AH130" s="88">
        <v>68000</v>
      </c>
      <c r="AI130" s="88">
        <v>68000</v>
      </c>
      <c r="AJ130" s="88">
        <v>67591.429613420856</v>
      </c>
      <c r="AK130" s="88">
        <v>68000</v>
      </c>
      <c r="AL130" s="88">
        <v>68411.040074847973</v>
      </c>
      <c r="AM130" s="88">
        <v>68000</v>
      </c>
      <c r="AN130" s="88">
        <v>45696</v>
      </c>
      <c r="AO130" s="88">
        <v>45972.218930297837</v>
      </c>
      <c r="AP130" s="88">
        <v>45364.264167477573</v>
      </c>
      <c r="AQ130" s="88">
        <v>0</v>
      </c>
      <c r="AR130" s="88">
        <v>68000</v>
      </c>
      <c r="AS130" s="88">
        <v>67506.345487317813</v>
      </c>
      <c r="AT130" s="88">
        <v>45972.218930297837</v>
      </c>
      <c r="AU130" s="88">
        <v>45364.264167477573</v>
      </c>
      <c r="AV130" s="88">
        <v>68000</v>
      </c>
      <c r="AW130" s="88">
        <v>67320</v>
      </c>
      <c r="AX130" s="88">
        <v>68680</v>
      </c>
      <c r="AY130" s="88">
        <v>68000</v>
      </c>
      <c r="AZ130" s="88">
        <v>68000</v>
      </c>
      <c r="BA130" s="88">
        <v>68000</v>
      </c>
      <c r="BB130" s="88">
        <v>68000</v>
      </c>
      <c r="BC130" s="88">
        <v>68000</v>
      </c>
      <c r="BD130" s="88">
        <v>68000</v>
      </c>
      <c r="BE130" s="88">
        <v>68000</v>
      </c>
      <c r="BF130" s="88">
        <v>68000</v>
      </c>
      <c r="BG130" s="88">
        <v>68000</v>
      </c>
      <c r="BH130" s="88">
        <v>68000</v>
      </c>
      <c r="BI130" s="88">
        <v>68000</v>
      </c>
      <c r="BJ130" s="88">
        <v>68000</v>
      </c>
      <c r="BK130" s="88">
        <v>1109.819352530862</v>
      </c>
      <c r="BL130" s="88">
        <v>1108.3573358340559</v>
      </c>
      <c r="BM130" s="88">
        <v>1106.899166034879</v>
      </c>
      <c r="BN130" s="88">
        <v>1105.395595341482</v>
      </c>
      <c r="BO130" s="88">
        <v>1103.896103896114</v>
      </c>
      <c r="BP130" s="88">
        <v>1102.4006751204729</v>
      </c>
      <c r="BQ130" s="88">
        <v>1100.9092925260679</v>
      </c>
      <c r="BR130" s="88">
        <v>1099.397590361453</v>
      </c>
      <c r="BS130" s="88">
        <v>1097.914316678831</v>
      </c>
      <c r="BT130" s="88">
        <v>1096.4350399788009</v>
      </c>
      <c r="BU130" s="88">
        <v>1094.95974412705</v>
      </c>
      <c r="BV130" s="88">
        <v>1093.4884130760379</v>
      </c>
      <c r="BW130" s="88">
        <v>0</v>
      </c>
      <c r="BX130" s="88">
        <v>0</v>
      </c>
      <c r="BY130" s="88">
        <v>0</v>
      </c>
      <c r="BZ130" s="88">
        <v>0</v>
      </c>
      <c r="CA130" s="88">
        <v>0</v>
      </c>
      <c r="CB130" s="88">
        <v>0</v>
      </c>
      <c r="CC130" s="88">
        <v>0</v>
      </c>
      <c r="CD130" s="88">
        <v>0</v>
      </c>
      <c r="CE130" s="88">
        <v>0</v>
      </c>
      <c r="CF130" s="88">
        <v>0</v>
      </c>
      <c r="CG130" s="88">
        <v>0</v>
      </c>
      <c r="CH130" s="88">
        <v>0</v>
      </c>
      <c r="CI130" s="88">
        <v>68000</v>
      </c>
      <c r="CJ130" s="88">
        <v>68000</v>
      </c>
      <c r="CK130" s="88">
        <v>68000</v>
      </c>
      <c r="CL130" s="88">
        <v>68000</v>
      </c>
      <c r="CM130" s="88">
        <v>68000</v>
      </c>
      <c r="CN130" s="88">
        <v>68000</v>
      </c>
      <c r="CO130" s="88">
        <v>68000</v>
      </c>
      <c r="CP130" s="88">
        <v>68000</v>
      </c>
      <c r="CQ130" s="88">
        <v>68000</v>
      </c>
      <c r="CR130" s="88">
        <v>68000</v>
      </c>
      <c r="CS130" s="88">
        <v>68000</v>
      </c>
      <c r="CT130" s="88">
        <v>68000</v>
      </c>
      <c r="CU130" s="88">
        <v>1109.819352530862</v>
      </c>
      <c r="CV130" s="88">
        <v>1108.3573358340559</v>
      </c>
      <c r="CW130" s="88">
        <v>1106.899166034879</v>
      </c>
      <c r="CX130" s="88">
        <v>1105.395595341482</v>
      </c>
      <c r="CY130" s="88">
        <v>1103.896103896114</v>
      </c>
      <c r="CZ130" s="88">
        <v>1102.4006751204729</v>
      </c>
      <c r="DA130" s="88">
        <v>1100.9092925260679</v>
      </c>
      <c r="DB130" s="88">
        <v>1099.397590361453</v>
      </c>
      <c r="DC130" s="88">
        <v>1097.914316678831</v>
      </c>
      <c r="DD130" s="88">
        <v>1096.4350399788009</v>
      </c>
      <c r="DE130" s="88">
        <v>1094.95974412705</v>
      </c>
      <c r="DF130" s="88">
        <v>1093.4884130760379</v>
      </c>
      <c r="DG130" s="93"/>
      <c r="DH130" s="91"/>
      <c r="DJ130" s="93"/>
      <c r="DK130" s="91"/>
      <c r="DM130" s="93"/>
      <c r="DN130" s="91"/>
      <c r="DP130" s="93"/>
      <c r="DQ130" s="91"/>
    </row>
    <row r="131" spans="1:121" x14ac:dyDescent="0.3">
      <c r="A131" t="s">
        <v>26</v>
      </c>
      <c r="B131" t="s">
        <v>42</v>
      </c>
      <c r="C131" t="s">
        <v>50</v>
      </c>
      <c r="D131" t="s">
        <v>307</v>
      </c>
      <c r="E131" t="s">
        <v>494</v>
      </c>
      <c r="F131" s="86">
        <v>52000</v>
      </c>
      <c r="G131" s="87">
        <v>12</v>
      </c>
      <c r="H131" s="88">
        <v>1.05</v>
      </c>
      <c r="I131" s="88">
        <v>1.0484374999999999</v>
      </c>
      <c r="J131" s="89">
        <v>1</v>
      </c>
      <c r="K131" s="88">
        <v>1.0014903129657231</v>
      </c>
      <c r="L131" s="88">
        <v>1</v>
      </c>
      <c r="M131" s="88">
        <v>1</v>
      </c>
      <c r="N131" s="90">
        <v>0.7</v>
      </c>
      <c r="O131" s="90">
        <v>0.70104321907600597</v>
      </c>
      <c r="P131" s="90">
        <v>0.7</v>
      </c>
      <c r="Q131" s="91">
        <v>0</v>
      </c>
      <c r="R131" s="88">
        <v>1</v>
      </c>
      <c r="S131" s="88">
        <v>1</v>
      </c>
      <c r="T131" s="91">
        <v>-1.488095238095344E-3</v>
      </c>
      <c r="U131" s="91">
        <v>1.490312965722884E-3</v>
      </c>
      <c r="V131" s="87">
        <v>0</v>
      </c>
      <c r="W131" s="91">
        <v>0</v>
      </c>
      <c r="X131" s="87">
        <v>0</v>
      </c>
      <c r="Y131" s="90">
        <v>0.70104321907600597</v>
      </c>
      <c r="Z131" s="90">
        <v>0.7</v>
      </c>
      <c r="AA131" s="92">
        <v>0</v>
      </c>
      <c r="AB131" s="88">
        <v>0</v>
      </c>
      <c r="AC131" s="87">
        <v>1</v>
      </c>
      <c r="AD131" s="87">
        <v>0</v>
      </c>
      <c r="AE131" s="88">
        <v>1.0125</v>
      </c>
      <c r="AF131" s="88">
        <v>1</v>
      </c>
      <c r="AG131" s="88">
        <v>1.0125</v>
      </c>
      <c r="AH131" s="88">
        <v>54600</v>
      </c>
      <c r="AI131" s="88">
        <v>54518.749999999993</v>
      </c>
      <c r="AJ131" s="88">
        <v>52000</v>
      </c>
      <c r="AK131" s="88">
        <v>52077.496274217592</v>
      </c>
      <c r="AL131" s="88">
        <v>52000</v>
      </c>
      <c r="AM131" s="88">
        <v>52000</v>
      </c>
      <c r="AN131" s="88">
        <v>36400</v>
      </c>
      <c r="AO131" s="88">
        <v>36454.247391952311</v>
      </c>
      <c r="AP131" s="88">
        <v>36400</v>
      </c>
      <c r="AQ131" s="88">
        <v>0</v>
      </c>
      <c r="AR131" s="88">
        <v>52000</v>
      </c>
      <c r="AS131" s="88">
        <v>52000</v>
      </c>
      <c r="AT131" s="88">
        <v>36454.247391952311</v>
      </c>
      <c r="AU131" s="88">
        <v>36400</v>
      </c>
      <c r="AV131" s="88">
        <v>52000</v>
      </c>
      <c r="AW131" s="88">
        <v>52000</v>
      </c>
      <c r="AX131" s="88">
        <v>52000</v>
      </c>
      <c r="AY131" s="88">
        <v>52000</v>
      </c>
      <c r="AZ131" s="88">
        <v>52000</v>
      </c>
      <c r="BA131" s="88">
        <v>52000</v>
      </c>
      <c r="BB131" s="88">
        <v>52000</v>
      </c>
      <c r="BC131" s="88">
        <v>52000</v>
      </c>
      <c r="BD131" s="88">
        <v>52000</v>
      </c>
      <c r="BE131" s="88">
        <v>52000</v>
      </c>
      <c r="BF131" s="88">
        <v>52000</v>
      </c>
      <c r="BG131" s="88">
        <v>52000</v>
      </c>
      <c r="BH131" s="88">
        <v>52000</v>
      </c>
      <c r="BI131" s="88">
        <v>52000</v>
      </c>
      <c r="BJ131" s="88">
        <v>52000</v>
      </c>
      <c r="BK131" s="88">
        <v>2600.0000000000018</v>
      </c>
      <c r="BL131" s="88">
        <v>2600.0000000000018</v>
      </c>
      <c r="BM131" s="88">
        <v>2600.0000000000018</v>
      </c>
      <c r="BN131" s="88">
        <v>0</v>
      </c>
      <c r="BO131" s="88">
        <v>0</v>
      </c>
      <c r="BP131" s="88">
        <v>0</v>
      </c>
      <c r="BQ131" s="88">
        <v>0</v>
      </c>
      <c r="BR131" s="88">
        <v>0</v>
      </c>
      <c r="BS131" s="88">
        <v>0</v>
      </c>
      <c r="BT131" s="88">
        <v>0</v>
      </c>
      <c r="BU131" s="88">
        <v>0</v>
      </c>
      <c r="BV131" s="88">
        <v>0</v>
      </c>
      <c r="BW131" s="88">
        <v>2600.0000000000018</v>
      </c>
      <c r="BX131" s="88">
        <v>2600.0000000000018</v>
      </c>
      <c r="BY131" s="88">
        <v>2600.0000000000018</v>
      </c>
      <c r="BZ131" s="88">
        <v>0</v>
      </c>
      <c r="CA131" s="88">
        <v>0</v>
      </c>
      <c r="CB131" s="88">
        <v>0</v>
      </c>
      <c r="CC131" s="88">
        <v>0</v>
      </c>
      <c r="CD131" s="88">
        <v>0</v>
      </c>
      <c r="CE131" s="88">
        <v>0</v>
      </c>
      <c r="CF131" s="88">
        <v>0</v>
      </c>
      <c r="CG131" s="88">
        <v>0</v>
      </c>
      <c r="CH131" s="88">
        <v>0</v>
      </c>
      <c r="CI131" s="88">
        <v>0</v>
      </c>
      <c r="CJ131" s="88">
        <v>0</v>
      </c>
      <c r="CK131" s="88">
        <v>0</v>
      </c>
      <c r="CL131" s="88">
        <v>0</v>
      </c>
      <c r="CM131" s="88">
        <v>0</v>
      </c>
      <c r="CN131" s="88">
        <v>0</v>
      </c>
      <c r="CO131" s="88">
        <v>0</v>
      </c>
      <c r="CP131" s="88">
        <v>0</v>
      </c>
      <c r="CQ131" s="88">
        <v>0</v>
      </c>
      <c r="CR131" s="88">
        <v>0</v>
      </c>
      <c r="CS131" s="88">
        <v>0</v>
      </c>
      <c r="CT131" s="88">
        <v>0</v>
      </c>
      <c r="CU131" s="88">
        <v>0</v>
      </c>
      <c r="CV131" s="88">
        <v>0</v>
      </c>
      <c r="CW131" s="88">
        <v>0</v>
      </c>
      <c r="CX131" s="88">
        <v>0</v>
      </c>
      <c r="CY131" s="88">
        <v>0</v>
      </c>
      <c r="CZ131" s="88">
        <v>0</v>
      </c>
      <c r="DA131" s="88">
        <v>0</v>
      </c>
      <c r="DB131" s="88">
        <v>0</v>
      </c>
      <c r="DC131" s="88">
        <v>0</v>
      </c>
      <c r="DD131" s="88">
        <v>0</v>
      </c>
      <c r="DE131" s="88">
        <v>0</v>
      </c>
      <c r="DF131" s="88">
        <v>0</v>
      </c>
      <c r="DG131" s="93">
        <v>46113</v>
      </c>
      <c r="DH131" s="91">
        <v>0.05</v>
      </c>
      <c r="DI131" t="s">
        <v>301</v>
      </c>
      <c r="DJ131" s="93"/>
      <c r="DK131" s="91"/>
      <c r="DM131" s="93"/>
      <c r="DN131" s="91"/>
      <c r="DP131" s="93"/>
      <c r="DQ131" s="91"/>
    </row>
    <row r="132" spans="1:121" x14ac:dyDescent="0.3">
      <c r="A132" t="s">
        <v>26</v>
      </c>
      <c r="B132" t="s">
        <v>42</v>
      </c>
      <c r="C132" t="s">
        <v>57</v>
      </c>
      <c r="D132" t="s">
        <v>309</v>
      </c>
      <c r="E132" t="s">
        <v>495</v>
      </c>
      <c r="F132" s="86">
        <v>36000</v>
      </c>
      <c r="G132" s="87">
        <v>12</v>
      </c>
      <c r="H132" s="88">
        <v>1.06</v>
      </c>
      <c r="I132" s="88">
        <v>1.0566666666666671</v>
      </c>
      <c r="J132" s="89">
        <v>0.99299370897155337</v>
      </c>
      <c r="K132" s="88">
        <v>1.0031545741324921</v>
      </c>
      <c r="L132" s="88">
        <v>1.007055725494679</v>
      </c>
      <c r="M132" s="88">
        <v>1</v>
      </c>
      <c r="N132" s="90">
        <v>0.68400000000000005</v>
      </c>
      <c r="O132" s="90">
        <v>0.69099906928643107</v>
      </c>
      <c r="P132" s="90">
        <v>0.68196465292800068</v>
      </c>
      <c r="Q132" s="91">
        <v>0</v>
      </c>
      <c r="R132" s="88">
        <v>0.99999999999999978</v>
      </c>
      <c r="S132" s="88">
        <v>0.99702434638596604</v>
      </c>
      <c r="T132" s="91">
        <v>-3.1446540880502032E-3</v>
      </c>
      <c r="U132" s="91">
        <v>3.154574132492094E-3</v>
      </c>
      <c r="V132" s="87">
        <v>0</v>
      </c>
      <c r="W132" s="91">
        <v>0</v>
      </c>
      <c r="X132" s="87">
        <v>1</v>
      </c>
      <c r="Y132" s="90">
        <v>0.69099906928643107</v>
      </c>
      <c r="Z132" s="90">
        <v>0.68196465292800068</v>
      </c>
      <c r="AA132" s="92">
        <v>0</v>
      </c>
      <c r="AB132" s="88">
        <v>0</v>
      </c>
      <c r="AC132" s="87">
        <v>1</v>
      </c>
      <c r="AD132" s="87">
        <v>0</v>
      </c>
      <c r="AE132" s="88">
        <v>1.02</v>
      </c>
      <c r="AF132" s="88">
        <v>1.012138206284618</v>
      </c>
      <c r="AG132" s="88">
        <v>1.032381954290724</v>
      </c>
      <c r="AH132" s="88">
        <v>38160</v>
      </c>
      <c r="AI132" s="88">
        <v>38040.000000000007</v>
      </c>
      <c r="AJ132" s="88">
        <v>35747.77352297592</v>
      </c>
      <c r="AK132" s="88">
        <v>36113.564668769708</v>
      </c>
      <c r="AL132" s="88">
        <v>36254.006117808451</v>
      </c>
      <c r="AM132" s="88">
        <v>36000</v>
      </c>
      <c r="AN132" s="88">
        <v>24624</v>
      </c>
      <c r="AO132" s="88">
        <v>24875.96649431152</v>
      </c>
      <c r="AP132" s="88">
        <v>24550.72750540802</v>
      </c>
      <c r="AQ132" s="88">
        <v>0</v>
      </c>
      <c r="AR132" s="88">
        <v>35999.999999999993</v>
      </c>
      <c r="AS132" s="88">
        <v>35892.876469894778</v>
      </c>
      <c r="AT132" s="88">
        <v>24875.96649431152</v>
      </c>
      <c r="AU132" s="88">
        <v>24550.72750540802</v>
      </c>
      <c r="AV132" s="88">
        <v>36000</v>
      </c>
      <c r="AW132" s="88">
        <v>35640</v>
      </c>
      <c r="AX132" s="88">
        <v>36179.999999999993</v>
      </c>
      <c r="AY132" s="88">
        <v>36000</v>
      </c>
      <c r="AZ132" s="88">
        <v>36000</v>
      </c>
      <c r="BA132" s="88">
        <v>36000</v>
      </c>
      <c r="BB132" s="88">
        <v>36000</v>
      </c>
      <c r="BC132" s="88">
        <v>36000</v>
      </c>
      <c r="BD132" s="88">
        <v>36000</v>
      </c>
      <c r="BE132" s="88">
        <v>36000</v>
      </c>
      <c r="BF132" s="88">
        <v>36000</v>
      </c>
      <c r="BG132" s="88">
        <v>36000</v>
      </c>
      <c r="BH132" s="88">
        <v>36000</v>
      </c>
      <c r="BI132" s="88">
        <v>36000</v>
      </c>
      <c r="BJ132" s="88">
        <v>36000</v>
      </c>
      <c r="BK132" s="88">
        <v>2625.7626778578551</v>
      </c>
      <c r="BL132" s="88">
        <v>2625.303668069756</v>
      </c>
      <c r="BM132" s="88">
        <v>2624.8455621005501</v>
      </c>
      <c r="BN132" s="88">
        <v>2624.372874574909</v>
      </c>
      <c r="BO132" s="88">
        <v>437.64259188329743</v>
      </c>
      <c r="BP132" s="88">
        <v>437.19846947263358</v>
      </c>
      <c r="BQ132" s="88">
        <v>436.75524754449049</v>
      </c>
      <c r="BR132" s="88">
        <v>436.30567961084222</v>
      </c>
      <c r="BS132" s="88">
        <v>435.86426510100199</v>
      </c>
      <c r="BT132" s="88">
        <v>435.42374285477689</v>
      </c>
      <c r="BU132" s="88">
        <v>434.9841101694887</v>
      </c>
      <c r="BV132" s="88">
        <v>434.54536435339452</v>
      </c>
      <c r="BW132" s="88">
        <v>2160.0000000000018</v>
      </c>
      <c r="BX132" s="88">
        <v>2160.0000000000018</v>
      </c>
      <c r="BY132" s="88">
        <v>2160.0000000000018</v>
      </c>
      <c r="BZ132" s="88">
        <v>2160.0000000000018</v>
      </c>
      <c r="CA132" s="88">
        <v>0</v>
      </c>
      <c r="CB132" s="88">
        <v>0</v>
      </c>
      <c r="CC132" s="88">
        <v>0</v>
      </c>
      <c r="CD132" s="88">
        <v>0</v>
      </c>
      <c r="CE132" s="88">
        <v>0</v>
      </c>
      <c r="CF132" s="88">
        <v>0</v>
      </c>
      <c r="CG132" s="88">
        <v>0</v>
      </c>
      <c r="CH132" s="88">
        <v>0</v>
      </c>
      <c r="CI132" s="88">
        <v>36000</v>
      </c>
      <c r="CJ132" s="88">
        <v>36000</v>
      </c>
      <c r="CK132" s="88">
        <v>36000</v>
      </c>
      <c r="CL132" s="88">
        <v>36000</v>
      </c>
      <c r="CM132" s="88">
        <v>36000</v>
      </c>
      <c r="CN132" s="88">
        <v>36000</v>
      </c>
      <c r="CO132" s="88">
        <v>36000</v>
      </c>
      <c r="CP132" s="88">
        <v>36000</v>
      </c>
      <c r="CQ132" s="88">
        <v>36000</v>
      </c>
      <c r="CR132" s="88">
        <v>36000</v>
      </c>
      <c r="CS132" s="88">
        <v>36000</v>
      </c>
      <c r="CT132" s="88">
        <v>36000</v>
      </c>
      <c r="CU132" s="88">
        <v>439.39875269608473</v>
      </c>
      <c r="CV132" s="88">
        <v>438.96572459410879</v>
      </c>
      <c r="CW132" s="88">
        <v>438.53354915145991</v>
      </c>
      <c r="CX132" s="88">
        <v>438.08761752350023</v>
      </c>
      <c r="CY132" s="88">
        <v>437.64259188329743</v>
      </c>
      <c r="CZ132" s="88">
        <v>437.19846947263358</v>
      </c>
      <c r="DA132" s="88">
        <v>436.75524754449049</v>
      </c>
      <c r="DB132" s="88">
        <v>436.30567961084222</v>
      </c>
      <c r="DC132" s="88">
        <v>435.86426510100199</v>
      </c>
      <c r="DD132" s="88">
        <v>435.42374285477689</v>
      </c>
      <c r="DE132" s="88">
        <v>434.9841101694887</v>
      </c>
      <c r="DF132" s="88">
        <v>434.54536435339452</v>
      </c>
      <c r="DG132" s="93">
        <v>46143</v>
      </c>
      <c r="DH132" s="91">
        <v>0.06</v>
      </c>
      <c r="DI132" t="s">
        <v>301</v>
      </c>
      <c r="DJ132" s="93"/>
      <c r="DK132" s="91"/>
      <c r="DM132" s="93"/>
      <c r="DN132" s="91"/>
      <c r="DP132" s="93"/>
      <c r="DQ132" s="91"/>
    </row>
    <row r="133" spans="1:121" x14ac:dyDescent="0.3">
      <c r="A133" t="s">
        <v>26</v>
      </c>
      <c r="B133" t="s">
        <v>42</v>
      </c>
      <c r="C133" t="s">
        <v>58</v>
      </c>
      <c r="D133" t="s">
        <v>311</v>
      </c>
      <c r="E133" t="s">
        <v>496</v>
      </c>
      <c r="F133" s="86">
        <v>88000</v>
      </c>
      <c r="G133" s="87">
        <v>12</v>
      </c>
      <c r="H133" s="88">
        <v>1.0449999999999999</v>
      </c>
      <c r="I133" s="88">
        <v>1.0482055555555549</v>
      </c>
      <c r="J133" s="89">
        <v>0.98800949758575374</v>
      </c>
      <c r="K133" s="88">
        <v>0.99694186360817705</v>
      </c>
      <c r="L133" s="88">
        <v>1.012136019383969</v>
      </c>
      <c r="M133" s="88">
        <v>1</v>
      </c>
      <c r="N133" s="90">
        <v>0.66800000000000004</v>
      </c>
      <c r="O133" s="90">
        <v>0.67403923395226362</v>
      </c>
      <c r="P133" s="90">
        <v>0.65327521131815269</v>
      </c>
      <c r="Q133" s="91">
        <v>0</v>
      </c>
      <c r="R133" s="88">
        <v>0.96475948010183565</v>
      </c>
      <c r="S133" s="88">
        <v>1.013679495606157</v>
      </c>
      <c r="T133" s="91">
        <v>3.0675172780434412E-3</v>
      </c>
      <c r="U133" s="91">
        <v>3.3357934459420369E-2</v>
      </c>
      <c r="V133" s="87">
        <v>0</v>
      </c>
      <c r="W133" s="91">
        <v>0</v>
      </c>
      <c r="X133" s="87">
        <v>1</v>
      </c>
      <c r="Y133" s="90">
        <v>0.67403923395226362</v>
      </c>
      <c r="Z133" s="90">
        <v>0.65327521131815269</v>
      </c>
      <c r="AA133" s="92">
        <v>0</v>
      </c>
      <c r="AB133" s="88">
        <v>0</v>
      </c>
      <c r="AC133" s="87">
        <v>1</v>
      </c>
      <c r="AD133" s="87">
        <v>1</v>
      </c>
      <c r="AE133" s="88">
        <v>1.042083333333333</v>
      </c>
      <c r="AF133" s="88">
        <v>0.99995498919404235</v>
      </c>
      <c r="AG133" s="88">
        <v>1.042044130294022</v>
      </c>
      <c r="AH133" s="88">
        <v>91960</v>
      </c>
      <c r="AI133" s="88">
        <v>92242.088888888873</v>
      </c>
      <c r="AJ133" s="88">
        <v>86944.835787546326</v>
      </c>
      <c r="AK133" s="88">
        <v>87730.883997519573</v>
      </c>
      <c r="AL133" s="88">
        <v>89067.969705789277</v>
      </c>
      <c r="AM133" s="88">
        <v>88000</v>
      </c>
      <c r="AN133" s="88">
        <v>58784</v>
      </c>
      <c r="AO133" s="88">
        <v>59315.452587799198</v>
      </c>
      <c r="AP133" s="88">
        <v>57488.218595997438</v>
      </c>
      <c r="AQ133" s="88">
        <v>0</v>
      </c>
      <c r="AR133" s="88">
        <v>84898.834248961532</v>
      </c>
      <c r="AS133" s="88">
        <v>89203.795613341834</v>
      </c>
      <c r="AT133" s="88">
        <v>59315.452587799198</v>
      </c>
      <c r="AU133" s="88">
        <v>57488.218595997438</v>
      </c>
      <c r="AV133" s="88">
        <v>88000</v>
      </c>
      <c r="AW133" s="88">
        <v>87120</v>
      </c>
      <c r="AX133" s="88">
        <v>86680</v>
      </c>
      <c r="AY133" s="88">
        <v>88000</v>
      </c>
      <c r="AZ133" s="88">
        <v>88000</v>
      </c>
      <c r="BA133" s="88">
        <v>88000</v>
      </c>
      <c r="BB133" s="88">
        <v>88000</v>
      </c>
      <c r="BC133" s="88">
        <v>88000</v>
      </c>
      <c r="BD133" s="88">
        <v>88000</v>
      </c>
      <c r="BE133" s="88">
        <v>88000</v>
      </c>
      <c r="BF133" s="88">
        <v>88000</v>
      </c>
      <c r="BG133" s="88">
        <v>88000</v>
      </c>
      <c r="BH133" s="88">
        <v>88000</v>
      </c>
      <c r="BI133" s="88">
        <v>88000</v>
      </c>
      <c r="BJ133" s="88">
        <v>88000</v>
      </c>
      <c r="BK133" s="88">
        <v>4509.980057657277</v>
      </c>
      <c r="BL133" s="88">
        <v>4403.8060089463816</v>
      </c>
      <c r="BM133" s="88">
        <v>4297.8062751764128</v>
      </c>
      <c r="BN133" s="88">
        <v>4188.3961525879686</v>
      </c>
      <c r="BO133" s="88">
        <v>4079.1714322490502</v>
      </c>
      <c r="BP133" s="88">
        <v>3530.0831665330138</v>
      </c>
      <c r="BQ133" s="88">
        <v>3421.7486785772339</v>
      </c>
      <c r="BR133" s="88">
        <v>3311.825854292536</v>
      </c>
      <c r="BS133" s="88">
        <v>3203.8601210164952</v>
      </c>
      <c r="BT133" s="88">
        <v>3150.7658297456001</v>
      </c>
      <c r="BU133" s="88">
        <v>3150.6413091552349</v>
      </c>
      <c r="BV133" s="88">
        <v>3150.5167045498551</v>
      </c>
      <c r="BW133" s="88">
        <v>3959.9999999999941</v>
      </c>
      <c r="BX133" s="88">
        <v>3959.9999999999941</v>
      </c>
      <c r="BY133" s="88">
        <v>3959.9999999999941</v>
      </c>
      <c r="BZ133" s="88">
        <v>3959.9999999999941</v>
      </c>
      <c r="CA133" s="88">
        <v>3959.9999999999941</v>
      </c>
      <c r="CB133" s="88">
        <v>3520.0000000000032</v>
      </c>
      <c r="CC133" s="88">
        <v>3520.0000000000032</v>
      </c>
      <c r="CD133" s="88">
        <v>3520.0000000000032</v>
      </c>
      <c r="CE133" s="88">
        <v>3520.0000000000032</v>
      </c>
      <c r="CF133" s="88">
        <v>3520.0000000000032</v>
      </c>
      <c r="CG133" s="88">
        <v>3520.0000000000032</v>
      </c>
      <c r="CH133" s="88">
        <v>3520.0000000000032</v>
      </c>
      <c r="CI133" s="88">
        <v>88000</v>
      </c>
      <c r="CJ133" s="88">
        <v>88000</v>
      </c>
      <c r="CK133" s="88">
        <v>88000</v>
      </c>
      <c r="CL133" s="88">
        <v>88000</v>
      </c>
      <c r="CM133" s="88">
        <v>88000</v>
      </c>
      <c r="CN133" s="88">
        <v>88000</v>
      </c>
      <c r="CO133" s="88">
        <v>88000</v>
      </c>
      <c r="CP133" s="88">
        <v>88000</v>
      </c>
      <c r="CQ133" s="88">
        <v>88000</v>
      </c>
      <c r="CR133" s="88">
        <v>88000</v>
      </c>
      <c r="CS133" s="88">
        <v>88000</v>
      </c>
      <c r="CT133" s="88">
        <v>88000</v>
      </c>
      <c r="CU133" s="88">
        <v>526.29670589214504</v>
      </c>
      <c r="CV133" s="88">
        <v>424.69474540324552</v>
      </c>
      <c r="CW133" s="88">
        <v>323.25959347026162</v>
      </c>
      <c r="CX133" s="88">
        <v>218.5609115674367</v>
      </c>
      <c r="CY133" s="88">
        <v>114.0396480852193</v>
      </c>
      <c r="CZ133" s="88">
        <v>9.6953524355907206</v>
      </c>
      <c r="DA133" s="88">
        <v>-94.472424444972177</v>
      </c>
      <c r="DB133" s="88">
        <v>-200.16744779564371</v>
      </c>
      <c r="DC133" s="88">
        <v>-303.98065286875391</v>
      </c>
      <c r="DD133" s="88">
        <v>-355.03285601384158</v>
      </c>
      <c r="DE133" s="88">
        <v>-355.1525873507311</v>
      </c>
      <c r="DF133" s="88">
        <v>-355.27239947128919</v>
      </c>
      <c r="DG133" s="93">
        <v>46174</v>
      </c>
      <c r="DH133" s="91">
        <v>4.4999999999999998E-2</v>
      </c>
      <c r="DI133" t="s">
        <v>301</v>
      </c>
      <c r="DJ133" s="93">
        <v>46539</v>
      </c>
      <c r="DK133" s="91">
        <v>0.04</v>
      </c>
      <c r="DL133" t="s">
        <v>302</v>
      </c>
      <c r="DM133" s="93"/>
      <c r="DN133" s="91"/>
      <c r="DP133" s="93"/>
      <c r="DQ133" s="91"/>
    </row>
    <row r="134" spans="1:121" x14ac:dyDescent="0.3">
      <c r="A134" t="s">
        <v>26</v>
      </c>
      <c r="B134" t="s">
        <v>42</v>
      </c>
      <c r="C134" t="s">
        <v>65</v>
      </c>
      <c r="D134" t="s">
        <v>313</v>
      </c>
      <c r="E134" t="s">
        <v>497</v>
      </c>
      <c r="F134" s="86">
        <v>72000</v>
      </c>
      <c r="G134" s="87">
        <v>12</v>
      </c>
      <c r="H134" s="88">
        <v>1.03</v>
      </c>
      <c r="I134" s="88">
        <v>1.0262500000000001</v>
      </c>
      <c r="J134" s="89">
        <v>0.99199580598103554</v>
      </c>
      <c r="K134" s="88">
        <v>1.003654080389768</v>
      </c>
      <c r="L134" s="88">
        <v>1.008068778084247</v>
      </c>
      <c r="M134" s="88">
        <v>1</v>
      </c>
      <c r="N134" s="90">
        <v>0.69599999999999995</v>
      </c>
      <c r="O134" s="90">
        <v>0.70417963033669628</v>
      </c>
      <c r="P134" s="90">
        <v>0.69693643420029583</v>
      </c>
      <c r="Q134" s="91">
        <v>0</v>
      </c>
      <c r="R134" s="88">
        <v>0.99999999999999978</v>
      </c>
      <c r="S134" s="88">
        <v>1.0013454514372071</v>
      </c>
      <c r="T134" s="91">
        <v>-3.640776699028847E-3</v>
      </c>
      <c r="U134" s="91">
        <v>3.6540803897684442E-3</v>
      </c>
      <c r="V134" s="87">
        <v>0</v>
      </c>
      <c r="W134" s="91">
        <v>0</v>
      </c>
      <c r="X134" s="87">
        <v>1</v>
      </c>
      <c r="Y134" s="90">
        <v>0.70417963033669628</v>
      </c>
      <c r="Z134" s="90">
        <v>0.69693643420029583</v>
      </c>
      <c r="AA134" s="92">
        <v>0</v>
      </c>
      <c r="AB134" s="88">
        <v>0</v>
      </c>
      <c r="AC134" s="87">
        <v>1</v>
      </c>
      <c r="AD134" s="87">
        <v>0</v>
      </c>
      <c r="AE134" s="88">
        <v>1.0149999999999999</v>
      </c>
      <c r="AF134" s="88">
        <v>1.0080839018517109</v>
      </c>
      <c r="AG134" s="88">
        <v>1.023205405996481</v>
      </c>
      <c r="AH134" s="88">
        <v>74160</v>
      </c>
      <c r="AI134" s="88">
        <v>73890.000000000029</v>
      </c>
      <c r="AJ134" s="88">
        <v>71423.698030634565</v>
      </c>
      <c r="AK134" s="88">
        <v>72263.093788063314</v>
      </c>
      <c r="AL134" s="88">
        <v>72580.952022065772</v>
      </c>
      <c r="AM134" s="88">
        <v>72000</v>
      </c>
      <c r="AN134" s="88">
        <v>50112</v>
      </c>
      <c r="AO134" s="88">
        <v>50700.933384242133</v>
      </c>
      <c r="AP134" s="88">
        <v>50179.423262421296</v>
      </c>
      <c r="AQ134" s="88">
        <v>0</v>
      </c>
      <c r="AR134" s="88">
        <v>71999.999999999985</v>
      </c>
      <c r="AS134" s="88">
        <v>72096.872503478895</v>
      </c>
      <c r="AT134" s="88">
        <v>50700.933384242133</v>
      </c>
      <c r="AU134" s="88">
        <v>50179.423262421296</v>
      </c>
      <c r="AV134" s="88">
        <v>72000</v>
      </c>
      <c r="AW134" s="88">
        <v>71280</v>
      </c>
      <c r="AX134" s="88">
        <v>72000</v>
      </c>
      <c r="AY134" s="88">
        <v>72000</v>
      </c>
      <c r="AZ134" s="88">
        <v>72000</v>
      </c>
      <c r="BA134" s="88">
        <v>72000</v>
      </c>
      <c r="BB134" s="88">
        <v>72000</v>
      </c>
      <c r="BC134" s="88">
        <v>72000</v>
      </c>
      <c r="BD134" s="88">
        <v>72000</v>
      </c>
      <c r="BE134" s="88">
        <v>72000</v>
      </c>
      <c r="BF134" s="88">
        <v>72000</v>
      </c>
      <c r="BG134" s="88">
        <v>72000</v>
      </c>
      <c r="BH134" s="88">
        <v>72000</v>
      </c>
      <c r="BI134" s="88">
        <v>72000</v>
      </c>
      <c r="BJ134" s="88">
        <v>72000</v>
      </c>
      <c r="BK134" s="88">
        <v>2761.7138855853559</v>
      </c>
      <c r="BL134" s="88">
        <v>2761.3195601466068</v>
      </c>
      <c r="BM134" s="88">
        <v>2760.9257512015852</v>
      </c>
      <c r="BN134" s="88">
        <v>2760.5191347753748</v>
      </c>
      <c r="BO134" s="88">
        <v>2760.113068251098</v>
      </c>
      <c r="BP134" s="88">
        <v>2759.707550513996</v>
      </c>
      <c r="BQ134" s="88">
        <v>581.84716548769802</v>
      </c>
      <c r="BR134" s="88">
        <v>581.44808894297557</v>
      </c>
      <c r="BS134" s="88">
        <v>581.05598301937357</v>
      </c>
      <c r="BT134" s="88">
        <v>580.66440558128284</v>
      </c>
      <c r="BU134" s="88">
        <v>580.27335556094965</v>
      </c>
      <c r="BV134" s="88">
        <v>579.88283189356162</v>
      </c>
      <c r="BW134" s="88">
        <v>2160.0000000000018</v>
      </c>
      <c r="BX134" s="88">
        <v>2160.0000000000018</v>
      </c>
      <c r="BY134" s="88">
        <v>2160.0000000000018</v>
      </c>
      <c r="BZ134" s="88">
        <v>2160.0000000000018</v>
      </c>
      <c r="CA134" s="88">
        <v>2160.0000000000018</v>
      </c>
      <c r="CB134" s="88">
        <v>2160.0000000000018</v>
      </c>
      <c r="CC134" s="88">
        <v>0</v>
      </c>
      <c r="CD134" s="88">
        <v>0</v>
      </c>
      <c r="CE134" s="88">
        <v>0</v>
      </c>
      <c r="CF134" s="88">
        <v>0</v>
      </c>
      <c r="CG134" s="88">
        <v>0</v>
      </c>
      <c r="CH134" s="88">
        <v>0</v>
      </c>
      <c r="CI134" s="88">
        <v>72000</v>
      </c>
      <c r="CJ134" s="88">
        <v>72000</v>
      </c>
      <c r="CK134" s="88">
        <v>72000</v>
      </c>
      <c r="CL134" s="88">
        <v>72000</v>
      </c>
      <c r="CM134" s="88">
        <v>72000</v>
      </c>
      <c r="CN134" s="88">
        <v>72000</v>
      </c>
      <c r="CO134" s="88">
        <v>72000</v>
      </c>
      <c r="CP134" s="88">
        <v>72000</v>
      </c>
      <c r="CQ134" s="88">
        <v>72000</v>
      </c>
      <c r="CR134" s="88">
        <v>72000</v>
      </c>
      <c r="CS134" s="88">
        <v>72000</v>
      </c>
      <c r="CT134" s="88">
        <v>72000</v>
      </c>
      <c r="CU134" s="88">
        <v>584.18823843238238</v>
      </c>
      <c r="CV134" s="88">
        <v>583.80539820059414</v>
      </c>
      <c r="CW134" s="88">
        <v>583.42305941901532</v>
      </c>
      <c r="CX134" s="88">
        <v>583.02828618967692</v>
      </c>
      <c r="CY134" s="88">
        <v>582.63404684572254</v>
      </c>
      <c r="CZ134" s="88">
        <v>582.24034030484972</v>
      </c>
      <c r="DA134" s="88">
        <v>581.84716548769802</v>
      </c>
      <c r="DB134" s="88">
        <v>581.44808894297557</v>
      </c>
      <c r="DC134" s="88">
        <v>581.05598301937357</v>
      </c>
      <c r="DD134" s="88">
        <v>580.66440558128284</v>
      </c>
      <c r="DE134" s="88">
        <v>580.27335556094965</v>
      </c>
      <c r="DF134" s="88">
        <v>579.88283189356162</v>
      </c>
      <c r="DG134" s="93">
        <v>46204</v>
      </c>
      <c r="DH134" s="91">
        <v>0.03</v>
      </c>
      <c r="DI134" t="s">
        <v>301</v>
      </c>
      <c r="DJ134" s="93"/>
      <c r="DK134" s="91"/>
      <c r="DM134" s="93"/>
      <c r="DN134" s="91"/>
      <c r="DP134" s="93"/>
      <c r="DQ134" s="91"/>
    </row>
    <row r="135" spans="1:121" x14ac:dyDescent="0.3">
      <c r="A135" t="s">
        <v>26</v>
      </c>
      <c r="B135" t="s">
        <v>42</v>
      </c>
      <c r="C135" t="s">
        <v>66</v>
      </c>
      <c r="D135" t="s">
        <v>315</v>
      </c>
      <c r="E135" t="s">
        <v>498</v>
      </c>
      <c r="F135" s="86">
        <v>56000</v>
      </c>
      <c r="G135" s="87">
        <v>12</v>
      </c>
      <c r="H135" s="88">
        <v>1.04</v>
      </c>
      <c r="I135" s="88">
        <v>1.033194444444445</v>
      </c>
      <c r="J135" s="89">
        <v>0.98800419401896411</v>
      </c>
      <c r="K135" s="88">
        <v>1.006586906842317</v>
      </c>
      <c r="L135" s="88">
        <v>1.012141452489427</v>
      </c>
      <c r="M135" s="88">
        <v>1</v>
      </c>
      <c r="N135" s="90">
        <v>0.68</v>
      </c>
      <c r="O135" s="90">
        <v>0.69278966708479151</v>
      </c>
      <c r="P135" s="90">
        <v>0.69292750242382473</v>
      </c>
      <c r="Q135" s="91">
        <v>0</v>
      </c>
      <c r="R135" s="88">
        <v>0.99999999999999978</v>
      </c>
      <c r="S135" s="88">
        <v>1.019011032976213</v>
      </c>
      <c r="T135" s="91">
        <v>-6.54380341880334E-3</v>
      </c>
      <c r="U135" s="91">
        <v>6.5869068423176644E-3</v>
      </c>
      <c r="V135" s="87">
        <v>0</v>
      </c>
      <c r="W135" s="91">
        <v>0</v>
      </c>
      <c r="X135" s="87">
        <v>1</v>
      </c>
      <c r="Y135" s="90">
        <v>0.69278966708479151</v>
      </c>
      <c r="Z135" s="90">
        <v>0.69292750242382473</v>
      </c>
      <c r="AA135" s="92">
        <v>0</v>
      </c>
      <c r="AB135" s="88">
        <v>0</v>
      </c>
      <c r="AC135" s="87">
        <v>1</v>
      </c>
      <c r="AD135" s="87">
        <v>0</v>
      </c>
      <c r="AE135" s="88">
        <v>1.023333333333333</v>
      </c>
      <c r="AF135" s="88">
        <v>0.99194865631796525</v>
      </c>
      <c r="AG135" s="88">
        <v>1.0150944412130971</v>
      </c>
      <c r="AH135" s="88">
        <v>58240</v>
      </c>
      <c r="AI135" s="88">
        <v>57858.888888888891</v>
      </c>
      <c r="AJ135" s="88">
        <v>55328.23486506199</v>
      </c>
      <c r="AK135" s="88">
        <v>56368.866783169768</v>
      </c>
      <c r="AL135" s="88">
        <v>56679.921339407912</v>
      </c>
      <c r="AM135" s="88">
        <v>56000</v>
      </c>
      <c r="AN135" s="88">
        <v>38080</v>
      </c>
      <c r="AO135" s="88">
        <v>38796.221356748327</v>
      </c>
      <c r="AP135" s="88">
        <v>38803.940135734178</v>
      </c>
      <c r="AQ135" s="88">
        <v>0</v>
      </c>
      <c r="AR135" s="88">
        <v>55999.999999999993</v>
      </c>
      <c r="AS135" s="88">
        <v>57064.617846667927</v>
      </c>
      <c r="AT135" s="88">
        <v>38796.221356748327</v>
      </c>
      <c r="AU135" s="88">
        <v>38803.940135734178</v>
      </c>
      <c r="AV135" s="88">
        <v>56000</v>
      </c>
      <c r="AW135" s="88">
        <v>55440</v>
      </c>
      <c r="AX135" s="88">
        <v>54880</v>
      </c>
      <c r="AY135" s="88">
        <v>56000</v>
      </c>
      <c r="AZ135" s="88">
        <v>56000</v>
      </c>
      <c r="BA135" s="88">
        <v>56000</v>
      </c>
      <c r="BB135" s="88">
        <v>56000</v>
      </c>
      <c r="BC135" s="88">
        <v>56000</v>
      </c>
      <c r="BD135" s="88">
        <v>56000</v>
      </c>
      <c r="BE135" s="88">
        <v>56000</v>
      </c>
      <c r="BF135" s="88">
        <v>56000</v>
      </c>
      <c r="BG135" s="88">
        <v>56000</v>
      </c>
      <c r="BH135" s="88">
        <v>56000</v>
      </c>
      <c r="BI135" s="88">
        <v>56000</v>
      </c>
      <c r="BJ135" s="88">
        <v>56000</v>
      </c>
      <c r="BK135" s="88">
        <v>1772.8051340095219</v>
      </c>
      <c r="BL135" s="88">
        <v>1772.502034263598</v>
      </c>
      <c r="BM135" s="88">
        <v>1772.1985409812719</v>
      </c>
      <c r="BN135" s="88">
        <v>1771.884345202702</v>
      </c>
      <c r="BO135" s="88">
        <v>1771.56972708543</v>
      </c>
      <c r="BP135" s="88">
        <v>1771.2546857772941</v>
      </c>
      <c r="BQ135" s="88">
        <v>1770.939220423882</v>
      </c>
      <c r="BR135" s="88">
        <v>-451.32870375481821</v>
      </c>
      <c r="BS135" s="88">
        <v>-451.6328604887496</v>
      </c>
      <c r="BT135" s="88">
        <v>-451.93742745012071</v>
      </c>
      <c r="BU135" s="88">
        <v>-452.2424054693879</v>
      </c>
      <c r="BV135" s="88">
        <v>-452.54779537932058</v>
      </c>
      <c r="BW135" s="88">
        <v>2240.0000000000018</v>
      </c>
      <c r="BX135" s="88">
        <v>2240.0000000000018</v>
      </c>
      <c r="BY135" s="88">
        <v>2240.0000000000018</v>
      </c>
      <c r="BZ135" s="88">
        <v>2240.0000000000018</v>
      </c>
      <c r="CA135" s="88">
        <v>2240.0000000000018</v>
      </c>
      <c r="CB135" s="88">
        <v>2240.0000000000018</v>
      </c>
      <c r="CC135" s="88">
        <v>2240.0000000000018</v>
      </c>
      <c r="CD135" s="88">
        <v>0</v>
      </c>
      <c r="CE135" s="88">
        <v>0</v>
      </c>
      <c r="CF135" s="88">
        <v>0</v>
      </c>
      <c r="CG135" s="88">
        <v>0</v>
      </c>
      <c r="CH135" s="88">
        <v>0</v>
      </c>
      <c r="CI135" s="88">
        <v>56000</v>
      </c>
      <c r="CJ135" s="88">
        <v>56000</v>
      </c>
      <c r="CK135" s="88">
        <v>56000</v>
      </c>
      <c r="CL135" s="88">
        <v>56000</v>
      </c>
      <c r="CM135" s="88">
        <v>56000</v>
      </c>
      <c r="CN135" s="88">
        <v>56000</v>
      </c>
      <c r="CO135" s="88">
        <v>56000</v>
      </c>
      <c r="CP135" s="88">
        <v>56000</v>
      </c>
      <c r="CQ135" s="88">
        <v>56000</v>
      </c>
      <c r="CR135" s="88">
        <v>56000</v>
      </c>
      <c r="CS135" s="88">
        <v>56000</v>
      </c>
      <c r="CT135" s="88">
        <v>56000</v>
      </c>
      <c r="CU135" s="88">
        <v>-449.22583268315458</v>
      </c>
      <c r="CV135" s="88">
        <v>-449.51727474654041</v>
      </c>
      <c r="CW135" s="88">
        <v>-449.80909521032328</v>
      </c>
      <c r="CX135" s="88">
        <v>-450.11120653586011</v>
      </c>
      <c r="CY135" s="88">
        <v>-450.41372395632442</v>
      </c>
      <c r="CZ135" s="88">
        <v>-450.71664829106868</v>
      </c>
      <c r="DA135" s="88">
        <v>-451.01998036165281</v>
      </c>
      <c r="DB135" s="88">
        <v>-451.32870375481821</v>
      </c>
      <c r="DC135" s="88">
        <v>-451.6328604887496</v>
      </c>
      <c r="DD135" s="88">
        <v>-451.93742745012071</v>
      </c>
      <c r="DE135" s="88">
        <v>-452.2424054693879</v>
      </c>
      <c r="DF135" s="88">
        <v>-452.54779537932058</v>
      </c>
      <c r="DG135" s="93">
        <v>46235</v>
      </c>
      <c r="DH135" s="91">
        <v>0.04</v>
      </c>
      <c r="DI135" t="s">
        <v>301</v>
      </c>
      <c r="DJ135" s="93"/>
      <c r="DK135" s="91"/>
      <c r="DM135" s="93"/>
      <c r="DN135" s="91"/>
      <c r="DP135" s="93"/>
      <c r="DQ135" s="91"/>
    </row>
    <row r="136" spans="1:121" x14ac:dyDescent="0.3">
      <c r="A136" t="s">
        <v>26</v>
      </c>
      <c r="B136" t="s">
        <v>42</v>
      </c>
      <c r="C136" t="s">
        <v>67</v>
      </c>
      <c r="D136" t="s">
        <v>317</v>
      </c>
      <c r="E136" t="s">
        <v>499</v>
      </c>
      <c r="F136" s="86">
        <v>40000</v>
      </c>
      <c r="G136" s="87">
        <v>12</v>
      </c>
      <c r="H136" s="88">
        <v>1</v>
      </c>
      <c r="I136" s="88">
        <v>1</v>
      </c>
      <c r="J136" s="89">
        <v>0.99099790299051793</v>
      </c>
      <c r="K136" s="88">
        <v>1</v>
      </c>
      <c r="L136" s="88">
        <v>1.009083870896514</v>
      </c>
      <c r="M136" s="88">
        <v>1</v>
      </c>
      <c r="N136" s="90">
        <v>0.66400000000000003</v>
      </c>
      <c r="O136" s="90">
        <v>0.67003169027528542</v>
      </c>
      <c r="P136" s="90">
        <v>0.66778757211931683</v>
      </c>
      <c r="Q136" s="91">
        <v>0</v>
      </c>
      <c r="R136" s="88">
        <v>1</v>
      </c>
      <c r="S136" s="88">
        <v>1.005704174878489</v>
      </c>
      <c r="T136" s="91">
        <v>0</v>
      </c>
      <c r="U136" s="91">
        <v>0</v>
      </c>
      <c r="V136" s="87">
        <v>0</v>
      </c>
      <c r="W136" s="91">
        <v>0</v>
      </c>
      <c r="X136" s="87">
        <v>1</v>
      </c>
      <c r="Y136" s="90">
        <v>0.67003169027528542</v>
      </c>
      <c r="Z136" s="90">
        <v>0.66778757211931683</v>
      </c>
      <c r="AA136" s="92">
        <v>0</v>
      </c>
      <c r="AB136" s="88">
        <v>0</v>
      </c>
      <c r="AC136" s="87">
        <v>0</v>
      </c>
      <c r="AD136" s="87">
        <v>0</v>
      </c>
      <c r="AE136" s="88">
        <v>1</v>
      </c>
      <c r="AF136" s="88">
        <v>1.004037852440528</v>
      </c>
      <c r="AG136" s="88">
        <v>1.004037852440528</v>
      </c>
      <c r="AH136" s="88">
        <v>40000</v>
      </c>
      <c r="AI136" s="88">
        <v>40000</v>
      </c>
      <c r="AJ136" s="88">
        <v>39639.916119620721</v>
      </c>
      <c r="AK136" s="88">
        <v>40000</v>
      </c>
      <c r="AL136" s="88">
        <v>40363.354835860569</v>
      </c>
      <c r="AM136" s="88">
        <v>40000</v>
      </c>
      <c r="AN136" s="88">
        <v>26560</v>
      </c>
      <c r="AO136" s="88">
        <v>26801.267611011419</v>
      </c>
      <c r="AP136" s="88">
        <v>26711.502884772672</v>
      </c>
      <c r="AQ136" s="88">
        <v>0</v>
      </c>
      <c r="AR136" s="88">
        <v>40000</v>
      </c>
      <c r="AS136" s="88">
        <v>40228.166995139567</v>
      </c>
      <c r="AT136" s="88">
        <v>26801.267611011419</v>
      </c>
      <c r="AU136" s="88">
        <v>26711.502884772672</v>
      </c>
      <c r="AV136" s="88">
        <v>40000</v>
      </c>
      <c r="AW136" s="88">
        <v>39600</v>
      </c>
      <c r="AX136" s="88">
        <v>39800</v>
      </c>
      <c r="AY136" s="88">
        <v>40000</v>
      </c>
      <c r="AZ136" s="88">
        <v>40000</v>
      </c>
      <c r="BA136" s="88">
        <v>40000</v>
      </c>
      <c r="BB136" s="88">
        <v>40000</v>
      </c>
      <c r="BC136" s="88">
        <v>40000</v>
      </c>
      <c r="BD136" s="88">
        <v>40000</v>
      </c>
      <c r="BE136" s="88">
        <v>40000</v>
      </c>
      <c r="BF136" s="88">
        <v>40000</v>
      </c>
      <c r="BG136" s="88">
        <v>40000</v>
      </c>
      <c r="BH136" s="88">
        <v>40000</v>
      </c>
      <c r="BI136" s="88">
        <v>40000</v>
      </c>
      <c r="BJ136" s="88">
        <v>40000</v>
      </c>
      <c r="BK136" s="88">
        <v>161.81140105398839</v>
      </c>
      <c r="BL136" s="88">
        <v>161.7585144807077</v>
      </c>
      <c r="BM136" s="88">
        <v>161.70566246711539</v>
      </c>
      <c r="BN136" s="88">
        <v>161.65105516065199</v>
      </c>
      <c r="BO136" s="88">
        <v>161.59648472304329</v>
      </c>
      <c r="BP136" s="88">
        <v>161.5419511169591</v>
      </c>
      <c r="BQ136" s="88">
        <v>161.48745430513151</v>
      </c>
      <c r="BR136" s="88">
        <v>161.43210176856829</v>
      </c>
      <c r="BS136" s="88">
        <v>161.37767903527049</v>
      </c>
      <c r="BT136" s="88">
        <v>161.32329298409689</v>
      </c>
      <c r="BU136" s="88">
        <v>161.26894357795689</v>
      </c>
      <c r="BV136" s="88">
        <v>161.21463077984899</v>
      </c>
      <c r="BW136" s="88">
        <v>0</v>
      </c>
      <c r="BX136" s="88">
        <v>0</v>
      </c>
      <c r="BY136" s="88">
        <v>0</v>
      </c>
      <c r="BZ136" s="88">
        <v>0</v>
      </c>
      <c r="CA136" s="88">
        <v>0</v>
      </c>
      <c r="CB136" s="88">
        <v>0</v>
      </c>
      <c r="CC136" s="88">
        <v>0</v>
      </c>
      <c r="CD136" s="88">
        <v>0</v>
      </c>
      <c r="CE136" s="88">
        <v>0</v>
      </c>
      <c r="CF136" s="88">
        <v>0</v>
      </c>
      <c r="CG136" s="88">
        <v>0</v>
      </c>
      <c r="CH136" s="88">
        <v>0</v>
      </c>
      <c r="CI136" s="88">
        <v>40000</v>
      </c>
      <c r="CJ136" s="88">
        <v>40000</v>
      </c>
      <c r="CK136" s="88">
        <v>40000</v>
      </c>
      <c r="CL136" s="88">
        <v>40000</v>
      </c>
      <c r="CM136" s="88">
        <v>40000</v>
      </c>
      <c r="CN136" s="88">
        <v>40000</v>
      </c>
      <c r="CO136" s="88">
        <v>40000</v>
      </c>
      <c r="CP136" s="88">
        <v>40000</v>
      </c>
      <c r="CQ136" s="88">
        <v>40000</v>
      </c>
      <c r="CR136" s="88">
        <v>40000</v>
      </c>
      <c r="CS136" s="88">
        <v>40000</v>
      </c>
      <c r="CT136" s="88">
        <v>40000</v>
      </c>
      <c r="CU136" s="88">
        <v>161.81140105398839</v>
      </c>
      <c r="CV136" s="88">
        <v>161.7585144807077</v>
      </c>
      <c r="CW136" s="88">
        <v>161.70566246711539</v>
      </c>
      <c r="CX136" s="88">
        <v>161.65105516065199</v>
      </c>
      <c r="CY136" s="88">
        <v>161.59648472304329</v>
      </c>
      <c r="CZ136" s="88">
        <v>161.5419511169591</v>
      </c>
      <c r="DA136" s="88">
        <v>161.48745430513151</v>
      </c>
      <c r="DB136" s="88">
        <v>161.43210176856829</v>
      </c>
      <c r="DC136" s="88">
        <v>161.37767903527049</v>
      </c>
      <c r="DD136" s="88">
        <v>161.32329298409689</v>
      </c>
      <c r="DE136" s="88">
        <v>161.26894357795689</v>
      </c>
      <c r="DF136" s="88">
        <v>161.21463077984899</v>
      </c>
      <c r="DG136" s="93"/>
      <c r="DH136" s="91"/>
      <c r="DJ136" s="93"/>
      <c r="DK136" s="91"/>
      <c r="DM136" s="93"/>
      <c r="DN136" s="91"/>
      <c r="DP136" s="93"/>
      <c r="DQ136" s="91"/>
    </row>
    <row r="137" spans="1:121" x14ac:dyDescent="0.3">
      <c r="A137" t="s">
        <v>26</v>
      </c>
      <c r="B137" t="s">
        <v>42</v>
      </c>
      <c r="C137" t="s">
        <v>73</v>
      </c>
      <c r="D137" t="s">
        <v>319</v>
      </c>
      <c r="E137" t="s">
        <v>500</v>
      </c>
      <c r="F137" s="86">
        <v>92000</v>
      </c>
      <c r="G137" s="87">
        <v>12</v>
      </c>
      <c r="H137" s="88">
        <v>1.06</v>
      </c>
      <c r="I137" s="88">
        <v>1.0444500000000001</v>
      </c>
      <c r="J137" s="89">
        <v>0.99399161196207142</v>
      </c>
      <c r="K137" s="88">
        <v>1.0148882186796879</v>
      </c>
      <c r="L137" s="88">
        <v>1.006044706983058</v>
      </c>
      <c r="M137" s="88">
        <v>1</v>
      </c>
      <c r="N137" s="90">
        <v>0.69199999999999995</v>
      </c>
      <c r="O137" s="90">
        <v>0.70654786104285794</v>
      </c>
      <c r="P137" s="90">
        <v>0.66777772964368387</v>
      </c>
      <c r="Q137" s="91">
        <v>0</v>
      </c>
      <c r="R137" s="88">
        <v>0.97205346294046147</v>
      </c>
      <c r="S137" s="88">
        <v>0.9927403748134972</v>
      </c>
      <c r="T137" s="91">
        <v>-1.466981132075462E-2</v>
      </c>
      <c r="U137" s="91">
        <v>4.4066254966729002E-2</v>
      </c>
      <c r="V137" s="87">
        <v>0</v>
      </c>
      <c r="W137" s="91">
        <v>0</v>
      </c>
      <c r="X137" s="87">
        <v>1</v>
      </c>
      <c r="Y137" s="90">
        <v>0.70654786104285794</v>
      </c>
      <c r="Z137" s="90">
        <v>0.66777772964368387</v>
      </c>
      <c r="AA137" s="92">
        <v>0</v>
      </c>
      <c r="AB137" s="88">
        <v>0</v>
      </c>
      <c r="AC137" s="87">
        <v>1</v>
      </c>
      <c r="AD137" s="87">
        <v>1</v>
      </c>
      <c r="AE137" s="88">
        <v>1.0549999999999999</v>
      </c>
      <c r="AF137" s="88">
        <v>1.016200824295963</v>
      </c>
      <c r="AG137" s="88">
        <v>1.072092361910653</v>
      </c>
      <c r="AH137" s="88">
        <v>97520</v>
      </c>
      <c r="AI137" s="88">
        <v>96089.400000000009</v>
      </c>
      <c r="AJ137" s="88">
        <v>91447.228300510571</v>
      </c>
      <c r="AK137" s="88">
        <v>93369.716118531287</v>
      </c>
      <c r="AL137" s="88">
        <v>92556.113042441386</v>
      </c>
      <c r="AM137" s="88">
        <v>92000</v>
      </c>
      <c r="AN137" s="88">
        <v>63663.999999999993</v>
      </c>
      <c r="AO137" s="88">
        <v>65002.403215942933</v>
      </c>
      <c r="AP137" s="88">
        <v>61435.551127218918</v>
      </c>
      <c r="AQ137" s="88">
        <v>0</v>
      </c>
      <c r="AR137" s="88">
        <v>89428.918590522459</v>
      </c>
      <c r="AS137" s="88">
        <v>91332.114482841745</v>
      </c>
      <c r="AT137" s="88">
        <v>65002.403215942933</v>
      </c>
      <c r="AU137" s="88">
        <v>61435.551127218918</v>
      </c>
      <c r="AV137" s="88">
        <v>92000</v>
      </c>
      <c r="AW137" s="88">
        <v>91080</v>
      </c>
      <c r="AX137" s="88">
        <v>92920</v>
      </c>
      <c r="AY137" s="88">
        <v>92000</v>
      </c>
      <c r="AZ137" s="88">
        <v>92000</v>
      </c>
      <c r="BA137" s="88">
        <v>92000</v>
      </c>
      <c r="BB137" s="88">
        <v>92000</v>
      </c>
      <c r="BC137" s="88">
        <v>92000</v>
      </c>
      <c r="BD137" s="88">
        <v>92000</v>
      </c>
      <c r="BE137" s="88">
        <v>92000</v>
      </c>
      <c r="BF137" s="88">
        <v>92000</v>
      </c>
      <c r="BG137" s="88">
        <v>92000</v>
      </c>
      <c r="BH137" s="88">
        <v>92000</v>
      </c>
      <c r="BI137" s="88">
        <v>92000</v>
      </c>
      <c r="BJ137" s="88">
        <v>92000</v>
      </c>
      <c r="BK137" s="88">
        <v>7111.6115185119124</v>
      </c>
      <c r="BL137" s="88">
        <v>7109.5148145667372</v>
      </c>
      <c r="BM137" s="88">
        <v>7107.4236275253243</v>
      </c>
      <c r="BN137" s="88">
        <v>7105.2673302603198</v>
      </c>
      <c r="BO137" s="88">
        <v>7103.1168831169107</v>
      </c>
      <c r="BP137" s="88">
        <v>7100.9722623198259</v>
      </c>
      <c r="BQ137" s="88">
        <v>7098.8334442226787</v>
      </c>
      <c r="BR137" s="88">
        <v>7096.6654854713179</v>
      </c>
      <c r="BS137" s="88">
        <v>7094.5382965076406</v>
      </c>
      <c r="BT137" s="88">
        <v>5222.7485974290084</v>
      </c>
      <c r="BU137" s="88">
        <v>5220.67276938347</v>
      </c>
      <c r="BV137" s="88">
        <v>5218.6025200458171</v>
      </c>
      <c r="BW137" s="88">
        <v>5520.0000000000045</v>
      </c>
      <c r="BX137" s="88">
        <v>5520.0000000000045</v>
      </c>
      <c r="BY137" s="88">
        <v>5520.0000000000045</v>
      </c>
      <c r="BZ137" s="88">
        <v>5520.0000000000045</v>
      </c>
      <c r="CA137" s="88">
        <v>5520.0000000000045</v>
      </c>
      <c r="CB137" s="88">
        <v>5520.0000000000045</v>
      </c>
      <c r="CC137" s="88">
        <v>5520.0000000000045</v>
      </c>
      <c r="CD137" s="88">
        <v>5520.0000000000045</v>
      </c>
      <c r="CE137" s="88">
        <v>5520.0000000000045</v>
      </c>
      <c r="CF137" s="88">
        <v>3680.0000000000032</v>
      </c>
      <c r="CG137" s="88">
        <v>3680.0000000000032</v>
      </c>
      <c r="CH137" s="88">
        <v>3680.0000000000032</v>
      </c>
      <c r="CI137" s="88">
        <v>92000</v>
      </c>
      <c r="CJ137" s="88">
        <v>92000</v>
      </c>
      <c r="CK137" s="88">
        <v>92000</v>
      </c>
      <c r="CL137" s="88">
        <v>92000</v>
      </c>
      <c r="CM137" s="88">
        <v>92000</v>
      </c>
      <c r="CN137" s="88">
        <v>92000</v>
      </c>
      <c r="CO137" s="88">
        <v>92000</v>
      </c>
      <c r="CP137" s="88">
        <v>92000</v>
      </c>
      <c r="CQ137" s="88">
        <v>92000</v>
      </c>
      <c r="CR137" s="88">
        <v>92000</v>
      </c>
      <c r="CS137" s="88">
        <v>92000</v>
      </c>
      <c r="CT137" s="88">
        <v>92000</v>
      </c>
      <c r="CU137" s="88">
        <v>1501.5203004829309</v>
      </c>
      <c r="CV137" s="88">
        <v>1499.542277893135</v>
      </c>
      <c r="CW137" s="88">
        <v>1497.569459929543</v>
      </c>
      <c r="CX137" s="88">
        <v>1495.5352172267119</v>
      </c>
      <c r="CY137" s="88">
        <v>1493.506493506507</v>
      </c>
      <c r="CZ137" s="88">
        <v>1491.4832663394629</v>
      </c>
      <c r="DA137" s="88">
        <v>1489.465513417621</v>
      </c>
      <c r="DB137" s="88">
        <v>1487.420269312554</v>
      </c>
      <c r="DC137" s="88">
        <v>1485.4134872713601</v>
      </c>
      <c r="DD137" s="88">
        <v>1483.412112912496</v>
      </c>
      <c r="DE137" s="88">
        <v>1481.416124407185</v>
      </c>
      <c r="DF137" s="88">
        <v>1479.425500044051</v>
      </c>
      <c r="DG137" s="93">
        <v>46296</v>
      </c>
      <c r="DH137" s="91">
        <v>0.06</v>
      </c>
      <c r="DI137" t="s">
        <v>301</v>
      </c>
      <c r="DJ137" s="93">
        <v>46661</v>
      </c>
      <c r="DK137" s="91">
        <v>0.04</v>
      </c>
      <c r="DL137" t="s">
        <v>302</v>
      </c>
      <c r="DM137" s="93"/>
      <c r="DN137" s="91"/>
      <c r="DP137" s="93"/>
      <c r="DQ137" s="91"/>
    </row>
    <row r="138" spans="1:121" x14ac:dyDescent="0.3">
      <c r="A138" t="s">
        <v>26</v>
      </c>
      <c r="B138" t="s">
        <v>42</v>
      </c>
      <c r="C138" t="s">
        <v>78</v>
      </c>
      <c r="D138" t="s">
        <v>321</v>
      </c>
      <c r="E138" t="s">
        <v>501</v>
      </c>
      <c r="F138" s="86">
        <v>76000</v>
      </c>
      <c r="G138" s="87">
        <v>12</v>
      </c>
      <c r="H138" s="88">
        <v>1.02</v>
      </c>
      <c r="I138" s="88">
        <v>1.013055555555556</v>
      </c>
      <c r="J138" s="89">
        <v>0.9900000000000001</v>
      </c>
      <c r="K138" s="88">
        <v>1.0068549492733749</v>
      </c>
      <c r="L138" s="88">
        <v>1.0101010101010099</v>
      </c>
      <c r="M138" s="88">
        <v>1</v>
      </c>
      <c r="N138" s="90">
        <v>0.67600000000000005</v>
      </c>
      <c r="O138" s="90">
        <v>0.68750903606949665</v>
      </c>
      <c r="P138" s="90">
        <v>0.6828282828282829</v>
      </c>
      <c r="Q138" s="91">
        <v>0</v>
      </c>
      <c r="R138" s="88">
        <v>1</v>
      </c>
      <c r="S138" s="88">
        <v>1.0101010101010099</v>
      </c>
      <c r="T138" s="91">
        <v>-6.8082788671023353E-3</v>
      </c>
      <c r="U138" s="91">
        <v>6.8549492733751549E-3</v>
      </c>
      <c r="V138" s="87">
        <v>0</v>
      </c>
      <c r="W138" s="91">
        <v>0</v>
      </c>
      <c r="X138" s="87">
        <v>1</v>
      </c>
      <c r="Y138" s="90">
        <v>0.68750903606949665</v>
      </c>
      <c r="Z138" s="90">
        <v>0.6828282828282829</v>
      </c>
      <c r="AA138" s="92">
        <v>0</v>
      </c>
      <c r="AB138" s="88">
        <v>0</v>
      </c>
      <c r="AC138" s="87">
        <v>1</v>
      </c>
      <c r="AD138" s="87">
        <v>0</v>
      </c>
      <c r="AE138" s="88">
        <v>1.0166666666666659</v>
      </c>
      <c r="AF138" s="88">
        <v>1</v>
      </c>
      <c r="AG138" s="88">
        <v>1.0166666666666659</v>
      </c>
      <c r="AH138" s="88">
        <v>77520</v>
      </c>
      <c r="AI138" s="88">
        <v>76992.222222222219</v>
      </c>
      <c r="AJ138" s="88">
        <v>75240.000000000015</v>
      </c>
      <c r="AK138" s="88">
        <v>76520.976144776534</v>
      </c>
      <c r="AL138" s="88">
        <v>76767.676767676749</v>
      </c>
      <c r="AM138" s="88">
        <v>76000</v>
      </c>
      <c r="AN138" s="88">
        <v>51376</v>
      </c>
      <c r="AO138" s="88">
        <v>52250.686741281737</v>
      </c>
      <c r="AP138" s="88">
        <v>51894.949494949498</v>
      </c>
      <c r="AQ138" s="88">
        <v>0</v>
      </c>
      <c r="AR138" s="88">
        <v>76000.000000000015</v>
      </c>
      <c r="AS138" s="88">
        <v>76767.676767676749</v>
      </c>
      <c r="AT138" s="88">
        <v>52250.686741281737</v>
      </c>
      <c r="AU138" s="88">
        <v>51894.949494949498</v>
      </c>
      <c r="AV138" s="88">
        <v>76000</v>
      </c>
      <c r="AW138" s="88">
        <v>75240</v>
      </c>
      <c r="AX138" s="88">
        <v>75240</v>
      </c>
      <c r="AY138" s="88">
        <v>76000</v>
      </c>
      <c r="AZ138" s="88">
        <v>76000</v>
      </c>
      <c r="BA138" s="88">
        <v>76000</v>
      </c>
      <c r="BB138" s="88">
        <v>76000</v>
      </c>
      <c r="BC138" s="88">
        <v>76000</v>
      </c>
      <c r="BD138" s="88">
        <v>76000</v>
      </c>
      <c r="BE138" s="88">
        <v>76000</v>
      </c>
      <c r="BF138" s="88">
        <v>76000</v>
      </c>
      <c r="BG138" s="88">
        <v>76000</v>
      </c>
      <c r="BH138" s="88">
        <v>76000</v>
      </c>
      <c r="BI138" s="88">
        <v>76000</v>
      </c>
      <c r="BJ138" s="88">
        <v>76000</v>
      </c>
      <c r="BK138" s="88">
        <v>1520.0000000000009</v>
      </c>
      <c r="BL138" s="88">
        <v>1520.0000000000009</v>
      </c>
      <c r="BM138" s="88">
        <v>1520.0000000000009</v>
      </c>
      <c r="BN138" s="88">
        <v>1520.0000000000009</v>
      </c>
      <c r="BO138" s="88">
        <v>1520.0000000000009</v>
      </c>
      <c r="BP138" s="88">
        <v>1520.0000000000009</v>
      </c>
      <c r="BQ138" s="88">
        <v>1520.0000000000009</v>
      </c>
      <c r="BR138" s="88">
        <v>1520.0000000000009</v>
      </c>
      <c r="BS138" s="88">
        <v>1520.0000000000009</v>
      </c>
      <c r="BT138" s="88">
        <v>1520.0000000000009</v>
      </c>
      <c r="BU138" s="88">
        <v>0</v>
      </c>
      <c r="BV138" s="88">
        <v>0</v>
      </c>
      <c r="BW138" s="88">
        <v>1520.0000000000009</v>
      </c>
      <c r="BX138" s="88">
        <v>1520.0000000000009</v>
      </c>
      <c r="BY138" s="88">
        <v>1520.0000000000009</v>
      </c>
      <c r="BZ138" s="88">
        <v>1520.0000000000009</v>
      </c>
      <c r="CA138" s="88">
        <v>1520.0000000000009</v>
      </c>
      <c r="CB138" s="88">
        <v>1520.0000000000009</v>
      </c>
      <c r="CC138" s="88">
        <v>1520.0000000000009</v>
      </c>
      <c r="CD138" s="88">
        <v>1520.0000000000009</v>
      </c>
      <c r="CE138" s="88">
        <v>1520.0000000000009</v>
      </c>
      <c r="CF138" s="88">
        <v>1520.0000000000009</v>
      </c>
      <c r="CG138" s="88">
        <v>0</v>
      </c>
      <c r="CH138" s="88">
        <v>0</v>
      </c>
      <c r="CI138" s="88">
        <v>76000</v>
      </c>
      <c r="CJ138" s="88">
        <v>76000</v>
      </c>
      <c r="CK138" s="88">
        <v>76000</v>
      </c>
      <c r="CL138" s="88">
        <v>76000</v>
      </c>
      <c r="CM138" s="88">
        <v>76000</v>
      </c>
      <c r="CN138" s="88">
        <v>76000</v>
      </c>
      <c r="CO138" s="88">
        <v>76000</v>
      </c>
      <c r="CP138" s="88">
        <v>76000</v>
      </c>
      <c r="CQ138" s="88">
        <v>76000</v>
      </c>
      <c r="CR138" s="88">
        <v>76000</v>
      </c>
      <c r="CS138" s="88">
        <v>76000</v>
      </c>
      <c r="CT138" s="88">
        <v>76000</v>
      </c>
      <c r="CU138" s="88">
        <v>0</v>
      </c>
      <c r="CV138" s="88">
        <v>0</v>
      </c>
      <c r="CW138" s="88">
        <v>0</v>
      </c>
      <c r="CX138" s="88">
        <v>0</v>
      </c>
      <c r="CY138" s="88">
        <v>0</v>
      </c>
      <c r="CZ138" s="88">
        <v>0</v>
      </c>
      <c r="DA138" s="88">
        <v>0</v>
      </c>
      <c r="DB138" s="88">
        <v>0</v>
      </c>
      <c r="DC138" s="88">
        <v>0</v>
      </c>
      <c r="DD138" s="88">
        <v>0</v>
      </c>
      <c r="DE138" s="88">
        <v>0</v>
      </c>
      <c r="DF138" s="88">
        <v>0</v>
      </c>
      <c r="DG138" s="93">
        <v>46327</v>
      </c>
      <c r="DH138" s="91">
        <v>0.02</v>
      </c>
      <c r="DI138" t="s">
        <v>301</v>
      </c>
      <c r="DJ138" s="93"/>
      <c r="DK138" s="91"/>
      <c r="DM138" s="93"/>
      <c r="DN138" s="91"/>
      <c r="DP138" s="93"/>
      <c r="DQ138" s="91"/>
    </row>
    <row r="139" spans="1:121" x14ac:dyDescent="0.3">
      <c r="A139" t="s">
        <v>26</v>
      </c>
      <c r="B139" t="s">
        <v>42</v>
      </c>
      <c r="C139" t="s">
        <v>80</v>
      </c>
      <c r="D139" t="s">
        <v>323</v>
      </c>
      <c r="E139" t="s">
        <v>502</v>
      </c>
      <c r="F139" s="86">
        <v>60000</v>
      </c>
      <c r="G139" s="87">
        <v>12</v>
      </c>
      <c r="H139" s="88">
        <v>1</v>
      </c>
      <c r="I139" s="88">
        <v>1</v>
      </c>
      <c r="J139" s="89">
        <v>0.99299370897155337</v>
      </c>
      <c r="K139" s="88">
        <v>1</v>
      </c>
      <c r="L139" s="88">
        <v>1.007055725494679</v>
      </c>
      <c r="M139" s="88">
        <v>1</v>
      </c>
      <c r="N139" s="90">
        <v>0.66</v>
      </c>
      <c r="O139" s="90">
        <v>0.66465677882648833</v>
      </c>
      <c r="P139" s="90">
        <v>0.65803606861473762</v>
      </c>
      <c r="Q139" s="91">
        <v>0</v>
      </c>
      <c r="R139" s="88">
        <v>1</v>
      </c>
      <c r="S139" s="88">
        <v>0.99702434638596604</v>
      </c>
      <c r="T139" s="91">
        <v>0</v>
      </c>
      <c r="U139" s="91">
        <v>0</v>
      </c>
      <c r="V139" s="87">
        <v>0</v>
      </c>
      <c r="W139" s="91">
        <v>0</v>
      </c>
      <c r="X139" s="87">
        <v>1</v>
      </c>
      <c r="Y139" s="90">
        <v>0.66465677882648833</v>
      </c>
      <c r="Z139" s="90">
        <v>0.65803606861473762</v>
      </c>
      <c r="AA139" s="92">
        <v>0</v>
      </c>
      <c r="AB139" s="88">
        <v>0</v>
      </c>
      <c r="AC139" s="87">
        <v>0</v>
      </c>
      <c r="AD139" s="87">
        <v>0</v>
      </c>
      <c r="AE139" s="88">
        <v>1</v>
      </c>
      <c r="AF139" s="88">
        <v>1.012138206284618</v>
      </c>
      <c r="AG139" s="88">
        <v>1.012138206284618</v>
      </c>
      <c r="AH139" s="88">
        <v>60000</v>
      </c>
      <c r="AI139" s="88">
        <v>60000</v>
      </c>
      <c r="AJ139" s="88">
        <v>59579.622538293203</v>
      </c>
      <c r="AK139" s="88">
        <v>60000</v>
      </c>
      <c r="AL139" s="88">
        <v>60423.343529680758</v>
      </c>
      <c r="AM139" s="88">
        <v>60000</v>
      </c>
      <c r="AN139" s="88">
        <v>39600</v>
      </c>
      <c r="AO139" s="88">
        <v>39879.406729589296</v>
      </c>
      <c r="AP139" s="88">
        <v>39482.164116884247</v>
      </c>
      <c r="AQ139" s="88">
        <v>0</v>
      </c>
      <c r="AR139" s="88">
        <v>60000</v>
      </c>
      <c r="AS139" s="88">
        <v>59821.460783157963</v>
      </c>
      <c r="AT139" s="88">
        <v>39879.406729589296</v>
      </c>
      <c r="AU139" s="88">
        <v>39482.164116884247</v>
      </c>
      <c r="AV139" s="88">
        <v>60000</v>
      </c>
      <c r="AW139" s="88">
        <v>59400</v>
      </c>
      <c r="AX139" s="88">
        <v>60299.999999999993</v>
      </c>
      <c r="AY139" s="88">
        <v>60000</v>
      </c>
      <c r="AZ139" s="88">
        <v>60000</v>
      </c>
      <c r="BA139" s="88">
        <v>60000</v>
      </c>
      <c r="BB139" s="88">
        <v>60000</v>
      </c>
      <c r="BC139" s="88">
        <v>60000</v>
      </c>
      <c r="BD139" s="88">
        <v>60000</v>
      </c>
      <c r="BE139" s="88">
        <v>60000</v>
      </c>
      <c r="BF139" s="88">
        <v>60000</v>
      </c>
      <c r="BG139" s="88">
        <v>60000</v>
      </c>
      <c r="BH139" s="88">
        <v>60000</v>
      </c>
      <c r="BI139" s="88">
        <v>60000</v>
      </c>
      <c r="BJ139" s="88">
        <v>60000</v>
      </c>
      <c r="BK139" s="88">
        <v>732.3312544934746</v>
      </c>
      <c r="BL139" s="88">
        <v>731.60954099018124</v>
      </c>
      <c r="BM139" s="88">
        <v>730.8892485857665</v>
      </c>
      <c r="BN139" s="88">
        <v>730.14602920583366</v>
      </c>
      <c r="BO139" s="88">
        <v>729.40431980549556</v>
      </c>
      <c r="BP139" s="88">
        <v>728.66411578772272</v>
      </c>
      <c r="BQ139" s="88">
        <v>727.92541257415076</v>
      </c>
      <c r="BR139" s="88">
        <v>727.17613268473701</v>
      </c>
      <c r="BS139" s="88">
        <v>726.44044183500341</v>
      </c>
      <c r="BT139" s="88">
        <v>725.70623809129484</v>
      </c>
      <c r="BU139" s="88">
        <v>724.97351694914778</v>
      </c>
      <c r="BV139" s="88">
        <v>724.24227392232422</v>
      </c>
      <c r="BW139" s="88">
        <v>0</v>
      </c>
      <c r="BX139" s="88">
        <v>0</v>
      </c>
      <c r="BY139" s="88">
        <v>0</v>
      </c>
      <c r="BZ139" s="88">
        <v>0</v>
      </c>
      <c r="CA139" s="88">
        <v>0</v>
      </c>
      <c r="CB139" s="88">
        <v>0</v>
      </c>
      <c r="CC139" s="88">
        <v>0</v>
      </c>
      <c r="CD139" s="88">
        <v>0</v>
      </c>
      <c r="CE139" s="88">
        <v>0</v>
      </c>
      <c r="CF139" s="88">
        <v>0</v>
      </c>
      <c r="CG139" s="88">
        <v>0</v>
      </c>
      <c r="CH139" s="88">
        <v>0</v>
      </c>
      <c r="CI139" s="88">
        <v>60000</v>
      </c>
      <c r="CJ139" s="88">
        <v>60000</v>
      </c>
      <c r="CK139" s="88">
        <v>60000</v>
      </c>
      <c r="CL139" s="88">
        <v>60000</v>
      </c>
      <c r="CM139" s="88">
        <v>60000</v>
      </c>
      <c r="CN139" s="88">
        <v>60000</v>
      </c>
      <c r="CO139" s="88">
        <v>60000</v>
      </c>
      <c r="CP139" s="88">
        <v>60000</v>
      </c>
      <c r="CQ139" s="88">
        <v>60000</v>
      </c>
      <c r="CR139" s="88">
        <v>60000</v>
      </c>
      <c r="CS139" s="88">
        <v>60000</v>
      </c>
      <c r="CT139" s="88">
        <v>60000</v>
      </c>
      <c r="CU139" s="88">
        <v>732.3312544934746</v>
      </c>
      <c r="CV139" s="88">
        <v>731.60954099018124</v>
      </c>
      <c r="CW139" s="88">
        <v>730.8892485857665</v>
      </c>
      <c r="CX139" s="88">
        <v>730.14602920583366</v>
      </c>
      <c r="CY139" s="88">
        <v>729.40431980549556</v>
      </c>
      <c r="CZ139" s="88">
        <v>728.66411578772272</v>
      </c>
      <c r="DA139" s="88">
        <v>727.92541257415076</v>
      </c>
      <c r="DB139" s="88">
        <v>727.17613268473701</v>
      </c>
      <c r="DC139" s="88">
        <v>726.44044183500341</v>
      </c>
      <c r="DD139" s="88">
        <v>725.70623809129484</v>
      </c>
      <c r="DE139" s="88">
        <v>724.97351694914778</v>
      </c>
      <c r="DF139" s="88">
        <v>724.24227392232422</v>
      </c>
      <c r="DG139" s="93"/>
      <c r="DH139" s="91"/>
      <c r="DJ139" s="93"/>
      <c r="DK139" s="91"/>
      <c r="DM139" s="93"/>
      <c r="DN139" s="91"/>
      <c r="DP139" s="93"/>
      <c r="DQ139" s="91"/>
    </row>
    <row r="140" spans="1:121" x14ac:dyDescent="0.3">
      <c r="A140" t="s">
        <v>26</v>
      </c>
      <c r="B140" t="s">
        <v>42</v>
      </c>
      <c r="C140" t="s">
        <v>82</v>
      </c>
      <c r="D140" t="s">
        <v>325</v>
      </c>
      <c r="E140" t="s">
        <v>503</v>
      </c>
      <c r="F140" s="86">
        <v>44000</v>
      </c>
      <c r="G140" s="87">
        <v>12</v>
      </c>
      <c r="H140" s="88">
        <v>1.04</v>
      </c>
      <c r="I140" s="88">
        <v>1.04</v>
      </c>
      <c r="J140" s="89">
        <v>0.98900209700948194</v>
      </c>
      <c r="K140" s="88">
        <v>0.99999999999999978</v>
      </c>
      <c r="L140" s="88">
        <v>1.011120201892163</v>
      </c>
      <c r="M140" s="88">
        <v>1</v>
      </c>
      <c r="N140" s="90">
        <v>0.68799999999999994</v>
      </c>
      <c r="O140" s="90">
        <v>0.69565069890180797</v>
      </c>
      <c r="P140" s="90">
        <v>0.69800108390350857</v>
      </c>
      <c r="Q140" s="91">
        <v>0</v>
      </c>
      <c r="R140" s="88">
        <v>0.99999999999999978</v>
      </c>
      <c r="S140" s="88">
        <v>1.0145364591620769</v>
      </c>
      <c r="T140" s="91">
        <v>0</v>
      </c>
      <c r="U140" s="91">
        <v>0</v>
      </c>
      <c r="V140" s="87">
        <v>0</v>
      </c>
      <c r="W140" s="91">
        <v>0</v>
      </c>
      <c r="X140" s="87">
        <v>1</v>
      </c>
      <c r="Y140" s="90">
        <v>0.69565069890180797</v>
      </c>
      <c r="Z140" s="90">
        <v>0.69800108390350857</v>
      </c>
      <c r="AA140" s="92">
        <v>0</v>
      </c>
      <c r="AB140" s="88">
        <v>0</v>
      </c>
      <c r="AC140" s="87">
        <v>1</v>
      </c>
      <c r="AD140" s="87">
        <v>0</v>
      </c>
      <c r="AE140" s="88">
        <v>1</v>
      </c>
      <c r="AF140" s="88">
        <v>0.99597028697853884</v>
      </c>
      <c r="AG140" s="88">
        <v>0.99597028697853884</v>
      </c>
      <c r="AH140" s="88">
        <v>45760</v>
      </c>
      <c r="AI140" s="88">
        <v>45760.000000000007</v>
      </c>
      <c r="AJ140" s="88">
        <v>43516.092268417196</v>
      </c>
      <c r="AK140" s="88">
        <v>43999.999999999993</v>
      </c>
      <c r="AL140" s="88">
        <v>44489.288883255169</v>
      </c>
      <c r="AM140" s="88">
        <v>44000</v>
      </c>
      <c r="AN140" s="88">
        <v>30272</v>
      </c>
      <c r="AO140" s="88">
        <v>30608.63075167955</v>
      </c>
      <c r="AP140" s="88">
        <v>30712.047691754378</v>
      </c>
      <c r="AQ140" s="88">
        <v>0</v>
      </c>
      <c r="AR140" s="88">
        <v>43999.999999999993</v>
      </c>
      <c r="AS140" s="88">
        <v>44639.604203131377</v>
      </c>
      <c r="AT140" s="88">
        <v>30608.63075167955</v>
      </c>
      <c r="AU140" s="88">
        <v>30712.047691754378</v>
      </c>
      <c r="AV140" s="88">
        <v>44000</v>
      </c>
      <c r="AW140" s="88">
        <v>43560</v>
      </c>
      <c r="AX140" s="88">
        <v>43340</v>
      </c>
      <c r="AY140" s="88">
        <v>44000</v>
      </c>
      <c r="AZ140" s="88">
        <v>44000</v>
      </c>
      <c r="BA140" s="88">
        <v>44000</v>
      </c>
      <c r="BB140" s="88">
        <v>44000</v>
      </c>
      <c r="BC140" s="88">
        <v>44000</v>
      </c>
      <c r="BD140" s="88">
        <v>44000</v>
      </c>
      <c r="BE140" s="88">
        <v>44000</v>
      </c>
      <c r="BF140" s="88">
        <v>44000</v>
      </c>
      <c r="BG140" s="88">
        <v>44000</v>
      </c>
      <c r="BH140" s="88">
        <v>44000</v>
      </c>
      <c r="BI140" s="88">
        <v>44000</v>
      </c>
      <c r="BJ140" s="88">
        <v>44000</v>
      </c>
      <c r="BK140" s="88">
        <v>-176.98237339313621</v>
      </c>
      <c r="BL140" s="88">
        <v>-177.0399276848118</v>
      </c>
      <c r="BM140" s="88">
        <v>-177.09751942173031</v>
      </c>
      <c r="BN140" s="88">
        <v>-177.1571028305425</v>
      </c>
      <c r="BO140" s="88">
        <v>-177.2167263458133</v>
      </c>
      <c r="BP140" s="88">
        <v>-177.27639000805871</v>
      </c>
      <c r="BQ140" s="88">
        <v>-177.3360938578339</v>
      </c>
      <c r="BR140" s="88">
        <v>-177.39681768224401</v>
      </c>
      <c r="BS140" s="88">
        <v>-177.4566026894768</v>
      </c>
      <c r="BT140" s="88">
        <v>-177.51642800692079</v>
      </c>
      <c r="BU140" s="88">
        <v>-177.57629367536549</v>
      </c>
      <c r="BV140" s="88">
        <v>-177.6361997356446</v>
      </c>
      <c r="BW140" s="88">
        <v>0</v>
      </c>
      <c r="BX140" s="88">
        <v>0</v>
      </c>
      <c r="BY140" s="88">
        <v>0</v>
      </c>
      <c r="BZ140" s="88">
        <v>0</v>
      </c>
      <c r="CA140" s="88">
        <v>0</v>
      </c>
      <c r="CB140" s="88">
        <v>0</v>
      </c>
      <c r="CC140" s="88">
        <v>0</v>
      </c>
      <c r="CD140" s="88">
        <v>0</v>
      </c>
      <c r="CE140" s="88">
        <v>0</v>
      </c>
      <c r="CF140" s="88">
        <v>0</v>
      </c>
      <c r="CG140" s="88">
        <v>0</v>
      </c>
      <c r="CH140" s="88">
        <v>0</v>
      </c>
      <c r="CI140" s="88">
        <v>44000</v>
      </c>
      <c r="CJ140" s="88">
        <v>44000</v>
      </c>
      <c r="CK140" s="88">
        <v>44000</v>
      </c>
      <c r="CL140" s="88">
        <v>44000</v>
      </c>
      <c r="CM140" s="88">
        <v>44000</v>
      </c>
      <c r="CN140" s="88">
        <v>44000</v>
      </c>
      <c r="CO140" s="88">
        <v>44000</v>
      </c>
      <c r="CP140" s="88">
        <v>44000</v>
      </c>
      <c r="CQ140" s="88">
        <v>44000</v>
      </c>
      <c r="CR140" s="88">
        <v>44000</v>
      </c>
      <c r="CS140" s="88">
        <v>44000</v>
      </c>
      <c r="CT140" s="88">
        <v>44000</v>
      </c>
      <c r="CU140" s="88">
        <v>-176.98237339313621</v>
      </c>
      <c r="CV140" s="88">
        <v>-177.0399276848118</v>
      </c>
      <c r="CW140" s="88">
        <v>-177.09751942173031</v>
      </c>
      <c r="CX140" s="88">
        <v>-177.1571028305425</v>
      </c>
      <c r="CY140" s="88">
        <v>-177.2167263458133</v>
      </c>
      <c r="CZ140" s="88">
        <v>-177.27639000805871</v>
      </c>
      <c r="DA140" s="88">
        <v>-177.3360938578339</v>
      </c>
      <c r="DB140" s="88">
        <v>-177.39681768224401</v>
      </c>
      <c r="DC140" s="88">
        <v>-177.4566026894768</v>
      </c>
      <c r="DD140" s="88">
        <v>-177.51642800692079</v>
      </c>
      <c r="DE140" s="88">
        <v>-177.57629367536549</v>
      </c>
      <c r="DF140" s="88">
        <v>-177.6361997356446</v>
      </c>
      <c r="DG140" s="93">
        <v>46023</v>
      </c>
      <c r="DH140" s="91">
        <v>0.04</v>
      </c>
      <c r="DI140" t="s">
        <v>301</v>
      </c>
      <c r="DJ140" s="93"/>
      <c r="DK140" s="91"/>
      <c r="DM140" s="93"/>
      <c r="DN140" s="91"/>
      <c r="DP140" s="93"/>
      <c r="DQ140" s="91"/>
    </row>
    <row r="141" spans="1:121" x14ac:dyDescent="0.3">
      <c r="A141" t="s">
        <v>26</v>
      </c>
      <c r="B141" t="s">
        <v>42</v>
      </c>
      <c r="C141" t="s">
        <v>85</v>
      </c>
      <c r="D141" t="s">
        <v>327</v>
      </c>
      <c r="E141" t="s">
        <v>504</v>
      </c>
      <c r="F141" s="86">
        <v>96000</v>
      </c>
      <c r="G141" s="87">
        <v>12</v>
      </c>
      <c r="H141" s="88">
        <v>1.05</v>
      </c>
      <c r="I141" s="88">
        <v>1.061638888888889</v>
      </c>
      <c r="J141" s="89">
        <v>0.99199580598103554</v>
      </c>
      <c r="K141" s="88">
        <v>0.9890368664800232</v>
      </c>
      <c r="L141" s="88">
        <v>1.008068778084247</v>
      </c>
      <c r="M141" s="88">
        <v>1</v>
      </c>
      <c r="N141" s="90">
        <v>0.67200000000000004</v>
      </c>
      <c r="O141" s="90">
        <v>0.66999554863771449</v>
      </c>
      <c r="P141" s="90">
        <v>0.64780182273482856</v>
      </c>
      <c r="Q141" s="91">
        <v>0</v>
      </c>
      <c r="R141" s="88">
        <v>0.96269554753309272</v>
      </c>
      <c r="S141" s="88">
        <v>1.0013454514372071</v>
      </c>
      <c r="T141" s="91">
        <v>1.108465608465603E-2</v>
      </c>
      <c r="U141" s="91">
        <v>2.7362045056124051E-2</v>
      </c>
      <c r="V141" s="87">
        <v>0</v>
      </c>
      <c r="W141" s="91">
        <v>0</v>
      </c>
      <c r="X141" s="87">
        <v>1</v>
      </c>
      <c r="Y141" s="90">
        <v>0.66999554863771449</v>
      </c>
      <c r="Z141" s="90">
        <v>0.64780182273482856</v>
      </c>
      <c r="AA141" s="92">
        <v>0</v>
      </c>
      <c r="AB141" s="88">
        <v>0</v>
      </c>
      <c r="AC141" s="87">
        <v>1</v>
      </c>
      <c r="AD141" s="87">
        <v>1</v>
      </c>
      <c r="AE141" s="88">
        <v>1.034166666666666</v>
      </c>
      <c r="AF141" s="88">
        <v>1.0080839018517109</v>
      </c>
      <c r="AG141" s="88">
        <v>1.042526647675871</v>
      </c>
      <c r="AH141" s="88">
        <v>100800</v>
      </c>
      <c r="AI141" s="88">
        <v>101917.3333333333</v>
      </c>
      <c r="AJ141" s="88">
        <v>95231.597374179415</v>
      </c>
      <c r="AK141" s="88">
        <v>94947.539182082226</v>
      </c>
      <c r="AL141" s="88">
        <v>96774.602696087692</v>
      </c>
      <c r="AM141" s="88">
        <v>96000</v>
      </c>
      <c r="AN141" s="88">
        <v>64512.000000000007</v>
      </c>
      <c r="AO141" s="88">
        <v>64319.572669220594</v>
      </c>
      <c r="AP141" s="88">
        <v>62188.974982543543</v>
      </c>
      <c r="AQ141" s="88">
        <v>0</v>
      </c>
      <c r="AR141" s="88">
        <v>92418.772563176899</v>
      </c>
      <c r="AS141" s="88">
        <v>96129.163337971855</v>
      </c>
      <c r="AT141" s="88">
        <v>64319.572669220594</v>
      </c>
      <c r="AU141" s="88">
        <v>62188.974982543543</v>
      </c>
      <c r="AV141" s="88">
        <v>96000</v>
      </c>
      <c r="AW141" s="88">
        <v>95040</v>
      </c>
      <c r="AX141" s="88">
        <v>96000</v>
      </c>
      <c r="AY141" s="88">
        <v>96000</v>
      </c>
      <c r="AZ141" s="88">
        <v>96000</v>
      </c>
      <c r="BA141" s="88">
        <v>96000</v>
      </c>
      <c r="BB141" s="88">
        <v>96000</v>
      </c>
      <c r="BC141" s="88">
        <v>96000</v>
      </c>
      <c r="BD141" s="88">
        <v>96000</v>
      </c>
      <c r="BE141" s="88">
        <v>96000</v>
      </c>
      <c r="BF141" s="88">
        <v>96000</v>
      </c>
      <c r="BG141" s="88">
        <v>96000</v>
      </c>
      <c r="BH141" s="88">
        <v>96000</v>
      </c>
      <c r="BI141" s="88">
        <v>96000</v>
      </c>
      <c r="BJ141" s="88">
        <v>96000</v>
      </c>
      <c r="BK141" s="88">
        <v>5617.8635338053482</v>
      </c>
      <c r="BL141" s="88">
        <v>778.40719760079219</v>
      </c>
      <c r="BM141" s="88">
        <v>777.89741255868705</v>
      </c>
      <c r="BN141" s="88">
        <v>4648.4658901830189</v>
      </c>
      <c r="BO141" s="88">
        <v>4647.9192116260674</v>
      </c>
      <c r="BP141" s="88">
        <v>4647.3732718893853</v>
      </c>
      <c r="BQ141" s="88">
        <v>4646.8280694762707</v>
      </c>
      <c r="BR141" s="88">
        <v>4646.2746833342617</v>
      </c>
      <c r="BS141" s="88">
        <v>4645.7309631201933</v>
      </c>
      <c r="BT141" s="88">
        <v>4645.1879757393754</v>
      </c>
      <c r="BU141" s="88">
        <v>4644.6457197111786</v>
      </c>
      <c r="BV141" s="88">
        <v>4644.1041935590674</v>
      </c>
      <c r="BW141" s="88">
        <v>4800.0000000000045</v>
      </c>
      <c r="BX141" s="88">
        <v>0</v>
      </c>
      <c r="BY141" s="88">
        <v>0</v>
      </c>
      <c r="BZ141" s="88">
        <v>3840.0000000000041</v>
      </c>
      <c r="CA141" s="88">
        <v>3840.0000000000041</v>
      </c>
      <c r="CB141" s="88">
        <v>3840.0000000000041</v>
      </c>
      <c r="CC141" s="88">
        <v>3840.0000000000041</v>
      </c>
      <c r="CD141" s="88">
        <v>3840.0000000000041</v>
      </c>
      <c r="CE141" s="88">
        <v>3840.0000000000041</v>
      </c>
      <c r="CF141" s="88">
        <v>3840.0000000000041</v>
      </c>
      <c r="CG141" s="88">
        <v>3840.0000000000041</v>
      </c>
      <c r="CH141" s="88">
        <v>3840.0000000000041</v>
      </c>
      <c r="CI141" s="88">
        <v>96000</v>
      </c>
      <c r="CJ141" s="88">
        <v>96000</v>
      </c>
      <c r="CK141" s="88">
        <v>96000</v>
      </c>
      <c r="CL141" s="88">
        <v>96000</v>
      </c>
      <c r="CM141" s="88">
        <v>96000</v>
      </c>
      <c r="CN141" s="88">
        <v>96000</v>
      </c>
      <c r="CO141" s="88">
        <v>96000</v>
      </c>
      <c r="CP141" s="88">
        <v>96000</v>
      </c>
      <c r="CQ141" s="88">
        <v>96000</v>
      </c>
      <c r="CR141" s="88">
        <v>96000</v>
      </c>
      <c r="CS141" s="88">
        <v>96000</v>
      </c>
      <c r="CT141" s="88">
        <v>96000</v>
      </c>
      <c r="CU141" s="88">
        <v>778.91765124317658</v>
      </c>
      <c r="CV141" s="88">
        <v>778.40719760079219</v>
      </c>
      <c r="CW141" s="88">
        <v>777.89741255868705</v>
      </c>
      <c r="CX141" s="88">
        <v>777.3710482529026</v>
      </c>
      <c r="CY141" s="88">
        <v>776.84539579429668</v>
      </c>
      <c r="CZ141" s="88">
        <v>776.32045373979963</v>
      </c>
      <c r="DA141" s="88">
        <v>775.79622065026399</v>
      </c>
      <c r="DB141" s="88">
        <v>775.2641185906341</v>
      </c>
      <c r="DC141" s="88">
        <v>774.74131069249802</v>
      </c>
      <c r="DD141" s="88">
        <v>774.21920744171052</v>
      </c>
      <c r="DE141" s="88">
        <v>773.69780741459954</v>
      </c>
      <c r="DF141" s="88">
        <v>773.17710919141541</v>
      </c>
      <c r="DG141" s="93">
        <v>46054</v>
      </c>
      <c r="DH141" s="91">
        <v>0.05</v>
      </c>
      <c r="DI141" t="s">
        <v>301</v>
      </c>
      <c r="DJ141" s="93">
        <v>46478</v>
      </c>
      <c r="DK141" s="91">
        <v>0.04</v>
      </c>
      <c r="DL141" t="s">
        <v>302</v>
      </c>
      <c r="DM141" s="93"/>
      <c r="DN141" s="91"/>
      <c r="DP141" s="93"/>
      <c r="DQ141" s="91"/>
    </row>
    <row r="142" spans="1:121" x14ac:dyDescent="0.3">
      <c r="A142" t="s">
        <v>26</v>
      </c>
      <c r="B142" t="s">
        <v>42</v>
      </c>
      <c r="C142" t="s">
        <v>87</v>
      </c>
      <c r="D142" t="s">
        <v>329</v>
      </c>
      <c r="E142" t="s">
        <v>505</v>
      </c>
      <c r="F142" s="86">
        <v>80000</v>
      </c>
      <c r="G142" s="87">
        <v>12</v>
      </c>
      <c r="H142" s="88">
        <v>1</v>
      </c>
      <c r="I142" s="88">
        <v>1</v>
      </c>
      <c r="J142" s="89">
        <v>0.98800419401896411</v>
      </c>
      <c r="K142" s="88">
        <v>1</v>
      </c>
      <c r="L142" s="88">
        <v>1.012141452489427</v>
      </c>
      <c r="M142" s="88">
        <v>1</v>
      </c>
      <c r="N142" s="90">
        <v>0.7</v>
      </c>
      <c r="O142" s="90">
        <v>0.70849901674259885</v>
      </c>
      <c r="P142" s="90">
        <v>0.713307723083349</v>
      </c>
      <c r="Q142" s="91">
        <v>0</v>
      </c>
      <c r="R142" s="88">
        <v>1</v>
      </c>
      <c r="S142" s="88">
        <v>1.019011032976213</v>
      </c>
      <c r="T142" s="91">
        <v>0</v>
      </c>
      <c r="U142" s="91">
        <v>0</v>
      </c>
      <c r="V142" s="87">
        <v>0</v>
      </c>
      <c r="W142" s="91">
        <v>0</v>
      </c>
      <c r="X142" s="87">
        <v>1</v>
      </c>
      <c r="Y142" s="90">
        <v>0.70849901674259885</v>
      </c>
      <c r="Z142" s="90">
        <v>0.713307723083349</v>
      </c>
      <c r="AA142" s="92">
        <v>0</v>
      </c>
      <c r="AB142" s="88">
        <v>0</v>
      </c>
      <c r="AC142" s="87">
        <v>0</v>
      </c>
      <c r="AD142" s="87">
        <v>0</v>
      </c>
      <c r="AE142" s="88">
        <v>1</v>
      </c>
      <c r="AF142" s="88">
        <v>0.99194865631796525</v>
      </c>
      <c r="AG142" s="88">
        <v>0.99194865631796525</v>
      </c>
      <c r="AH142" s="88">
        <v>80000</v>
      </c>
      <c r="AI142" s="88">
        <v>80000</v>
      </c>
      <c r="AJ142" s="88">
        <v>79040.335521517132</v>
      </c>
      <c r="AK142" s="88">
        <v>80000</v>
      </c>
      <c r="AL142" s="88">
        <v>80971.316199154156</v>
      </c>
      <c r="AM142" s="88">
        <v>80000</v>
      </c>
      <c r="AN142" s="88">
        <v>56000</v>
      </c>
      <c r="AO142" s="88">
        <v>56679.921339407912</v>
      </c>
      <c r="AP142" s="88">
        <v>57064.617846667919</v>
      </c>
      <c r="AQ142" s="88">
        <v>0</v>
      </c>
      <c r="AR142" s="88">
        <v>80000</v>
      </c>
      <c r="AS142" s="88">
        <v>81520.882638097042</v>
      </c>
      <c r="AT142" s="88">
        <v>56679.921339407912</v>
      </c>
      <c r="AU142" s="88">
        <v>57064.617846667919</v>
      </c>
      <c r="AV142" s="88">
        <v>80000</v>
      </c>
      <c r="AW142" s="88">
        <v>79200</v>
      </c>
      <c r="AX142" s="88">
        <v>78400</v>
      </c>
      <c r="AY142" s="88">
        <v>80000</v>
      </c>
      <c r="AZ142" s="88">
        <v>80000</v>
      </c>
      <c r="BA142" s="88">
        <v>80000</v>
      </c>
      <c r="BB142" s="88">
        <v>80000</v>
      </c>
      <c r="BC142" s="88">
        <v>80000</v>
      </c>
      <c r="BD142" s="88">
        <v>80000</v>
      </c>
      <c r="BE142" s="88">
        <v>80000</v>
      </c>
      <c r="BF142" s="88">
        <v>80000</v>
      </c>
      <c r="BG142" s="88">
        <v>80000</v>
      </c>
      <c r="BH142" s="88">
        <v>80000</v>
      </c>
      <c r="BI142" s="88">
        <v>80000</v>
      </c>
      <c r="BJ142" s="88">
        <v>80000</v>
      </c>
      <c r="BK142" s="88">
        <v>-641.75118954736377</v>
      </c>
      <c r="BL142" s="88">
        <v>-642.1675353522005</v>
      </c>
      <c r="BM142" s="88">
        <v>-642.58442172903324</v>
      </c>
      <c r="BN142" s="88">
        <v>-643.01600933694306</v>
      </c>
      <c r="BO142" s="88">
        <v>-643.44817708046344</v>
      </c>
      <c r="BP142" s="88">
        <v>-643.88092613009815</v>
      </c>
      <c r="BQ142" s="88">
        <v>-644.31425765950405</v>
      </c>
      <c r="BR142" s="88">
        <v>-644.75529107831164</v>
      </c>
      <c r="BS142" s="88">
        <v>-645.18980069821373</v>
      </c>
      <c r="BT142" s="88">
        <v>-645.62489635731527</v>
      </c>
      <c r="BU142" s="88">
        <v>-646.06057924198262</v>
      </c>
      <c r="BV142" s="88">
        <v>-646.49685054188672</v>
      </c>
      <c r="BW142" s="88">
        <v>0</v>
      </c>
      <c r="BX142" s="88">
        <v>0</v>
      </c>
      <c r="BY142" s="88">
        <v>0</v>
      </c>
      <c r="BZ142" s="88">
        <v>0</v>
      </c>
      <c r="CA142" s="88">
        <v>0</v>
      </c>
      <c r="CB142" s="88">
        <v>0</v>
      </c>
      <c r="CC142" s="88">
        <v>0</v>
      </c>
      <c r="CD142" s="88">
        <v>0</v>
      </c>
      <c r="CE142" s="88">
        <v>0</v>
      </c>
      <c r="CF142" s="88">
        <v>0</v>
      </c>
      <c r="CG142" s="88">
        <v>0</v>
      </c>
      <c r="CH142" s="88">
        <v>0</v>
      </c>
      <c r="CI142" s="88">
        <v>80000</v>
      </c>
      <c r="CJ142" s="88">
        <v>80000</v>
      </c>
      <c r="CK142" s="88">
        <v>80000</v>
      </c>
      <c r="CL142" s="88">
        <v>80000</v>
      </c>
      <c r="CM142" s="88">
        <v>80000</v>
      </c>
      <c r="CN142" s="88">
        <v>80000</v>
      </c>
      <c r="CO142" s="88">
        <v>80000</v>
      </c>
      <c r="CP142" s="88">
        <v>80000</v>
      </c>
      <c r="CQ142" s="88">
        <v>80000</v>
      </c>
      <c r="CR142" s="88">
        <v>80000</v>
      </c>
      <c r="CS142" s="88">
        <v>80000</v>
      </c>
      <c r="CT142" s="88">
        <v>80000</v>
      </c>
      <c r="CU142" s="88">
        <v>-641.75118954736377</v>
      </c>
      <c r="CV142" s="88">
        <v>-642.1675353522005</v>
      </c>
      <c r="CW142" s="88">
        <v>-642.58442172903324</v>
      </c>
      <c r="CX142" s="88">
        <v>-643.01600933694306</v>
      </c>
      <c r="CY142" s="88">
        <v>-643.44817708046344</v>
      </c>
      <c r="CZ142" s="88">
        <v>-643.88092613009815</v>
      </c>
      <c r="DA142" s="88">
        <v>-644.31425765950405</v>
      </c>
      <c r="DB142" s="88">
        <v>-644.75529107831164</v>
      </c>
      <c r="DC142" s="88">
        <v>-645.18980069821373</v>
      </c>
      <c r="DD142" s="88">
        <v>-645.62489635731527</v>
      </c>
      <c r="DE142" s="88">
        <v>-646.06057924198262</v>
      </c>
      <c r="DF142" s="88">
        <v>-646.49685054188672</v>
      </c>
      <c r="DG142" s="93"/>
      <c r="DH142" s="91"/>
      <c r="DJ142" s="93"/>
      <c r="DK142" s="91"/>
      <c r="DM142" s="93"/>
      <c r="DN142" s="91"/>
      <c r="DP142" s="93"/>
      <c r="DQ142" s="91"/>
    </row>
    <row r="143" spans="1:121" x14ac:dyDescent="0.3">
      <c r="A143" t="s">
        <v>26</v>
      </c>
      <c r="B143" t="s">
        <v>42</v>
      </c>
      <c r="C143" t="s">
        <v>89</v>
      </c>
      <c r="D143" t="s">
        <v>331</v>
      </c>
      <c r="E143" t="s">
        <v>506</v>
      </c>
      <c r="F143" s="86">
        <v>64000</v>
      </c>
      <c r="G143" s="87">
        <v>12</v>
      </c>
      <c r="H143" s="88">
        <v>1.02</v>
      </c>
      <c r="I143" s="88">
        <v>1.0193749999999999</v>
      </c>
      <c r="J143" s="89">
        <v>0.99099790299051793</v>
      </c>
      <c r="K143" s="88">
        <v>1.000613120784795</v>
      </c>
      <c r="L143" s="88">
        <v>1.009083870896514</v>
      </c>
      <c r="M143" s="88">
        <v>1</v>
      </c>
      <c r="N143" s="90">
        <v>0.68400000000000005</v>
      </c>
      <c r="O143" s="90">
        <v>0.6906365518548917</v>
      </c>
      <c r="P143" s="90">
        <v>0.68790165561688676</v>
      </c>
      <c r="Q143" s="91">
        <v>0</v>
      </c>
      <c r="R143" s="88">
        <v>1</v>
      </c>
      <c r="S143" s="88">
        <v>1.005704174878489</v>
      </c>
      <c r="T143" s="91">
        <v>-6.1274509803932453E-4</v>
      </c>
      <c r="U143" s="91">
        <v>6.1312078479458521E-4</v>
      </c>
      <c r="V143" s="87">
        <v>0</v>
      </c>
      <c r="W143" s="91">
        <v>0</v>
      </c>
      <c r="X143" s="87">
        <v>1</v>
      </c>
      <c r="Y143" s="90">
        <v>0.6906365518548917</v>
      </c>
      <c r="Z143" s="90">
        <v>0.68790165561688676</v>
      </c>
      <c r="AA143" s="92">
        <v>0</v>
      </c>
      <c r="AB143" s="88">
        <v>0</v>
      </c>
      <c r="AC143" s="87">
        <v>1</v>
      </c>
      <c r="AD143" s="87">
        <v>0</v>
      </c>
      <c r="AE143" s="88">
        <v>1.0049999999999999</v>
      </c>
      <c r="AF143" s="88">
        <v>1.004037852440528</v>
      </c>
      <c r="AG143" s="88">
        <v>1.0090580722562781</v>
      </c>
      <c r="AH143" s="88">
        <v>65280</v>
      </c>
      <c r="AI143" s="88">
        <v>65239.999999999993</v>
      </c>
      <c r="AJ143" s="88">
        <v>63423.865791393153</v>
      </c>
      <c r="AK143" s="88">
        <v>64039.239730226873</v>
      </c>
      <c r="AL143" s="88">
        <v>64581.36773737691</v>
      </c>
      <c r="AM143" s="88">
        <v>64000</v>
      </c>
      <c r="AN143" s="88">
        <v>43776</v>
      </c>
      <c r="AO143" s="88">
        <v>44200.739318713073</v>
      </c>
      <c r="AP143" s="88">
        <v>44025.705959480751</v>
      </c>
      <c r="AQ143" s="88">
        <v>0</v>
      </c>
      <c r="AR143" s="88">
        <v>64000.000000000007</v>
      </c>
      <c r="AS143" s="88">
        <v>64365.067192223309</v>
      </c>
      <c r="AT143" s="88">
        <v>44200.739318713073</v>
      </c>
      <c r="AU143" s="88">
        <v>44025.705959480751</v>
      </c>
      <c r="AV143" s="88">
        <v>64000</v>
      </c>
      <c r="AW143" s="88">
        <v>63360</v>
      </c>
      <c r="AX143" s="88">
        <v>63680</v>
      </c>
      <c r="AY143" s="88">
        <v>64000</v>
      </c>
      <c r="AZ143" s="88">
        <v>64000</v>
      </c>
      <c r="BA143" s="88">
        <v>64000</v>
      </c>
      <c r="BB143" s="88">
        <v>64000</v>
      </c>
      <c r="BC143" s="88">
        <v>64000</v>
      </c>
      <c r="BD143" s="88">
        <v>64000</v>
      </c>
      <c r="BE143" s="88">
        <v>64000</v>
      </c>
      <c r="BF143" s="88">
        <v>64000</v>
      </c>
      <c r="BG143" s="88">
        <v>64000</v>
      </c>
      <c r="BH143" s="88">
        <v>64000</v>
      </c>
      <c r="BI143" s="88">
        <v>64000</v>
      </c>
      <c r="BJ143" s="88">
        <v>64000</v>
      </c>
      <c r="BK143" s="88">
        <v>1544.076206520117</v>
      </c>
      <c r="BL143" s="88">
        <v>1543.989895632521</v>
      </c>
      <c r="BM143" s="88">
        <v>1543.9036411463289</v>
      </c>
      <c r="BN143" s="88">
        <v>258.64168825704331</v>
      </c>
      <c r="BO143" s="88">
        <v>258.55437555686927</v>
      </c>
      <c r="BP143" s="88">
        <v>258.4671217871346</v>
      </c>
      <c r="BQ143" s="88">
        <v>258.37992688821032</v>
      </c>
      <c r="BR143" s="88">
        <v>258.29136282970921</v>
      </c>
      <c r="BS143" s="88">
        <v>258.2042864564329</v>
      </c>
      <c r="BT143" s="88">
        <v>258.11726877455499</v>
      </c>
      <c r="BU143" s="88">
        <v>258.03030972473101</v>
      </c>
      <c r="BV143" s="88">
        <v>257.94340924775838</v>
      </c>
      <c r="BW143" s="88">
        <v>1280.0000000000009</v>
      </c>
      <c r="BX143" s="88">
        <v>1280.0000000000009</v>
      </c>
      <c r="BY143" s="88">
        <v>1280.0000000000009</v>
      </c>
      <c r="BZ143" s="88">
        <v>0</v>
      </c>
      <c r="CA143" s="88">
        <v>0</v>
      </c>
      <c r="CB143" s="88">
        <v>0</v>
      </c>
      <c r="CC143" s="88">
        <v>0</v>
      </c>
      <c r="CD143" s="88">
        <v>0</v>
      </c>
      <c r="CE143" s="88">
        <v>0</v>
      </c>
      <c r="CF143" s="88">
        <v>0</v>
      </c>
      <c r="CG143" s="88">
        <v>0</v>
      </c>
      <c r="CH143" s="88">
        <v>0</v>
      </c>
      <c r="CI143" s="88">
        <v>64000</v>
      </c>
      <c r="CJ143" s="88">
        <v>64000</v>
      </c>
      <c r="CK143" s="88">
        <v>64000</v>
      </c>
      <c r="CL143" s="88">
        <v>64000</v>
      </c>
      <c r="CM143" s="88">
        <v>64000</v>
      </c>
      <c r="CN143" s="88">
        <v>64000</v>
      </c>
      <c r="CO143" s="88">
        <v>64000</v>
      </c>
      <c r="CP143" s="88">
        <v>64000</v>
      </c>
      <c r="CQ143" s="88">
        <v>64000</v>
      </c>
      <c r="CR143" s="88">
        <v>64000</v>
      </c>
      <c r="CS143" s="88">
        <v>64000</v>
      </c>
      <c r="CT143" s="88">
        <v>64000</v>
      </c>
      <c r="CU143" s="88">
        <v>258.89824168638143</v>
      </c>
      <c r="CV143" s="88">
        <v>258.81362316913231</v>
      </c>
      <c r="CW143" s="88">
        <v>258.7290599473846</v>
      </c>
      <c r="CX143" s="88">
        <v>258.64168825704331</v>
      </c>
      <c r="CY143" s="88">
        <v>258.55437555686927</v>
      </c>
      <c r="CZ143" s="88">
        <v>258.4671217871346</v>
      </c>
      <c r="DA143" s="88">
        <v>258.37992688821032</v>
      </c>
      <c r="DB143" s="88">
        <v>258.29136282970921</v>
      </c>
      <c r="DC143" s="88">
        <v>258.2042864564329</v>
      </c>
      <c r="DD143" s="88">
        <v>258.11726877455499</v>
      </c>
      <c r="DE143" s="88">
        <v>258.03030972473101</v>
      </c>
      <c r="DF143" s="88">
        <v>257.94340924775838</v>
      </c>
      <c r="DG143" s="93">
        <v>46113</v>
      </c>
      <c r="DH143" s="91">
        <v>0.02</v>
      </c>
      <c r="DI143" t="s">
        <v>301</v>
      </c>
      <c r="DJ143" s="93"/>
      <c r="DK143" s="91"/>
      <c r="DM143" s="93"/>
      <c r="DN143" s="91"/>
      <c r="DP143" s="93"/>
      <c r="DQ143" s="91"/>
    </row>
    <row r="144" spans="1:121" x14ac:dyDescent="0.3">
      <c r="A144" t="s">
        <v>26</v>
      </c>
      <c r="B144" t="s">
        <v>42</v>
      </c>
      <c r="C144" t="s">
        <v>91</v>
      </c>
      <c r="D144" t="s">
        <v>333</v>
      </c>
      <c r="E144" t="s">
        <v>507</v>
      </c>
      <c r="F144" s="86">
        <v>48000</v>
      </c>
      <c r="G144" s="87">
        <v>12</v>
      </c>
      <c r="H144" s="88">
        <v>1.03</v>
      </c>
      <c r="I144" s="88">
        <v>1.028333333333334</v>
      </c>
      <c r="J144" s="89">
        <v>0.99399161196207142</v>
      </c>
      <c r="K144" s="88">
        <v>1.00162074554295</v>
      </c>
      <c r="L144" s="88">
        <v>1.006044706983058</v>
      </c>
      <c r="M144" s="88">
        <v>1</v>
      </c>
      <c r="N144" s="90">
        <v>0.66800000000000004</v>
      </c>
      <c r="O144" s="90">
        <v>0.67312706663788335</v>
      </c>
      <c r="P144" s="90">
        <v>0.66315057037541603</v>
      </c>
      <c r="Q144" s="91">
        <v>0</v>
      </c>
      <c r="R144" s="88">
        <v>0.99999999999999978</v>
      </c>
      <c r="S144" s="88">
        <v>0.9927403748134972</v>
      </c>
      <c r="T144" s="91">
        <v>-1.618122977346093E-3</v>
      </c>
      <c r="U144" s="91">
        <v>1.620745542949775E-3</v>
      </c>
      <c r="V144" s="87">
        <v>0</v>
      </c>
      <c r="W144" s="91">
        <v>0</v>
      </c>
      <c r="X144" s="87">
        <v>1</v>
      </c>
      <c r="Y144" s="90">
        <v>0.67312706663788335</v>
      </c>
      <c r="Z144" s="90">
        <v>0.66315057037541603</v>
      </c>
      <c r="AA144" s="92">
        <v>0</v>
      </c>
      <c r="AB144" s="88">
        <v>0</v>
      </c>
      <c r="AC144" s="87">
        <v>1</v>
      </c>
      <c r="AD144" s="87">
        <v>0</v>
      </c>
      <c r="AE144" s="88">
        <v>1.01</v>
      </c>
      <c r="AF144" s="88">
        <v>1.016200824295963</v>
      </c>
      <c r="AG144" s="88">
        <v>1.0263637092757329</v>
      </c>
      <c r="AH144" s="88">
        <v>49440</v>
      </c>
      <c r="AI144" s="88">
        <v>49360.000000000007</v>
      </c>
      <c r="AJ144" s="88">
        <v>47711.59737417943</v>
      </c>
      <c r="AK144" s="88">
        <v>48077.795786061579</v>
      </c>
      <c r="AL144" s="88">
        <v>48290.145935186803</v>
      </c>
      <c r="AM144" s="88">
        <v>48000</v>
      </c>
      <c r="AN144" s="88">
        <v>32064</v>
      </c>
      <c r="AO144" s="88">
        <v>32310.099198618402</v>
      </c>
      <c r="AP144" s="88">
        <v>31831.227378019968</v>
      </c>
      <c r="AQ144" s="88">
        <v>0</v>
      </c>
      <c r="AR144" s="88">
        <v>47999.999999999993</v>
      </c>
      <c r="AS144" s="88">
        <v>47651.537991047873</v>
      </c>
      <c r="AT144" s="88">
        <v>32310.099198618402</v>
      </c>
      <c r="AU144" s="88">
        <v>31831.227378019968</v>
      </c>
      <c r="AV144" s="88">
        <v>48000</v>
      </c>
      <c r="AW144" s="88">
        <v>47520</v>
      </c>
      <c r="AX144" s="88">
        <v>48480</v>
      </c>
      <c r="AY144" s="88">
        <v>48000</v>
      </c>
      <c r="AZ144" s="88">
        <v>48000</v>
      </c>
      <c r="BA144" s="88">
        <v>48000</v>
      </c>
      <c r="BB144" s="88">
        <v>48000</v>
      </c>
      <c r="BC144" s="88">
        <v>48000</v>
      </c>
      <c r="BD144" s="88">
        <v>48000</v>
      </c>
      <c r="BE144" s="88">
        <v>48000</v>
      </c>
      <c r="BF144" s="88">
        <v>48000</v>
      </c>
      <c r="BG144" s="88">
        <v>48000</v>
      </c>
      <c r="BH144" s="88">
        <v>48000</v>
      </c>
      <c r="BI144" s="88">
        <v>48000</v>
      </c>
      <c r="BJ144" s="88">
        <v>48000</v>
      </c>
      <c r="BK144" s="88">
        <v>2246.9039527812629</v>
      </c>
      <c r="BL144" s="88">
        <v>2245.8409806417062</v>
      </c>
      <c r="BM144" s="88">
        <v>2244.780805423009</v>
      </c>
      <c r="BN144" s="88">
        <v>2243.687621083574</v>
      </c>
      <c r="BO144" s="88">
        <v>779.2207792207862</v>
      </c>
      <c r="BP144" s="88">
        <v>778.16518243798077</v>
      </c>
      <c r="BQ144" s="88">
        <v>777.11244178310676</v>
      </c>
      <c r="BR144" s="88">
        <v>776.045357902202</v>
      </c>
      <c r="BS144" s="88">
        <v>774.99834118505714</v>
      </c>
      <c r="BT144" s="88">
        <v>773.95414586738912</v>
      </c>
      <c r="BU144" s="88">
        <v>772.91276056027061</v>
      </c>
      <c r="BV144" s="88">
        <v>771.87417393602686</v>
      </c>
      <c r="BW144" s="88">
        <v>1440.0000000000009</v>
      </c>
      <c r="BX144" s="88">
        <v>1440.0000000000009</v>
      </c>
      <c r="BY144" s="88">
        <v>1440.0000000000009</v>
      </c>
      <c r="BZ144" s="88">
        <v>1440.0000000000009</v>
      </c>
      <c r="CA144" s="88">
        <v>0</v>
      </c>
      <c r="CB144" s="88">
        <v>0</v>
      </c>
      <c r="CC144" s="88">
        <v>0</v>
      </c>
      <c r="CD144" s="88">
        <v>0</v>
      </c>
      <c r="CE144" s="88">
        <v>0</v>
      </c>
      <c r="CF144" s="88">
        <v>0</v>
      </c>
      <c r="CG144" s="88">
        <v>0</v>
      </c>
      <c r="CH144" s="88">
        <v>0</v>
      </c>
      <c r="CI144" s="88">
        <v>48000</v>
      </c>
      <c r="CJ144" s="88">
        <v>48000</v>
      </c>
      <c r="CK144" s="88">
        <v>48000</v>
      </c>
      <c r="CL144" s="88">
        <v>48000</v>
      </c>
      <c r="CM144" s="88">
        <v>48000</v>
      </c>
      <c r="CN144" s="88">
        <v>48000</v>
      </c>
      <c r="CO144" s="88">
        <v>48000</v>
      </c>
      <c r="CP144" s="88">
        <v>48000</v>
      </c>
      <c r="CQ144" s="88">
        <v>48000</v>
      </c>
      <c r="CR144" s="88">
        <v>48000</v>
      </c>
      <c r="CS144" s="88">
        <v>48000</v>
      </c>
      <c r="CT144" s="88">
        <v>48000</v>
      </c>
      <c r="CU144" s="88">
        <v>783.40189590413797</v>
      </c>
      <c r="CV144" s="88">
        <v>782.36988411815742</v>
      </c>
      <c r="CW144" s="88">
        <v>781.34058778932672</v>
      </c>
      <c r="CX144" s="88">
        <v>780.27924377045815</v>
      </c>
      <c r="CY144" s="88">
        <v>779.2207792207862</v>
      </c>
      <c r="CZ144" s="88">
        <v>778.16518243798077</v>
      </c>
      <c r="DA144" s="88">
        <v>777.11244178310676</v>
      </c>
      <c r="DB144" s="88">
        <v>776.045357902202</v>
      </c>
      <c r="DC144" s="88">
        <v>774.99834118505714</v>
      </c>
      <c r="DD144" s="88">
        <v>773.95414586738912</v>
      </c>
      <c r="DE144" s="88">
        <v>772.91276056027061</v>
      </c>
      <c r="DF144" s="88">
        <v>771.87417393602686</v>
      </c>
      <c r="DG144" s="93">
        <v>46143</v>
      </c>
      <c r="DH144" s="91">
        <v>0.03</v>
      </c>
      <c r="DI144" t="s">
        <v>301</v>
      </c>
      <c r="DJ144" s="93"/>
      <c r="DK144" s="91"/>
      <c r="DM144" s="93"/>
      <c r="DN144" s="91"/>
      <c r="DP144" s="93"/>
      <c r="DQ144" s="91"/>
    </row>
    <row r="145" spans="1:121" x14ac:dyDescent="0.3">
      <c r="A145" t="s">
        <v>26</v>
      </c>
      <c r="B145" t="s">
        <v>42</v>
      </c>
      <c r="C145" t="s">
        <v>92</v>
      </c>
      <c r="D145" t="s">
        <v>335</v>
      </c>
      <c r="E145" t="s">
        <v>508</v>
      </c>
      <c r="F145" s="86">
        <v>32000</v>
      </c>
      <c r="G145" s="87">
        <v>12</v>
      </c>
      <c r="H145" s="88">
        <v>1</v>
      </c>
      <c r="I145" s="88">
        <v>1.0034722222222221</v>
      </c>
      <c r="J145" s="89">
        <v>0.9900000000000001</v>
      </c>
      <c r="K145" s="88">
        <v>0.9965397923875432</v>
      </c>
      <c r="L145" s="88">
        <v>1.0101010101010099</v>
      </c>
      <c r="M145" s="88">
        <v>1</v>
      </c>
      <c r="N145" s="90">
        <v>0.69599999999999995</v>
      </c>
      <c r="O145" s="90">
        <v>0.70059767222396963</v>
      </c>
      <c r="P145" s="90">
        <v>0.68044336359970159</v>
      </c>
      <c r="Q145" s="91">
        <v>0</v>
      </c>
      <c r="R145" s="88">
        <v>0.9678720258099206</v>
      </c>
      <c r="S145" s="88">
        <v>1.0101010101010099</v>
      </c>
      <c r="T145" s="91">
        <v>3.4722222222223209E-3</v>
      </c>
      <c r="U145" s="91">
        <v>2.9619377162629631E-2</v>
      </c>
      <c r="V145" s="87">
        <v>0</v>
      </c>
      <c r="W145" s="91">
        <v>0</v>
      </c>
      <c r="X145" s="87">
        <v>1</v>
      </c>
      <c r="Y145" s="90">
        <v>0.70059767222396963</v>
      </c>
      <c r="Z145" s="90">
        <v>0.68044336359970159</v>
      </c>
      <c r="AA145" s="92">
        <v>0</v>
      </c>
      <c r="AB145" s="88">
        <v>0</v>
      </c>
      <c r="AC145" s="87">
        <v>0</v>
      </c>
      <c r="AD145" s="87">
        <v>1</v>
      </c>
      <c r="AE145" s="88">
        <v>1.0166666666666659</v>
      </c>
      <c r="AF145" s="88">
        <v>1</v>
      </c>
      <c r="AG145" s="88">
        <v>1.0166666666666659</v>
      </c>
      <c r="AH145" s="88">
        <v>32000</v>
      </c>
      <c r="AI145" s="88">
        <v>32111.111111111109</v>
      </c>
      <c r="AJ145" s="88">
        <v>31680</v>
      </c>
      <c r="AK145" s="88">
        <v>31889.27335640138</v>
      </c>
      <c r="AL145" s="88">
        <v>32323.232323232322</v>
      </c>
      <c r="AM145" s="88">
        <v>32000</v>
      </c>
      <c r="AN145" s="88">
        <v>22272</v>
      </c>
      <c r="AO145" s="88">
        <v>22419.125511167029</v>
      </c>
      <c r="AP145" s="88">
        <v>21774.18763519045</v>
      </c>
      <c r="AQ145" s="88">
        <v>0</v>
      </c>
      <c r="AR145" s="88">
        <v>30971.90482591746</v>
      </c>
      <c r="AS145" s="88">
        <v>32323.232323232322</v>
      </c>
      <c r="AT145" s="88">
        <v>22419.125511167029</v>
      </c>
      <c r="AU145" s="88">
        <v>21774.18763519045</v>
      </c>
      <c r="AV145" s="88">
        <v>32000</v>
      </c>
      <c r="AW145" s="88">
        <v>31680</v>
      </c>
      <c r="AX145" s="88">
        <v>31680</v>
      </c>
      <c r="AY145" s="88">
        <v>32000</v>
      </c>
      <c r="AZ145" s="88">
        <v>32000</v>
      </c>
      <c r="BA145" s="88">
        <v>32000</v>
      </c>
      <c r="BB145" s="88">
        <v>32000</v>
      </c>
      <c r="BC145" s="88">
        <v>32000</v>
      </c>
      <c r="BD145" s="88">
        <v>32000</v>
      </c>
      <c r="BE145" s="88">
        <v>32000</v>
      </c>
      <c r="BF145" s="88">
        <v>32000</v>
      </c>
      <c r="BG145" s="88">
        <v>32000</v>
      </c>
      <c r="BH145" s="88">
        <v>32000</v>
      </c>
      <c r="BI145" s="88">
        <v>32000</v>
      </c>
      <c r="BJ145" s="88">
        <v>32000</v>
      </c>
      <c r="BK145" s="88">
        <v>0</v>
      </c>
      <c r="BL145" s="88">
        <v>0</v>
      </c>
      <c r="BM145" s="88">
        <v>0</v>
      </c>
      <c r="BN145" s="88">
        <v>0</v>
      </c>
      <c r="BO145" s="88">
        <v>0</v>
      </c>
      <c r="BP145" s="88">
        <v>0</v>
      </c>
      <c r="BQ145" s="88">
        <v>0</v>
      </c>
      <c r="BR145" s="88">
        <v>1280.0000000000009</v>
      </c>
      <c r="BS145" s="88">
        <v>1280.0000000000009</v>
      </c>
      <c r="BT145" s="88">
        <v>1280.0000000000009</v>
      </c>
      <c r="BU145" s="88">
        <v>1280.0000000000009</v>
      </c>
      <c r="BV145" s="88">
        <v>1280.0000000000009</v>
      </c>
      <c r="BW145" s="88">
        <v>0</v>
      </c>
      <c r="BX145" s="88">
        <v>0</v>
      </c>
      <c r="BY145" s="88">
        <v>0</v>
      </c>
      <c r="BZ145" s="88">
        <v>0</v>
      </c>
      <c r="CA145" s="88">
        <v>0</v>
      </c>
      <c r="CB145" s="88">
        <v>0</v>
      </c>
      <c r="CC145" s="88">
        <v>0</v>
      </c>
      <c r="CD145" s="88">
        <v>1280.0000000000009</v>
      </c>
      <c r="CE145" s="88">
        <v>1280.0000000000009</v>
      </c>
      <c r="CF145" s="88">
        <v>1280.0000000000009</v>
      </c>
      <c r="CG145" s="88">
        <v>1280.0000000000009</v>
      </c>
      <c r="CH145" s="88">
        <v>1280.0000000000009</v>
      </c>
      <c r="CI145" s="88">
        <v>32000</v>
      </c>
      <c r="CJ145" s="88">
        <v>32000</v>
      </c>
      <c r="CK145" s="88">
        <v>32000</v>
      </c>
      <c r="CL145" s="88">
        <v>32000</v>
      </c>
      <c r="CM145" s="88">
        <v>32000</v>
      </c>
      <c r="CN145" s="88">
        <v>32000</v>
      </c>
      <c r="CO145" s="88">
        <v>32000</v>
      </c>
      <c r="CP145" s="88">
        <v>32000</v>
      </c>
      <c r="CQ145" s="88">
        <v>32000</v>
      </c>
      <c r="CR145" s="88">
        <v>32000</v>
      </c>
      <c r="CS145" s="88">
        <v>32000</v>
      </c>
      <c r="CT145" s="88">
        <v>32000</v>
      </c>
      <c r="CU145" s="88">
        <v>0</v>
      </c>
      <c r="CV145" s="88">
        <v>0</v>
      </c>
      <c r="CW145" s="88">
        <v>0</v>
      </c>
      <c r="CX145" s="88">
        <v>0</v>
      </c>
      <c r="CY145" s="88">
        <v>0</v>
      </c>
      <c r="CZ145" s="88">
        <v>0</v>
      </c>
      <c r="DA145" s="88">
        <v>0</v>
      </c>
      <c r="DB145" s="88">
        <v>0</v>
      </c>
      <c r="DC145" s="88">
        <v>0</v>
      </c>
      <c r="DD145" s="88">
        <v>0</v>
      </c>
      <c r="DE145" s="88">
        <v>0</v>
      </c>
      <c r="DF145" s="88">
        <v>0</v>
      </c>
      <c r="DG145" s="93">
        <v>46600</v>
      </c>
      <c r="DH145" s="91">
        <v>0.04</v>
      </c>
      <c r="DI145" t="s">
        <v>302</v>
      </c>
      <c r="DJ145" s="93"/>
      <c r="DK145" s="91"/>
      <c r="DM145" s="93"/>
      <c r="DN145" s="91"/>
      <c r="DP145" s="93"/>
      <c r="DQ145" s="91"/>
    </row>
    <row r="146" spans="1:121" x14ac:dyDescent="0.3">
      <c r="A146" t="s">
        <v>26</v>
      </c>
      <c r="B146" t="s">
        <v>42</v>
      </c>
      <c r="C146" t="s">
        <v>94</v>
      </c>
      <c r="D146" t="s">
        <v>337</v>
      </c>
      <c r="E146" t="s">
        <v>509</v>
      </c>
      <c r="F146" s="86">
        <v>84000</v>
      </c>
      <c r="G146" s="87">
        <v>12</v>
      </c>
      <c r="H146" s="88">
        <v>1.05</v>
      </c>
      <c r="I146" s="88">
        <v>1.04375</v>
      </c>
      <c r="J146" s="89">
        <v>0.99299370897155337</v>
      </c>
      <c r="K146" s="88">
        <v>1.005988023952096</v>
      </c>
      <c r="L146" s="88">
        <v>1.007055725494679</v>
      </c>
      <c r="M146" s="88">
        <v>1</v>
      </c>
      <c r="N146" s="90">
        <v>0.68</v>
      </c>
      <c r="O146" s="90">
        <v>0.68889847952402505</v>
      </c>
      <c r="P146" s="90">
        <v>0.67797655554245695</v>
      </c>
      <c r="Q146" s="91">
        <v>0</v>
      </c>
      <c r="R146" s="88">
        <v>1</v>
      </c>
      <c r="S146" s="88">
        <v>0.99702434638596604</v>
      </c>
      <c r="T146" s="91">
        <v>-5.9523809523810423E-3</v>
      </c>
      <c r="U146" s="91">
        <v>5.9880239520959666E-3</v>
      </c>
      <c r="V146" s="87">
        <v>0</v>
      </c>
      <c r="W146" s="91">
        <v>0</v>
      </c>
      <c r="X146" s="87">
        <v>1</v>
      </c>
      <c r="Y146" s="90">
        <v>0.68889847952402505</v>
      </c>
      <c r="Z146" s="90">
        <v>0.67797655554245695</v>
      </c>
      <c r="AA146" s="92">
        <v>0</v>
      </c>
      <c r="AB146" s="88">
        <v>0</v>
      </c>
      <c r="AC146" s="87">
        <v>1</v>
      </c>
      <c r="AD146" s="87">
        <v>0</v>
      </c>
      <c r="AE146" s="88">
        <v>1.0249999999999999</v>
      </c>
      <c r="AF146" s="88">
        <v>1.012138206284618</v>
      </c>
      <c r="AG146" s="88">
        <v>1.037442584375512</v>
      </c>
      <c r="AH146" s="88">
        <v>88200</v>
      </c>
      <c r="AI146" s="88">
        <v>87675</v>
      </c>
      <c r="AJ146" s="88">
        <v>83411.471553610478</v>
      </c>
      <c r="AK146" s="88">
        <v>84502.994011976058</v>
      </c>
      <c r="AL146" s="88">
        <v>84592.680941553059</v>
      </c>
      <c r="AM146" s="88">
        <v>84000</v>
      </c>
      <c r="AN146" s="88">
        <v>57120.000000000007</v>
      </c>
      <c r="AO146" s="88">
        <v>57867.472280018097</v>
      </c>
      <c r="AP146" s="88">
        <v>56950.030665566381</v>
      </c>
      <c r="AQ146" s="88">
        <v>0</v>
      </c>
      <c r="AR146" s="88">
        <v>84000</v>
      </c>
      <c r="AS146" s="88">
        <v>83750.045096421149</v>
      </c>
      <c r="AT146" s="88">
        <v>57867.472280018097</v>
      </c>
      <c r="AU146" s="88">
        <v>56950.030665566381</v>
      </c>
      <c r="AV146" s="88">
        <v>84000</v>
      </c>
      <c r="AW146" s="88">
        <v>83160</v>
      </c>
      <c r="AX146" s="88">
        <v>84419.999999999985</v>
      </c>
      <c r="AY146" s="88">
        <v>84000</v>
      </c>
      <c r="AZ146" s="88">
        <v>84000</v>
      </c>
      <c r="BA146" s="88">
        <v>84000</v>
      </c>
      <c r="BB146" s="88">
        <v>84000</v>
      </c>
      <c r="BC146" s="88">
        <v>84000</v>
      </c>
      <c r="BD146" s="88">
        <v>84000</v>
      </c>
      <c r="BE146" s="88">
        <v>84000</v>
      </c>
      <c r="BF146" s="88">
        <v>84000</v>
      </c>
      <c r="BG146" s="88">
        <v>84000</v>
      </c>
      <c r="BH146" s="88">
        <v>84000</v>
      </c>
      <c r="BI146" s="88">
        <v>84000</v>
      </c>
      <c r="BJ146" s="88">
        <v>84000</v>
      </c>
      <c r="BK146" s="88">
        <v>5276.5269441054088</v>
      </c>
      <c r="BL146" s="88">
        <v>5275.4660252555632</v>
      </c>
      <c r="BM146" s="88">
        <v>5274.4071954210749</v>
      </c>
      <c r="BN146" s="88">
        <v>5273.3146629325756</v>
      </c>
      <c r="BO146" s="88">
        <v>5272.2243501140811</v>
      </c>
      <c r="BP146" s="88">
        <v>5271.1362502079528</v>
      </c>
      <c r="BQ146" s="88">
        <v>1019.095577603811</v>
      </c>
      <c r="BR146" s="88">
        <v>1018.046585758632</v>
      </c>
      <c r="BS146" s="88">
        <v>1017.016618569005</v>
      </c>
      <c r="BT146" s="88">
        <v>1015.988733327813</v>
      </c>
      <c r="BU146" s="88">
        <v>1014.962923728807</v>
      </c>
      <c r="BV146" s="88">
        <v>1013.939183491254</v>
      </c>
      <c r="BW146" s="88">
        <v>4200.0000000000036</v>
      </c>
      <c r="BX146" s="88">
        <v>4200.0000000000036</v>
      </c>
      <c r="BY146" s="88">
        <v>4200.0000000000036</v>
      </c>
      <c r="BZ146" s="88">
        <v>4200.0000000000036</v>
      </c>
      <c r="CA146" s="88">
        <v>4200.0000000000036</v>
      </c>
      <c r="CB146" s="88">
        <v>4200.0000000000036</v>
      </c>
      <c r="CC146" s="88">
        <v>0</v>
      </c>
      <c r="CD146" s="88">
        <v>0</v>
      </c>
      <c r="CE146" s="88">
        <v>0</v>
      </c>
      <c r="CF146" s="88">
        <v>0</v>
      </c>
      <c r="CG146" s="88">
        <v>0</v>
      </c>
      <c r="CH146" s="88">
        <v>0</v>
      </c>
      <c r="CI146" s="88">
        <v>84000</v>
      </c>
      <c r="CJ146" s="88">
        <v>84000</v>
      </c>
      <c r="CK146" s="88">
        <v>84000</v>
      </c>
      <c r="CL146" s="88">
        <v>84000</v>
      </c>
      <c r="CM146" s="88">
        <v>84000</v>
      </c>
      <c r="CN146" s="88">
        <v>84000</v>
      </c>
      <c r="CO146" s="88">
        <v>84000</v>
      </c>
      <c r="CP146" s="88">
        <v>84000</v>
      </c>
      <c r="CQ146" s="88">
        <v>84000</v>
      </c>
      <c r="CR146" s="88">
        <v>84000</v>
      </c>
      <c r="CS146" s="88">
        <v>84000</v>
      </c>
      <c r="CT146" s="88">
        <v>84000</v>
      </c>
      <c r="CU146" s="88">
        <v>1025.263756290864</v>
      </c>
      <c r="CV146" s="88">
        <v>1024.253357386254</v>
      </c>
      <c r="CW146" s="88">
        <v>1023.244948020073</v>
      </c>
      <c r="CX146" s="88">
        <v>1022.204440888167</v>
      </c>
      <c r="CY146" s="88">
        <v>1021.166047727694</v>
      </c>
      <c r="CZ146" s="88">
        <v>1020.129762102812</v>
      </c>
      <c r="DA146" s="88">
        <v>1019.095577603811</v>
      </c>
      <c r="DB146" s="88">
        <v>1018.046585758632</v>
      </c>
      <c r="DC146" s="88">
        <v>1017.016618569005</v>
      </c>
      <c r="DD146" s="88">
        <v>1015.988733327813</v>
      </c>
      <c r="DE146" s="88">
        <v>1014.962923728807</v>
      </c>
      <c r="DF146" s="88">
        <v>1013.939183491254</v>
      </c>
      <c r="DG146" s="93">
        <v>46204</v>
      </c>
      <c r="DH146" s="91">
        <v>0.05</v>
      </c>
      <c r="DI146" t="s">
        <v>301</v>
      </c>
      <c r="DJ146" s="93"/>
      <c r="DK146" s="91"/>
      <c r="DM146" s="93"/>
      <c r="DN146" s="91"/>
      <c r="DP146" s="93"/>
      <c r="DQ146" s="91"/>
    </row>
    <row r="147" spans="1:121" x14ac:dyDescent="0.3">
      <c r="A147" t="s">
        <v>26</v>
      </c>
      <c r="B147" t="s">
        <v>42</v>
      </c>
      <c r="C147" t="s">
        <v>95</v>
      </c>
      <c r="D147" t="s">
        <v>339</v>
      </c>
      <c r="E147" t="s">
        <v>510</v>
      </c>
      <c r="F147" s="86">
        <v>68000</v>
      </c>
      <c r="G147" s="87">
        <v>12</v>
      </c>
      <c r="H147" s="88">
        <v>1.06</v>
      </c>
      <c r="I147" s="88">
        <v>1.0497916666666669</v>
      </c>
      <c r="J147" s="89">
        <v>0.98900209700948194</v>
      </c>
      <c r="K147" s="88">
        <v>1.009724151617384</v>
      </c>
      <c r="L147" s="88">
        <v>1.011120201892163</v>
      </c>
      <c r="M147" s="88">
        <v>1</v>
      </c>
      <c r="N147" s="90">
        <v>0.66400000000000003</v>
      </c>
      <c r="O147" s="90">
        <v>0.67791245205773853</v>
      </c>
      <c r="P147" s="90">
        <v>0.67365220888361887</v>
      </c>
      <c r="Q147" s="91">
        <v>0</v>
      </c>
      <c r="R147" s="88">
        <v>0.99999999999999978</v>
      </c>
      <c r="S147" s="88">
        <v>1.0145364591620769</v>
      </c>
      <c r="T147" s="91">
        <v>-9.630503144654079E-3</v>
      </c>
      <c r="U147" s="91">
        <v>9.7241516173847131E-3</v>
      </c>
      <c r="V147" s="87">
        <v>0</v>
      </c>
      <c r="W147" s="91">
        <v>0</v>
      </c>
      <c r="X147" s="87">
        <v>1</v>
      </c>
      <c r="Y147" s="90">
        <v>0.67791245205773853</v>
      </c>
      <c r="Z147" s="90">
        <v>0.67365220888361887</v>
      </c>
      <c r="AA147" s="92">
        <v>0</v>
      </c>
      <c r="AB147" s="88">
        <v>0</v>
      </c>
      <c r="AC147" s="87">
        <v>1</v>
      </c>
      <c r="AD147" s="87">
        <v>0</v>
      </c>
      <c r="AE147" s="88">
        <v>1.0349999999999999</v>
      </c>
      <c r="AF147" s="88">
        <v>0.99597028697853884</v>
      </c>
      <c r="AG147" s="88">
        <v>1.030829365827</v>
      </c>
      <c r="AH147" s="88">
        <v>72080</v>
      </c>
      <c r="AI147" s="88">
        <v>71385.833333333328</v>
      </c>
      <c r="AJ147" s="88">
        <v>67252.142596644771</v>
      </c>
      <c r="AK147" s="88">
        <v>68661.242309982146</v>
      </c>
      <c r="AL147" s="88">
        <v>68756.173728667083</v>
      </c>
      <c r="AM147" s="88">
        <v>68000</v>
      </c>
      <c r="AN147" s="88">
        <v>45152</v>
      </c>
      <c r="AO147" s="88">
        <v>46098.04673992622</v>
      </c>
      <c r="AP147" s="88">
        <v>45808.350204086077</v>
      </c>
      <c r="AQ147" s="88">
        <v>0</v>
      </c>
      <c r="AR147" s="88">
        <v>67999.999999999985</v>
      </c>
      <c r="AS147" s="88">
        <v>68988.479223021219</v>
      </c>
      <c r="AT147" s="88">
        <v>46098.04673992622</v>
      </c>
      <c r="AU147" s="88">
        <v>45808.350204086077</v>
      </c>
      <c r="AV147" s="88">
        <v>68000</v>
      </c>
      <c r="AW147" s="88">
        <v>67320</v>
      </c>
      <c r="AX147" s="88">
        <v>66980</v>
      </c>
      <c r="AY147" s="88">
        <v>68000</v>
      </c>
      <c r="AZ147" s="88">
        <v>68000</v>
      </c>
      <c r="BA147" s="88">
        <v>68000</v>
      </c>
      <c r="BB147" s="88">
        <v>68000</v>
      </c>
      <c r="BC147" s="88">
        <v>68000</v>
      </c>
      <c r="BD147" s="88">
        <v>68000</v>
      </c>
      <c r="BE147" s="88">
        <v>68000</v>
      </c>
      <c r="BF147" s="88">
        <v>68000</v>
      </c>
      <c r="BG147" s="88">
        <v>68000</v>
      </c>
      <c r="BH147" s="88">
        <v>68000</v>
      </c>
      <c r="BI147" s="88">
        <v>68000</v>
      </c>
      <c r="BJ147" s="88">
        <v>68000</v>
      </c>
      <c r="BK147" s="88">
        <v>3790.070693768695</v>
      </c>
      <c r="BL147" s="88">
        <v>3789.9764093745221</v>
      </c>
      <c r="BM147" s="88">
        <v>3789.882063638217</v>
      </c>
      <c r="BN147" s="88">
        <v>3789.78445518124</v>
      </c>
      <c r="BO147" s="88">
        <v>3789.6867810225858</v>
      </c>
      <c r="BP147" s="88">
        <v>3789.5890410958959</v>
      </c>
      <c r="BQ147" s="88">
        <v>3789.491235334719</v>
      </c>
      <c r="BR147" s="88">
        <v>-274.15871823619528</v>
      </c>
      <c r="BS147" s="88">
        <v>-274.25111324737333</v>
      </c>
      <c r="BT147" s="88">
        <v>-274.34357055615033</v>
      </c>
      <c r="BU147" s="88">
        <v>-274.4360902255649</v>
      </c>
      <c r="BV147" s="88">
        <v>-274.52867231872352</v>
      </c>
      <c r="BW147" s="88">
        <v>4080.0000000000041</v>
      </c>
      <c r="BX147" s="88">
        <v>4080.0000000000041</v>
      </c>
      <c r="BY147" s="88">
        <v>4080.0000000000041</v>
      </c>
      <c r="BZ147" s="88">
        <v>4080.0000000000041</v>
      </c>
      <c r="CA147" s="88">
        <v>4080.0000000000041</v>
      </c>
      <c r="CB147" s="88">
        <v>4080.0000000000041</v>
      </c>
      <c r="CC147" s="88">
        <v>4080.0000000000041</v>
      </c>
      <c r="CD147" s="88">
        <v>0</v>
      </c>
      <c r="CE147" s="88">
        <v>0</v>
      </c>
      <c r="CF147" s="88">
        <v>0</v>
      </c>
      <c r="CG147" s="88">
        <v>0</v>
      </c>
      <c r="CH147" s="88">
        <v>0</v>
      </c>
      <c r="CI147" s="88">
        <v>68000</v>
      </c>
      <c r="CJ147" s="88">
        <v>68000</v>
      </c>
      <c r="CK147" s="88">
        <v>68000</v>
      </c>
      <c r="CL147" s="88">
        <v>68000</v>
      </c>
      <c r="CM147" s="88">
        <v>68000</v>
      </c>
      <c r="CN147" s="88">
        <v>68000</v>
      </c>
      <c r="CO147" s="88">
        <v>68000</v>
      </c>
      <c r="CP147" s="88">
        <v>68000</v>
      </c>
      <c r="CQ147" s="88">
        <v>68000</v>
      </c>
      <c r="CR147" s="88">
        <v>68000</v>
      </c>
      <c r="CS147" s="88">
        <v>68000</v>
      </c>
      <c r="CT147" s="88">
        <v>68000</v>
      </c>
      <c r="CU147" s="88">
        <v>-273.5182134257559</v>
      </c>
      <c r="CV147" s="88">
        <v>-273.60716096743641</v>
      </c>
      <c r="CW147" s="88">
        <v>-273.69616637903778</v>
      </c>
      <c r="CX147" s="88">
        <v>-273.78824982902029</v>
      </c>
      <c r="CY147" s="88">
        <v>-273.8803952617115</v>
      </c>
      <c r="CZ147" s="88">
        <v>-273.97260273972711</v>
      </c>
      <c r="DA147" s="88">
        <v>-274.06487232574329</v>
      </c>
      <c r="DB147" s="88">
        <v>-274.15871823619528</v>
      </c>
      <c r="DC147" s="88">
        <v>-274.25111324737333</v>
      </c>
      <c r="DD147" s="88">
        <v>-274.34357055615033</v>
      </c>
      <c r="DE147" s="88">
        <v>-274.4360902255649</v>
      </c>
      <c r="DF147" s="88">
        <v>-274.52867231872352</v>
      </c>
      <c r="DG147" s="93">
        <v>46235</v>
      </c>
      <c r="DH147" s="91">
        <v>0.06</v>
      </c>
      <c r="DI147" t="s">
        <v>301</v>
      </c>
      <c r="DJ147" s="93"/>
      <c r="DK147" s="91"/>
      <c r="DM147" s="93"/>
      <c r="DN147" s="91"/>
      <c r="DP147" s="93"/>
      <c r="DQ147" s="91"/>
    </row>
    <row r="148" spans="1:121" x14ac:dyDescent="0.3">
      <c r="A148" t="s">
        <v>26</v>
      </c>
      <c r="B148" t="s">
        <v>42</v>
      </c>
      <c r="C148" t="s">
        <v>96</v>
      </c>
      <c r="D148" t="s">
        <v>341</v>
      </c>
      <c r="E148" t="s">
        <v>511</v>
      </c>
      <c r="F148" s="86">
        <v>52000</v>
      </c>
      <c r="G148" s="87">
        <v>12</v>
      </c>
      <c r="H148" s="88">
        <v>1</v>
      </c>
      <c r="I148" s="88">
        <v>1</v>
      </c>
      <c r="J148" s="89">
        <v>0.99199580598103554</v>
      </c>
      <c r="K148" s="88">
        <v>1</v>
      </c>
      <c r="L148" s="88">
        <v>1.008068778084247</v>
      </c>
      <c r="M148" s="88">
        <v>1</v>
      </c>
      <c r="N148" s="90">
        <v>0.69199999999999995</v>
      </c>
      <c r="O148" s="90">
        <v>0.69758359443429874</v>
      </c>
      <c r="P148" s="90">
        <v>0.69293105239454711</v>
      </c>
      <c r="Q148" s="91">
        <v>0</v>
      </c>
      <c r="R148" s="88">
        <v>1</v>
      </c>
      <c r="S148" s="88">
        <v>1.0013454514372071</v>
      </c>
      <c r="T148" s="91">
        <v>0</v>
      </c>
      <c r="U148" s="91">
        <v>0</v>
      </c>
      <c r="V148" s="87">
        <v>0</v>
      </c>
      <c r="W148" s="91">
        <v>0</v>
      </c>
      <c r="X148" s="87">
        <v>1</v>
      </c>
      <c r="Y148" s="90">
        <v>0.69758359443429874</v>
      </c>
      <c r="Z148" s="90">
        <v>0.69293105239454711</v>
      </c>
      <c r="AA148" s="92">
        <v>0</v>
      </c>
      <c r="AB148" s="88">
        <v>0</v>
      </c>
      <c r="AC148" s="87">
        <v>0</v>
      </c>
      <c r="AD148" s="87">
        <v>0</v>
      </c>
      <c r="AE148" s="88">
        <v>1</v>
      </c>
      <c r="AF148" s="88">
        <v>1.0080839018517109</v>
      </c>
      <c r="AG148" s="88">
        <v>1.0080839018517109</v>
      </c>
      <c r="AH148" s="88">
        <v>52000</v>
      </c>
      <c r="AI148" s="88">
        <v>52000</v>
      </c>
      <c r="AJ148" s="88">
        <v>51583.781911013852</v>
      </c>
      <c r="AK148" s="88">
        <v>52000</v>
      </c>
      <c r="AL148" s="88">
        <v>52419.576460380827</v>
      </c>
      <c r="AM148" s="88">
        <v>52000</v>
      </c>
      <c r="AN148" s="88">
        <v>35984</v>
      </c>
      <c r="AO148" s="88">
        <v>36274.346910583532</v>
      </c>
      <c r="AP148" s="88">
        <v>36032.414724516449</v>
      </c>
      <c r="AQ148" s="88">
        <v>0</v>
      </c>
      <c r="AR148" s="88">
        <v>52000</v>
      </c>
      <c r="AS148" s="88">
        <v>52069.963474734759</v>
      </c>
      <c r="AT148" s="88">
        <v>36274.346910583532</v>
      </c>
      <c r="AU148" s="88">
        <v>36032.414724516449</v>
      </c>
      <c r="AV148" s="88">
        <v>52000</v>
      </c>
      <c r="AW148" s="88">
        <v>51480</v>
      </c>
      <c r="AX148" s="88">
        <v>52000</v>
      </c>
      <c r="AY148" s="88">
        <v>52000</v>
      </c>
      <c r="AZ148" s="88">
        <v>52000</v>
      </c>
      <c r="BA148" s="88">
        <v>52000</v>
      </c>
      <c r="BB148" s="88">
        <v>52000</v>
      </c>
      <c r="BC148" s="88">
        <v>52000</v>
      </c>
      <c r="BD148" s="88">
        <v>52000</v>
      </c>
      <c r="BE148" s="88">
        <v>52000</v>
      </c>
      <c r="BF148" s="88">
        <v>52000</v>
      </c>
      <c r="BG148" s="88">
        <v>52000</v>
      </c>
      <c r="BH148" s="88">
        <v>52000</v>
      </c>
      <c r="BI148" s="88">
        <v>52000</v>
      </c>
      <c r="BJ148" s="88">
        <v>52000</v>
      </c>
      <c r="BK148" s="88">
        <v>421.91372775672062</v>
      </c>
      <c r="BL148" s="88">
        <v>421.63723203376247</v>
      </c>
      <c r="BM148" s="88">
        <v>421.36109846928878</v>
      </c>
      <c r="BN148" s="88">
        <v>421.07598447032223</v>
      </c>
      <c r="BO148" s="88">
        <v>420.79125605524399</v>
      </c>
      <c r="BP148" s="88">
        <v>420.50691244239152</v>
      </c>
      <c r="BQ148" s="88">
        <v>420.22295285222629</v>
      </c>
      <c r="BR148" s="88">
        <v>419.93473090326017</v>
      </c>
      <c r="BS148" s="88">
        <v>419.65154329176983</v>
      </c>
      <c r="BT148" s="88">
        <v>419.36873736425991</v>
      </c>
      <c r="BU148" s="88">
        <v>419.08631234957471</v>
      </c>
      <c r="BV148" s="88">
        <v>418.80426747868341</v>
      </c>
      <c r="BW148" s="88">
        <v>0</v>
      </c>
      <c r="BX148" s="88">
        <v>0</v>
      </c>
      <c r="BY148" s="88">
        <v>0</v>
      </c>
      <c r="BZ148" s="88">
        <v>0</v>
      </c>
      <c r="CA148" s="88">
        <v>0</v>
      </c>
      <c r="CB148" s="88">
        <v>0</v>
      </c>
      <c r="CC148" s="88">
        <v>0</v>
      </c>
      <c r="CD148" s="88">
        <v>0</v>
      </c>
      <c r="CE148" s="88">
        <v>0</v>
      </c>
      <c r="CF148" s="88">
        <v>0</v>
      </c>
      <c r="CG148" s="88">
        <v>0</v>
      </c>
      <c r="CH148" s="88">
        <v>0</v>
      </c>
      <c r="CI148" s="88">
        <v>52000</v>
      </c>
      <c r="CJ148" s="88">
        <v>52000</v>
      </c>
      <c r="CK148" s="88">
        <v>52000</v>
      </c>
      <c r="CL148" s="88">
        <v>52000</v>
      </c>
      <c r="CM148" s="88">
        <v>52000</v>
      </c>
      <c r="CN148" s="88">
        <v>52000</v>
      </c>
      <c r="CO148" s="88">
        <v>52000</v>
      </c>
      <c r="CP148" s="88">
        <v>52000</v>
      </c>
      <c r="CQ148" s="88">
        <v>52000</v>
      </c>
      <c r="CR148" s="88">
        <v>52000</v>
      </c>
      <c r="CS148" s="88">
        <v>52000</v>
      </c>
      <c r="CT148" s="88">
        <v>52000</v>
      </c>
      <c r="CU148" s="88">
        <v>421.91372775672062</v>
      </c>
      <c r="CV148" s="88">
        <v>421.63723203376247</v>
      </c>
      <c r="CW148" s="88">
        <v>421.36109846928878</v>
      </c>
      <c r="CX148" s="88">
        <v>421.07598447032223</v>
      </c>
      <c r="CY148" s="88">
        <v>420.79125605524399</v>
      </c>
      <c r="CZ148" s="88">
        <v>420.50691244239152</v>
      </c>
      <c r="DA148" s="88">
        <v>420.22295285222629</v>
      </c>
      <c r="DB148" s="88">
        <v>419.93473090326017</v>
      </c>
      <c r="DC148" s="88">
        <v>419.65154329176983</v>
      </c>
      <c r="DD148" s="88">
        <v>419.36873736425991</v>
      </c>
      <c r="DE148" s="88">
        <v>419.08631234957471</v>
      </c>
      <c r="DF148" s="88">
        <v>418.80426747868341</v>
      </c>
      <c r="DG148" s="93"/>
      <c r="DH148" s="91"/>
      <c r="DJ148" s="93"/>
      <c r="DK148" s="91"/>
      <c r="DM148" s="93"/>
      <c r="DN148" s="91"/>
      <c r="DP148" s="93"/>
      <c r="DQ148" s="91"/>
    </row>
    <row r="149" spans="1:121" x14ac:dyDescent="0.3">
      <c r="A149" t="s">
        <v>26</v>
      </c>
      <c r="B149" t="s">
        <v>45</v>
      </c>
      <c r="C149" t="s">
        <v>43</v>
      </c>
      <c r="D149" t="s">
        <v>343</v>
      </c>
      <c r="E149" t="s">
        <v>512</v>
      </c>
      <c r="F149" s="86">
        <v>36000</v>
      </c>
      <c r="G149" s="87">
        <v>12</v>
      </c>
      <c r="H149" s="88">
        <v>1.03</v>
      </c>
      <c r="I149" s="88">
        <v>1.038872222222222</v>
      </c>
      <c r="J149" s="89">
        <v>0.98800419401896411</v>
      </c>
      <c r="K149" s="88">
        <v>0.99145975603886694</v>
      </c>
      <c r="L149" s="88">
        <v>1.012141452489427</v>
      </c>
      <c r="M149" s="88">
        <v>1</v>
      </c>
      <c r="N149" s="90">
        <v>0.67600000000000005</v>
      </c>
      <c r="O149" s="90">
        <v>0.67836432187190643</v>
      </c>
      <c r="P149" s="90">
        <v>0.66244563906796095</v>
      </c>
      <c r="Q149" s="91">
        <v>0</v>
      </c>
      <c r="R149" s="88">
        <v>0.96166688927474275</v>
      </c>
      <c r="S149" s="88">
        <v>1.019011032976213</v>
      </c>
      <c r="T149" s="91">
        <v>8.6138079827400293E-3</v>
      </c>
      <c r="U149" s="91">
        <v>3.098044353652751E-2</v>
      </c>
      <c r="V149" s="87">
        <v>0</v>
      </c>
      <c r="W149" s="91">
        <v>0</v>
      </c>
      <c r="X149" s="87">
        <v>1</v>
      </c>
      <c r="Y149" s="90">
        <v>0.67836432187190643</v>
      </c>
      <c r="Z149" s="90">
        <v>0.66244563906796095</v>
      </c>
      <c r="AA149" s="92">
        <v>0</v>
      </c>
      <c r="AB149" s="88">
        <v>0</v>
      </c>
      <c r="AC149" s="87">
        <v>1</v>
      </c>
      <c r="AD149" s="87">
        <v>1</v>
      </c>
      <c r="AE149" s="88">
        <v>1.0599666666666669</v>
      </c>
      <c r="AF149" s="88">
        <v>0.99194865631796525</v>
      </c>
      <c r="AG149" s="88">
        <v>1.051432600061956</v>
      </c>
      <c r="AH149" s="88">
        <v>37080</v>
      </c>
      <c r="AI149" s="88">
        <v>37399.4</v>
      </c>
      <c r="AJ149" s="88">
        <v>35568.15098468271</v>
      </c>
      <c r="AK149" s="88">
        <v>35692.55121739921</v>
      </c>
      <c r="AL149" s="88">
        <v>36437.092289619373</v>
      </c>
      <c r="AM149" s="88">
        <v>36000</v>
      </c>
      <c r="AN149" s="88">
        <v>24336</v>
      </c>
      <c r="AO149" s="88">
        <v>24421.115587388631</v>
      </c>
      <c r="AP149" s="88">
        <v>23848.043006446591</v>
      </c>
      <c r="AQ149" s="88">
        <v>0</v>
      </c>
      <c r="AR149" s="88">
        <v>34620.008013890743</v>
      </c>
      <c r="AS149" s="88">
        <v>36684.397187143673</v>
      </c>
      <c r="AT149" s="88">
        <v>24421.115587388631</v>
      </c>
      <c r="AU149" s="88">
        <v>23848.043006446591</v>
      </c>
      <c r="AV149" s="88">
        <v>36000</v>
      </c>
      <c r="AW149" s="88">
        <v>35640</v>
      </c>
      <c r="AX149" s="88">
        <v>35280</v>
      </c>
      <c r="AY149" s="88">
        <v>36000</v>
      </c>
      <c r="AZ149" s="88">
        <v>36000</v>
      </c>
      <c r="BA149" s="88">
        <v>36000</v>
      </c>
      <c r="BB149" s="88">
        <v>36000</v>
      </c>
      <c r="BC149" s="88">
        <v>36000</v>
      </c>
      <c r="BD149" s="88">
        <v>36000</v>
      </c>
      <c r="BE149" s="88">
        <v>36000</v>
      </c>
      <c r="BF149" s="88">
        <v>36000</v>
      </c>
      <c r="BG149" s="88">
        <v>36000</v>
      </c>
      <c r="BH149" s="88">
        <v>36000</v>
      </c>
      <c r="BI149" s="88">
        <v>36000</v>
      </c>
      <c r="BJ149" s="88">
        <v>36000</v>
      </c>
      <c r="BK149" s="88">
        <v>782.54832364480012</v>
      </c>
      <c r="BL149" s="88">
        <v>2253.6495612588319</v>
      </c>
      <c r="BM149" s="88">
        <v>2253.448605349744</v>
      </c>
      <c r="BN149" s="88">
        <v>2253.2405628592278</v>
      </c>
      <c r="BO149" s="88">
        <v>2253.032240720137</v>
      </c>
      <c r="BP149" s="88">
        <v>2252.8236383682488</v>
      </c>
      <c r="BQ149" s="88">
        <v>2252.614755237817</v>
      </c>
      <c r="BR149" s="88">
        <v>2252.4021594886199</v>
      </c>
      <c r="BS149" s="88">
        <v>2252.1927084714421</v>
      </c>
      <c r="BT149" s="88">
        <v>1137.847548504777</v>
      </c>
      <c r="BU149" s="88">
        <v>1137.643648914757</v>
      </c>
      <c r="BV149" s="88">
        <v>1137.439473946401</v>
      </c>
      <c r="BW149" s="88">
        <v>1080.0000000000009</v>
      </c>
      <c r="BX149" s="88">
        <v>2563.2000000000048</v>
      </c>
      <c r="BY149" s="88">
        <v>2563.2000000000048</v>
      </c>
      <c r="BZ149" s="88">
        <v>2563.2000000000048</v>
      </c>
      <c r="CA149" s="88">
        <v>2563.2000000000048</v>
      </c>
      <c r="CB149" s="88">
        <v>2563.2000000000048</v>
      </c>
      <c r="CC149" s="88">
        <v>2563.2000000000048</v>
      </c>
      <c r="CD149" s="88">
        <v>2563.2000000000048</v>
      </c>
      <c r="CE149" s="88">
        <v>2563.2000000000048</v>
      </c>
      <c r="CF149" s="88">
        <v>1440.0000000000009</v>
      </c>
      <c r="CG149" s="88">
        <v>1440.0000000000009</v>
      </c>
      <c r="CH149" s="88">
        <v>1440.0000000000009</v>
      </c>
      <c r="CI149" s="88">
        <v>36000</v>
      </c>
      <c r="CJ149" s="88">
        <v>36000</v>
      </c>
      <c r="CK149" s="88">
        <v>36000</v>
      </c>
      <c r="CL149" s="88">
        <v>36000</v>
      </c>
      <c r="CM149" s="88">
        <v>36000</v>
      </c>
      <c r="CN149" s="88">
        <v>36000</v>
      </c>
      <c r="CO149" s="88">
        <v>36000</v>
      </c>
      <c r="CP149" s="88">
        <v>36000</v>
      </c>
      <c r="CQ149" s="88">
        <v>36000</v>
      </c>
      <c r="CR149" s="88">
        <v>36000</v>
      </c>
      <c r="CS149" s="88">
        <v>36000</v>
      </c>
      <c r="CT149" s="88">
        <v>36000</v>
      </c>
      <c r="CU149" s="88">
        <v>-288.78803529631369</v>
      </c>
      <c r="CV149" s="88">
        <v>-288.97539090849023</v>
      </c>
      <c r="CW149" s="88">
        <v>-289.16298977806503</v>
      </c>
      <c r="CX149" s="88">
        <v>-289.35720420162443</v>
      </c>
      <c r="CY149" s="88">
        <v>-289.55167968620862</v>
      </c>
      <c r="CZ149" s="88">
        <v>-289.74641675854423</v>
      </c>
      <c r="DA149" s="88">
        <v>-289.94141594677677</v>
      </c>
      <c r="DB149" s="88">
        <v>-290.13988098524021</v>
      </c>
      <c r="DC149" s="88">
        <v>-290.33541031419622</v>
      </c>
      <c r="DD149" s="88">
        <v>-290.53120336079178</v>
      </c>
      <c r="DE149" s="88">
        <v>-290.72726065889219</v>
      </c>
      <c r="DF149" s="88">
        <v>-290.92358274384901</v>
      </c>
      <c r="DG149" s="93">
        <v>46296</v>
      </c>
      <c r="DH149" s="91">
        <v>0.03</v>
      </c>
      <c r="DI149" t="s">
        <v>301</v>
      </c>
      <c r="DJ149" s="93">
        <v>46419</v>
      </c>
      <c r="DK149" s="91">
        <v>0.04</v>
      </c>
      <c r="DL149" t="s">
        <v>302</v>
      </c>
      <c r="DM149" s="93"/>
      <c r="DN149" s="91"/>
      <c r="DP149" s="93"/>
      <c r="DQ149" s="91"/>
    </row>
    <row r="150" spans="1:121" x14ac:dyDescent="0.3">
      <c r="A150" t="s">
        <v>26</v>
      </c>
      <c r="B150" t="s">
        <v>45</v>
      </c>
      <c r="C150" t="s">
        <v>46</v>
      </c>
      <c r="D150" t="s">
        <v>345</v>
      </c>
      <c r="E150" t="s">
        <v>513</v>
      </c>
      <c r="F150" s="86">
        <v>88000</v>
      </c>
      <c r="G150" s="87">
        <v>12</v>
      </c>
      <c r="H150" s="88">
        <v>1.04</v>
      </c>
      <c r="I150" s="88">
        <v>1.026111111111111</v>
      </c>
      <c r="J150" s="89">
        <v>0.99099790299051793</v>
      </c>
      <c r="K150" s="88">
        <v>1.013535462912831</v>
      </c>
      <c r="L150" s="88">
        <v>1.009083870896514</v>
      </c>
      <c r="M150" s="88">
        <v>1</v>
      </c>
      <c r="N150" s="90">
        <v>0.7128000000000001</v>
      </c>
      <c r="O150" s="90">
        <v>0.72901070303392856</v>
      </c>
      <c r="P150" s="90">
        <v>0.72403459521192093</v>
      </c>
      <c r="Q150" s="91">
        <v>0.01</v>
      </c>
      <c r="R150" s="88">
        <v>0.99999999999999978</v>
      </c>
      <c r="S150" s="88">
        <v>1.005704174878489</v>
      </c>
      <c r="T150" s="91">
        <v>-1.3354700854700811E-2</v>
      </c>
      <c r="U150" s="91">
        <v>1.3535462912831701E-2</v>
      </c>
      <c r="V150" s="87">
        <v>0</v>
      </c>
      <c r="W150" s="91">
        <v>0</v>
      </c>
      <c r="X150" s="87">
        <v>1</v>
      </c>
      <c r="Y150" s="90">
        <v>0.72901070303392856</v>
      </c>
      <c r="Z150" s="90">
        <v>0.72403459521192093</v>
      </c>
      <c r="AA150" s="92">
        <v>0</v>
      </c>
      <c r="AB150" s="88">
        <v>0</v>
      </c>
      <c r="AC150" s="87">
        <v>1</v>
      </c>
      <c r="AD150" s="87">
        <v>0</v>
      </c>
      <c r="AE150" s="88">
        <v>1.033333333333333</v>
      </c>
      <c r="AF150" s="88">
        <v>1.004037852440528</v>
      </c>
      <c r="AG150" s="88">
        <v>1.0375058262402861</v>
      </c>
      <c r="AH150" s="88">
        <v>91520</v>
      </c>
      <c r="AI150" s="88">
        <v>90297.777777777781</v>
      </c>
      <c r="AJ150" s="88">
        <v>87207.815463165578</v>
      </c>
      <c r="AK150" s="88">
        <v>89191.120736329176</v>
      </c>
      <c r="AL150" s="88">
        <v>88799.380638893243</v>
      </c>
      <c r="AM150" s="88">
        <v>88000</v>
      </c>
      <c r="AN150" s="88">
        <v>62726.400000000009</v>
      </c>
      <c r="AO150" s="88">
        <v>64152.941866985711</v>
      </c>
      <c r="AP150" s="88">
        <v>63715.044378649043</v>
      </c>
      <c r="AQ150" s="88">
        <v>880</v>
      </c>
      <c r="AR150" s="88">
        <v>87999.999999999985</v>
      </c>
      <c r="AS150" s="88">
        <v>88501.967389307043</v>
      </c>
      <c r="AT150" s="88">
        <v>64152.941866985711</v>
      </c>
      <c r="AU150" s="88">
        <v>63715.044378649043</v>
      </c>
      <c r="AV150" s="88">
        <v>88000</v>
      </c>
      <c r="AW150" s="88">
        <v>87120</v>
      </c>
      <c r="AX150" s="88">
        <v>87560</v>
      </c>
      <c r="AY150" s="88">
        <v>88000</v>
      </c>
      <c r="AZ150" s="88">
        <v>88000</v>
      </c>
      <c r="BA150" s="88">
        <v>88000</v>
      </c>
      <c r="BB150" s="88">
        <v>88000</v>
      </c>
      <c r="BC150" s="88">
        <v>88000</v>
      </c>
      <c r="BD150" s="88">
        <v>88000</v>
      </c>
      <c r="BE150" s="88">
        <v>88000</v>
      </c>
      <c r="BF150" s="88">
        <v>88000</v>
      </c>
      <c r="BG150" s="88">
        <v>88000</v>
      </c>
      <c r="BH150" s="88">
        <v>88000</v>
      </c>
      <c r="BI150" s="88">
        <v>88000</v>
      </c>
      <c r="BJ150" s="88">
        <v>88000</v>
      </c>
      <c r="BK150" s="88">
        <v>3890.2244856115281</v>
      </c>
      <c r="BL150" s="88">
        <v>3890.1034811318559</v>
      </c>
      <c r="BM150" s="88">
        <v>3889.9825557247709</v>
      </c>
      <c r="BN150" s="88">
        <v>3889.857614207584</v>
      </c>
      <c r="BO150" s="88">
        <v>3889.7327570463249</v>
      </c>
      <c r="BP150" s="88">
        <v>3889.6079841556052</v>
      </c>
      <c r="BQ150" s="88">
        <v>3889.4832954501521</v>
      </c>
      <c r="BR150" s="88">
        <v>3889.3566488464958</v>
      </c>
      <c r="BS150" s="88">
        <v>3889.2321296326991</v>
      </c>
      <c r="BT150" s="88">
        <v>3889.10769434761</v>
      </c>
      <c r="BU150" s="88">
        <v>354.79167587150499</v>
      </c>
      <c r="BV150" s="88">
        <v>354.67218771566769</v>
      </c>
      <c r="BW150" s="88">
        <v>3520.0000000000032</v>
      </c>
      <c r="BX150" s="88">
        <v>3520.0000000000032</v>
      </c>
      <c r="BY150" s="88">
        <v>3520.0000000000032</v>
      </c>
      <c r="BZ150" s="88">
        <v>3520.0000000000032</v>
      </c>
      <c r="CA150" s="88">
        <v>3520.0000000000032</v>
      </c>
      <c r="CB150" s="88">
        <v>3520.0000000000032</v>
      </c>
      <c r="CC150" s="88">
        <v>3520.0000000000032</v>
      </c>
      <c r="CD150" s="88">
        <v>3520.0000000000032</v>
      </c>
      <c r="CE150" s="88">
        <v>3520.0000000000032</v>
      </c>
      <c r="CF150" s="88">
        <v>3520.0000000000032</v>
      </c>
      <c r="CG150" s="88">
        <v>0</v>
      </c>
      <c r="CH150" s="88">
        <v>0</v>
      </c>
      <c r="CI150" s="88">
        <v>88000</v>
      </c>
      <c r="CJ150" s="88">
        <v>88000</v>
      </c>
      <c r="CK150" s="88">
        <v>88000</v>
      </c>
      <c r="CL150" s="88">
        <v>88000</v>
      </c>
      <c r="CM150" s="88">
        <v>88000</v>
      </c>
      <c r="CN150" s="88">
        <v>88000</v>
      </c>
      <c r="CO150" s="88">
        <v>88000</v>
      </c>
      <c r="CP150" s="88">
        <v>88000</v>
      </c>
      <c r="CQ150" s="88">
        <v>88000</v>
      </c>
      <c r="CR150" s="88">
        <v>88000</v>
      </c>
      <c r="CS150" s="88">
        <v>88000</v>
      </c>
      <c r="CT150" s="88">
        <v>88000</v>
      </c>
      <c r="CU150" s="88">
        <v>355.98508231877452</v>
      </c>
      <c r="CV150" s="88">
        <v>355.86873185755678</v>
      </c>
      <c r="CW150" s="88">
        <v>355.75245742765378</v>
      </c>
      <c r="CX150" s="88">
        <v>355.63232135343452</v>
      </c>
      <c r="CY150" s="88">
        <v>355.51226639069529</v>
      </c>
      <c r="CZ150" s="88">
        <v>355.39229245731008</v>
      </c>
      <c r="DA150" s="88">
        <v>355.27239947128919</v>
      </c>
      <c r="DB150" s="88">
        <v>355.15062389085023</v>
      </c>
      <c r="DC150" s="88">
        <v>355.03089387759519</v>
      </c>
      <c r="DD150" s="88">
        <v>354.91124456501308</v>
      </c>
      <c r="DE150" s="88">
        <v>354.79167587150499</v>
      </c>
      <c r="DF150" s="88">
        <v>354.67218771566769</v>
      </c>
      <c r="DG150" s="93">
        <v>46327</v>
      </c>
      <c r="DH150" s="91">
        <v>0.04</v>
      </c>
      <c r="DI150" t="s">
        <v>301</v>
      </c>
      <c r="DJ150" s="93"/>
      <c r="DK150" s="91"/>
      <c r="DM150" s="93"/>
      <c r="DN150" s="91"/>
      <c r="DP150" s="93"/>
      <c r="DQ150" s="91"/>
    </row>
    <row r="151" spans="1:121" x14ac:dyDescent="0.3">
      <c r="A151" t="s">
        <v>26</v>
      </c>
      <c r="B151" t="s">
        <v>45</v>
      </c>
      <c r="C151" t="s">
        <v>48</v>
      </c>
      <c r="D151" t="s">
        <v>347</v>
      </c>
      <c r="E151" t="s">
        <v>514</v>
      </c>
      <c r="F151" s="86">
        <v>72000</v>
      </c>
      <c r="G151" s="87">
        <v>12</v>
      </c>
      <c r="H151" s="88">
        <v>1.05</v>
      </c>
      <c r="I151" s="88">
        <v>1.054696572580645</v>
      </c>
      <c r="J151" s="89">
        <v>1.000865040760869</v>
      </c>
      <c r="K151" s="88">
        <v>0.99554699171046557</v>
      </c>
      <c r="L151" s="88">
        <v>0.99913570688790188</v>
      </c>
      <c r="M151" s="88">
        <v>1.02</v>
      </c>
      <c r="N151" s="90">
        <v>0.68799999999999994</v>
      </c>
      <c r="O151" s="90">
        <v>0.69803123143518497</v>
      </c>
      <c r="P151" s="90">
        <v>0.66407688763326544</v>
      </c>
      <c r="Q151" s="91">
        <v>0</v>
      </c>
      <c r="R151" s="88">
        <v>0.97284786829941206</v>
      </c>
      <c r="S151" s="88">
        <v>0.97271323225041562</v>
      </c>
      <c r="T151" s="91">
        <v>4.4729262672811299E-3</v>
      </c>
      <c r="U151" s="91">
        <v>2.3332654725072951E-2</v>
      </c>
      <c r="V151" s="87">
        <v>0</v>
      </c>
      <c r="W151" s="91">
        <v>0</v>
      </c>
      <c r="X151" s="87">
        <v>1</v>
      </c>
      <c r="Y151" s="90">
        <v>0.69803123143518497</v>
      </c>
      <c r="Z151" s="90">
        <v>0.66407688763326544</v>
      </c>
      <c r="AA151" s="92">
        <v>0</v>
      </c>
      <c r="AB151" s="88">
        <v>0</v>
      </c>
      <c r="AC151" s="87">
        <v>1</v>
      </c>
      <c r="AD151" s="87">
        <v>1</v>
      </c>
      <c r="AE151" s="88">
        <v>1.0313709677419349</v>
      </c>
      <c r="AF151" s="88">
        <v>1.0410108178186279</v>
      </c>
      <c r="AG151" s="88">
        <v>1.07365054415658</v>
      </c>
      <c r="AH151" s="88">
        <v>75600</v>
      </c>
      <c r="AI151" s="88">
        <v>75938.153225806454</v>
      </c>
      <c r="AJ151" s="88">
        <v>72062.282934782605</v>
      </c>
      <c r="AK151" s="88">
        <v>71679.383403153523</v>
      </c>
      <c r="AL151" s="88">
        <v>71937.77089592893</v>
      </c>
      <c r="AM151" s="88">
        <v>73440</v>
      </c>
      <c r="AN151" s="88">
        <v>49535.999999999993</v>
      </c>
      <c r="AO151" s="88">
        <v>50258.248663333317</v>
      </c>
      <c r="AP151" s="88">
        <v>47813.535909595113</v>
      </c>
      <c r="AQ151" s="88">
        <v>0</v>
      </c>
      <c r="AR151" s="88">
        <v>70045.046517557668</v>
      </c>
      <c r="AS151" s="88">
        <v>70035.352722029929</v>
      </c>
      <c r="AT151" s="88">
        <v>50258.248663333317</v>
      </c>
      <c r="AU151" s="88">
        <v>47813.535909595113</v>
      </c>
      <c r="AV151" s="88">
        <v>72000</v>
      </c>
      <c r="AW151" s="88">
        <v>71280</v>
      </c>
      <c r="AX151" s="88">
        <v>72720</v>
      </c>
      <c r="AY151" s="88">
        <v>72000</v>
      </c>
      <c r="AZ151" s="88">
        <v>72000</v>
      </c>
      <c r="BA151" s="88">
        <v>72000</v>
      </c>
      <c r="BB151" s="88">
        <v>72000</v>
      </c>
      <c r="BC151" s="88">
        <v>72000</v>
      </c>
      <c r="BD151" s="88">
        <v>72000</v>
      </c>
      <c r="BE151" s="88">
        <v>72000</v>
      </c>
      <c r="BF151" s="88">
        <v>72000</v>
      </c>
      <c r="BG151" s="88">
        <v>72000</v>
      </c>
      <c r="BH151" s="88">
        <v>72000</v>
      </c>
      <c r="BI151" s="88">
        <v>72000</v>
      </c>
      <c r="BJ151" s="88">
        <v>72000</v>
      </c>
      <c r="BK151" s="88">
        <v>6585.3906558951576</v>
      </c>
      <c r="BL151" s="88">
        <v>6324.3243243243314</v>
      </c>
      <c r="BM151" s="88">
        <v>7626.2865480666824</v>
      </c>
      <c r="BN151" s="88">
        <v>3575.838926174496</v>
      </c>
      <c r="BO151" s="88">
        <v>4557.9955804959218</v>
      </c>
      <c r="BP151" s="88">
        <v>5315.5693811798683</v>
      </c>
      <c r="BQ151" s="88">
        <v>5054.4693572496262</v>
      </c>
      <c r="BR151" s="88">
        <v>4790.8899310344777</v>
      </c>
      <c r="BS151" s="88">
        <v>5336.9155526228924</v>
      </c>
      <c r="BT151" s="88">
        <v>5078.3770614347613</v>
      </c>
      <c r="BU151" s="88">
        <v>4821.561407035173</v>
      </c>
      <c r="BV151" s="88">
        <v>4566.4514257716764</v>
      </c>
      <c r="BW151" s="88">
        <v>3600.0000000000032</v>
      </c>
      <c r="BX151" s="88">
        <v>3600.0000000000032</v>
      </c>
      <c r="BY151" s="88">
        <v>3600.0000000000032</v>
      </c>
      <c r="BZ151" s="88">
        <v>0</v>
      </c>
      <c r="CA151" s="88">
        <v>1184.5161290322519</v>
      </c>
      <c r="CB151" s="88">
        <v>2160.0000000000018</v>
      </c>
      <c r="CC151" s="88">
        <v>2160.0000000000018</v>
      </c>
      <c r="CD151" s="88">
        <v>2160.0000000000018</v>
      </c>
      <c r="CE151" s="88">
        <v>2160.0000000000018</v>
      </c>
      <c r="CF151" s="88">
        <v>2160.0000000000018</v>
      </c>
      <c r="CG151" s="88">
        <v>2160.0000000000018</v>
      </c>
      <c r="CH151" s="88">
        <v>2160.0000000000018</v>
      </c>
      <c r="CI151" s="88">
        <v>72000</v>
      </c>
      <c r="CJ151" s="88">
        <v>72000</v>
      </c>
      <c r="CK151" s="88">
        <v>72000</v>
      </c>
      <c r="CL151" s="88">
        <v>72000</v>
      </c>
      <c r="CM151" s="88">
        <v>72000</v>
      </c>
      <c r="CN151" s="88">
        <v>72000</v>
      </c>
      <c r="CO151" s="88">
        <v>72000</v>
      </c>
      <c r="CP151" s="88">
        <v>72000</v>
      </c>
      <c r="CQ151" s="88">
        <v>72000</v>
      </c>
      <c r="CR151" s="88">
        <v>72000</v>
      </c>
      <c r="CS151" s="88">
        <v>72000</v>
      </c>
      <c r="CT151" s="88">
        <v>72000</v>
      </c>
      <c r="CU151" s="88">
        <v>2843.2291960906191</v>
      </c>
      <c r="CV151" s="88">
        <v>2594.5945945946</v>
      </c>
      <c r="CW151" s="88">
        <v>3834.5586172063649</v>
      </c>
      <c r="CX151" s="88">
        <v>3575.838926174496</v>
      </c>
      <c r="CY151" s="88">
        <v>3318.8785463463551</v>
      </c>
      <c r="CZ151" s="88">
        <v>3063.6595933785102</v>
      </c>
      <c r="DA151" s="88">
        <v>2810.1644245142038</v>
      </c>
      <c r="DB151" s="88">
        <v>2554.2620689655141</v>
      </c>
      <c r="DC151" s="88">
        <v>3084.3840316727142</v>
      </c>
      <c r="DD151" s="88">
        <v>2833.3757878007309</v>
      </c>
      <c r="DE151" s="88">
        <v>2584.0402010050188</v>
      </c>
      <c r="DF151" s="88">
        <v>2336.3606075453158</v>
      </c>
      <c r="DG151" s="93">
        <v>46113</v>
      </c>
      <c r="DH151" s="91">
        <v>0.05</v>
      </c>
      <c r="DI151" t="s">
        <v>301</v>
      </c>
      <c r="DJ151" s="93">
        <v>46522</v>
      </c>
      <c r="DK151" s="91">
        <v>0.03</v>
      </c>
      <c r="DL151" t="s">
        <v>302</v>
      </c>
      <c r="DM151" s="93"/>
      <c r="DN151" s="91"/>
      <c r="DP151" s="93"/>
      <c r="DQ151" s="91"/>
    </row>
    <row r="152" spans="1:121" x14ac:dyDescent="0.3">
      <c r="A152" t="s">
        <v>26</v>
      </c>
      <c r="B152" t="s">
        <v>45</v>
      </c>
      <c r="C152" t="s">
        <v>50</v>
      </c>
      <c r="D152" t="s">
        <v>349</v>
      </c>
      <c r="E152" t="s">
        <v>515</v>
      </c>
      <c r="F152" s="86">
        <v>56000</v>
      </c>
      <c r="G152" s="87">
        <v>12</v>
      </c>
      <c r="H152" s="88">
        <v>1.08</v>
      </c>
      <c r="I152" s="88">
        <v>1.0754999999999999</v>
      </c>
      <c r="J152" s="89">
        <v>0.9900000000000001</v>
      </c>
      <c r="K152" s="88">
        <v>1.00418410041841</v>
      </c>
      <c r="L152" s="88">
        <v>1.0101010101010099</v>
      </c>
      <c r="M152" s="88">
        <v>1</v>
      </c>
      <c r="N152" s="90">
        <v>0.67200000000000004</v>
      </c>
      <c r="O152" s="90">
        <v>0.68162799543552677</v>
      </c>
      <c r="P152" s="90">
        <v>0.64811064174526922</v>
      </c>
      <c r="Q152" s="91">
        <v>0</v>
      </c>
      <c r="R152" s="88">
        <v>0.95480585614258429</v>
      </c>
      <c r="S152" s="88">
        <v>1.0101010101010099</v>
      </c>
      <c r="T152" s="91">
        <v>-4.1666666666666519E-3</v>
      </c>
      <c r="U152" s="91">
        <v>5.1715481171548117E-2</v>
      </c>
      <c r="V152" s="87">
        <v>0</v>
      </c>
      <c r="W152" s="91">
        <v>0</v>
      </c>
      <c r="X152" s="87">
        <v>1</v>
      </c>
      <c r="Y152" s="90">
        <v>0.68162799543552677</v>
      </c>
      <c r="Z152" s="90">
        <v>0.64811064174526922</v>
      </c>
      <c r="AA152" s="92">
        <v>0</v>
      </c>
      <c r="AB152" s="88">
        <v>0</v>
      </c>
      <c r="AC152" s="87">
        <v>1</v>
      </c>
      <c r="AD152" s="87">
        <v>1</v>
      </c>
      <c r="AE152" s="88">
        <v>1.1022400000000001</v>
      </c>
      <c r="AF152" s="88">
        <v>1</v>
      </c>
      <c r="AG152" s="88">
        <v>1.1022400000000001</v>
      </c>
      <c r="AH152" s="88">
        <v>60480.000000000007</v>
      </c>
      <c r="AI152" s="88">
        <v>60228.000000000007</v>
      </c>
      <c r="AJ152" s="88">
        <v>55440.000000000007</v>
      </c>
      <c r="AK152" s="88">
        <v>56234.309623430963</v>
      </c>
      <c r="AL152" s="88">
        <v>56565.656565656558</v>
      </c>
      <c r="AM152" s="88">
        <v>56000</v>
      </c>
      <c r="AN152" s="88">
        <v>37632</v>
      </c>
      <c r="AO152" s="88">
        <v>38171.167744389502</v>
      </c>
      <c r="AP152" s="88">
        <v>36294.195937735079</v>
      </c>
      <c r="AQ152" s="88">
        <v>0</v>
      </c>
      <c r="AR152" s="88">
        <v>53469.12794398472</v>
      </c>
      <c r="AS152" s="88">
        <v>56565.656565656558</v>
      </c>
      <c r="AT152" s="88">
        <v>38171.167744389502</v>
      </c>
      <c r="AU152" s="88">
        <v>36294.195937735079</v>
      </c>
      <c r="AV152" s="88">
        <v>56000</v>
      </c>
      <c r="AW152" s="88">
        <v>55440</v>
      </c>
      <c r="AX152" s="88">
        <v>55440</v>
      </c>
      <c r="AY152" s="88">
        <v>56000</v>
      </c>
      <c r="AZ152" s="88">
        <v>56000</v>
      </c>
      <c r="BA152" s="88">
        <v>56000</v>
      </c>
      <c r="BB152" s="88">
        <v>56000</v>
      </c>
      <c r="BC152" s="88">
        <v>56000</v>
      </c>
      <c r="BD152" s="88">
        <v>56000</v>
      </c>
      <c r="BE152" s="88">
        <v>56000</v>
      </c>
      <c r="BF152" s="88">
        <v>56000</v>
      </c>
      <c r="BG152" s="88">
        <v>56000</v>
      </c>
      <c r="BH152" s="88">
        <v>56000</v>
      </c>
      <c r="BI152" s="88">
        <v>56000</v>
      </c>
      <c r="BJ152" s="88">
        <v>56000</v>
      </c>
      <c r="BK152" s="88">
        <v>4480.0000000000036</v>
      </c>
      <c r="BL152" s="88">
        <v>4480.0000000000036</v>
      </c>
      <c r="BM152" s="88">
        <v>7383.04000000001</v>
      </c>
      <c r="BN152" s="88">
        <v>7383.04000000001</v>
      </c>
      <c r="BO152" s="88">
        <v>7383.04000000001</v>
      </c>
      <c r="BP152" s="88">
        <v>7383.04000000001</v>
      </c>
      <c r="BQ152" s="88">
        <v>7383.04000000001</v>
      </c>
      <c r="BR152" s="88">
        <v>7383.04000000001</v>
      </c>
      <c r="BS152" s="88">
        <v>7383.04000000001</v>
      </c>
      <c r="BT152" s="88">
        <v>2688.0000000000018</v>
      </c>
      <c r="BU152" s="88">
        <v>2688.0000000000018</v>
      </c>
      <c r="BV152" s="88">
        <v>2688.0000000000018</v>
      </c>
      <c r="BW152" s="88">
        <v>4480.0000000000036</v>
      </c>
      <c r="BX152" s="88">
        <v>4480.0000000000036</v>
      </c>
      <c r="BY152" s="88">
        <v>7383.04000000001</v>
      </c>
      <c r="BZ152" s="88">
        <v>7383.04000000001</v>
      </c>
      <c r="CA152" s="88">
        <v>7383.04000000001</v>
      </c>
      <c r="CB152" s="88">
        <v>7383.04000000001</v>
      </c>
      <c r="CC152" s="88">
        <v>7383.04000000001</v>
      </c>
      <c r="CD152" s="88">
        <v>7383.04000000001</v>
      </c>
      <c r="CE152" s="88">
        <v>7383.04000000001</v>
      </c>
      <c r="CF152" s="88">
        <v>2688.0000000000018</v>
      </c>
      <c r="CG152" s="88">
        <v>2688.0000000000018</v>
      </c>
      <c r="CH152" s="88">
        <v>2688.0000000000018</v>
      </c>
      <c r="CI152" s="88">
        <v>56000</v>
      </c>
      <c r="CJ152" s="88">
        <v>56000</v>
      </c>
      <c r="CK152" s="88">
        <v>56000</v>
      </c>
      <c r="CL152" s="88">
        <v>56000</v>
      </c>
      <c r="CM152" s="88">
        <v>56000</v>
      </c>
      <c r="CN152" s="88">
        <v>56000</v>
      </c>
      <c r="CO152" s="88">
        <v>56000</v>
      </c>
      <c r="CP152" s="88">
        <v>56000</v>
      </c>
      <c r="CQ152" s="88">
        <v>56000</v>
      </c>
      <c r="CR152" s="88">
        <v>56000</v>
      </c>
      <c r="CS152" s="88">
        <v>56000</v>
      </c>
      <c r="CT152" s="88">
        <v>56000</v>
      </c>
      <c r="CU152" s="88">
        <v>0</v>
      </c>
      <c r="CV152" s="88">
        <v>0</v>
      </c>
      <c r="CW152" s="88">
        <v>0</v>
      </c>
      <c r="CX152" s="88">
        <v>0</v>
      </c>
      <c r="CY152" s="88">
        <v>0</v>
      </c>
      <c r="CZ152" s="88">
        <v>0</v>
      </c>
      <c r="DA152" s="88">
        <v>0</v>
      </c>
      <c r="DB152" s="88">
        <v>0</v>
      </c>
      <c r="DC152" s="88">
        <v>0</v>
      </c>
      <c r="DD152" s="88">
        <v>0</v>
      </c>
      <c r="DE152" s="88">
        <v>0</v>
      </c>
      <c r="DF152" s="88">
        <v>0</v>
      </c>
      <c r="DG152" s="93">
        <v>46296</v>
      </c>
      <c r="DH152" s="91">
        <v>0.08</v>
      </c>
      <c r="DI152" t="s">
        <v>301</v>
      </c>
      <c r="DJ152" s="93">
        <v>46447</v>
      </c>
      <c r="DK152" s="91">
        <v>4.8000000000000001E-2</v>
      </c>
      <c r="DL152" t="s">
        <v>302</v>
      </c>
      <c r="DM152" s="93"/>
      <c r="DN152" s="91"/>
      <c r="DP152" s="93"/>
      <c r="DQ152" s="91"/>
    </row>
    <row r="153" spans="1:121" x14ac:dyDescent="0.3">
      <c r="A153" t="s">
        <v>26</v>
      </c>
      <c r="B153" t="s">
        <v>45</v>
      </c>
      <c r="C153" t="s">
        <v>57</v>
      </c>
      <c r="D153" t="s">
        <v>351</v>
      </c>
      <c r="E153" t="s">
        <v>516</v>
      </c>
      <c r="F153" s="86">
        <v>40000</v>
      </c>
      <c r="G153" s="87">
        <v>12</v>
      </c>
      <c r="H153" s="88">
        <v>1.02</v>
      </c>
      <c r="I153" s="88">
        <v>1.026872222222222</v>
      </c>
      <c r="J153" s="89">
        <v>0.99299370897155337</v>
      </c>
      <c r="K153" s="88">
        <v>0.99330761698144854</v>
      </c>
      <c r="L153" s="88">
        <v>1.007055725494679</v>
      </c>
      <c r="M153" s="88">
        <v>1</v>
      </c>
      <c r="N153" s="90">
        <v>0.7</v>
      </c>
      <c r="O153" s="90">
        <v>0.70022128600105049</v>
      </c>
      <c r="P153" s="90">
        <v>0.67332208304773777</v>
      </c>
      <c r="Q153" s="91">
        <v>0</v>
      </c>
      <c r="R153" s="88">
        <v>0.96475948010183543</v>
      </c>
      <c r="S153" s="88">
        <v>0.99702434638596604</v>
      </c>
      <c r="T153" s="91">
        <v>6.7374727668845216E-3</v>
      </c>
      <c r="U153" s="91">
        <v>2.9590936879521301E-2</v>
      </c>
      <c r="V153" s="87">
        <v>0</v>
      </c>
      <c r="W153" s="91">
        <v>0</v>
      </c>
      <c r="X153" s="87">
        <v>1</v>
      </c>
      <c r="Y153" s="90">
        <v>0.70022128600105049</v>
      </c>
      <c r="Z153" s="90">
        <v>0.67332208304773777</v>
      </c>
      <c r="AA153" s="92">
        <v>0</v>
      </c>
      <c r="AB153" s="88">
        <v>0</v>
      </c>
      <c r="AC153" s="87">
        <v>1</v>
      </c>
      <c r="AD153" s="87">
        <v>1</v>
      </c>
      <c r="AE153" s="88">
        <v>1.0249999999999999</v>
      </c>
      <c r="AF153" s="88">
        <v>1.012138206284618</v>
      </c>
      <c r="AG153" s="88">
        <v>1.037441055937901</v>
      </c>
      <c r="AH153" s="88">
        <v>40800</v>
      </c>
      <c r="AI153" s="88">
        <v>41074.888888888891</v>
      </c>
      <c r="AJ153" s="88">
        <v>39719.748358862133</v>
      </c>
      <c r="AK153" s="88">
        <v>39732.304679257941</v>
      </c>
      <c r="AL153" s="88">
        <v>40282.22901978717</v>
      </c>
      <c r="AM153" s="88">
        <v>40000</v>
      </c>
      <c r="AN153" s="88">
        <v>28000</v>
      </c>
      <c r="AO153" s="88">
        <v>28008.851440042021</v>
      </c>
      <c r="AP153" s="88">
        <v>26932.88332190951</v>
      </c>
      <c r="AQ153" s="88">
        <v>0</v>
      </c>
      <c r="AR153" s="88">
        <v>38590.379204073419</v>
      </c>
      <c r="AS153" s="88">
        <v>39880.973855438642</v>
      </c>
      <c r="AT153" s="88">
        <v>28008.851440042021</v>
      </c>
      <c r="AU153" s="88">
        <v>26932.88332190951</v>
      </c>
      <c r="AV153" s="88">
        <v>40000</v>
      </c>
      <c r="AW153" s="88">
        <v>39600</v>
      </c>
      <c r="AX153" s="88">
        <v>40199.999999999993</v>
      </c>
      <c r="AY153" s="88">
        <v>40000</v>
      </c>
      <c r="AZ153" s="88">
        <v>40000</v>
      </c>
      <c r="BA153" s="88">
        <v>40000</v>
      </c>
      <c r="BB153" s="88">
        <v>40000</v>
      </c>
      <c r="BC153" s="88">
        <v>40000</v>
      </c>
      <c r="BD153" s="88">
        <v>40000</v>
      </c>
      <c r="BE153" s="88">
        <v>40000</v>
      </c>
      <c r="BF153" s="88">
        <v>40000</v>
      </c>
      <c r="BG153" s="88">
        <v>40000</v>
      </c>
      <c r="BH153" s="88">
        <v>40000</v>
      </c>
      <c r="BI153" s="88">
        <v>40000</v>
      </c>
      <c r="BJ153" s="88">
        <v>40000</v>
      </c>
      <c r="BK153" s="88">
        <v>1297.985253055565</v>
      </c>
      <c r="BL153" s="88">
        <v>487.73969399345418</v>
      </c>
      <c r="BM153" s="88">
        <v>487.25949905717772</v>
      </c>
      <c r="BN153" s="88">
        <v>486.76401947055581</v>
      </c>
      <c r="BO153" s="88">
        <v>486.26954653699698</v>
      </c>
      <c r="BP153" s="88">
        <v>2105.2071202794932</v>
      </c>
      <c r="BQ153" s="88">
        <v>2104.6949527180818</v>
      </c>
      <c r="BR153" s="88">
        <v>2104.175451994754</v>
      </c>
      <c r="BS153" s="88">
        <v>2103.6653730056009</v>
      </c>
      <c r="BT153" s="88">
        <v>2103.1563250766362</v>
      </c>
      <c r="BU153" s="88">
        <v>2102.6483050847401</v>
      </c>
      <c r="BV153" s="88">
        <v>2102.141309919476</v>
      </c>
      <c r="BW153" s="88">
        <v>800.00000000000068</v>
      </c>
      <c r="BX153" s="88">
        <v>0</v>
      </c>
      <c r="BY153" s="88">
        <v>0</v>
      </c>
      <c r="BZ153" s="88">
        <v>0</v>
      </c>
      <c r="CA153" s="88">
        <v>0</v>
      </c>
      <c r="CB153" s="88">
        <v>1600.0000000000009</v>
      </c>
      <c r="CC153" s="88">
        <v>1600.0000000000009</v>
      </c>
      <c r="CD153" s="88">
        <v>1600.0000000000009</v>
      </c>
      <c r="CE153" s="88">
        <v>1600.0000000000009</v>
      </c>
      <c r="CF153" s="88">
        <v>1600.0000000000009</v>
      </c>
      <c r="CG153" s="88">
        <v>1600.0000000000009</v>
      </c>
      <c r="CH153" s="88">
        <v>1600.0000000000009</v>
      </c>
      <c r="CI153" s="88">
        <v>40000</v>
      </c>
      <c r="CJ153" s="88">
        <v>40000</v>
      </c>
      <c r="CK153" s="88">
        <v>40000</v>
      </c>
      <c r="CL153" s="88">
        <v>40000</v>
      </c>
      <c r="CM153" s="88">
        <v>40000</v>
      </c>
      <c r="CN153" s="88">
        <v>40000</v>
      </c>
      <c r="CO153" s="88">
        <v>40000</v>
      </c>
      <c r="CP153" s="88">
        <v>40000</v>
      </c>
      <c r="CQ153" s="88">
        <v>40000</v>
      </c>
      <c r="CR153" s="88">
        <v>40000</v>
      </c>
      <c r="CS153" s="88">
        <v>40000</v>
      </c>
      <c r="CT153" s="88">
        <v>40000</v>
      </c>
      <c r="CU153" s="88">
        <v>488.22083632898313</v>
      </c>
      <c r="CV153" s="88">
        <v>487.73969399345418</v>
      </c>
      <c r="CW153" s="88">
        <v>487.25949905717772</v>
      </c>
      <c r="CX153" s="88">
        <v>486.76401947055581</v>
      </c>
      <c r="CY153" s="88">
        <v>486.26954653699698</v>
      </c>
      <c r="CZ153" s="88">
        <v>485.77607719181509</v>
      </c>
      <c r="DA153" s="88">
        <v>485.28360838276723</v>
      </c>
      <c r="DB153" s="88">
        <v>484.78408845649142</v>
      </c>
      <c r="DC153" s="88">
        <v>484.29362789000231</v>
      </c>
      <c r="DD153" s="88">
        <v>483.80415872752991</v>
      </c>
      <c r="DE153" s="88">
        <v>483.31567796609852</v>
      </c>
      <c r="DF153" s="88">
        <v>482.82818261488279</v>
      </c>
      <c r="DG153" s="93">
        <v>46054</v>
      </c>
      <c r="DH153" s="91">
        <v>0.02</v>
      </c>
      <c r="DI153" t="s">
        <v>301</v>
      </c>
      <c r="DJ153" s="93">
        <v>46539</v>
      </c>
      <c r="DK153" s="91">
        <v>0.04</v>
      </c>
      <c r="DL153" t="s">
        <v>302</v>
      </c>
      <c r="DM153" s="93"/>
      <c r="DN153" s="91"/>
      <c r="DP153" s="93"/>
      <c r="DQ153" s="91"/>
    </row>
    <row r="154" spans="1:121" x14ac:dyDescent="0.3">
      <c r="A154" t="s">
        <v>26</v>
      </c>
      <c r="B154" t="s">
        <v>45</v>
      </c>
      <c r="C154" t="s">
        <v>58</v>
      </c>
      <c r="D154" t="s">
        <v>353</v>
      </c>
      <c r="E154" t="s">
        <v>517</v>
      </c>
      <c r="F154" s="86">
        <v>92000</v>
      </c>
      <c r="G154" s="87">
        <v>12</v>
      </c>
      <c r="H154" s="88">
        <v>1</v>
      </c>
      <c r="I154" s="88">
        <v>1</v>
      </c>
      <c r="J154" s="89">
        <v>0.98900209700948194</v>
      </c>
      <c r="K154" s="88">
        <v>1</v>
      </c>
      <c r="L154" s="88">
        <v>1.011120201892163</v>
      </c>
      <c r="M154" s="88">
        <v>1</v>
      </c>
      <c r="N154" s="90">
        <v>0.68400000000000005</v>
      </c>
      <c r="O154" s="90">
        <v>0.6916062180942395</v>
      </c>
      <c r="P154" s="90">
        <v>0.69394293806686047</v>
      </c>
      <c r="Q154" s="91">
        <v>0</v>
      </c>
      <c r="R154" s="88">
        <v>1</v>
      </c>
      <c r="S154" s="88">
        <v>1.0145364591620769</v>
      </c>
      <c r="T154" s="91">
        <v>0</v>
      </c>
      <c r="U154" s="91">
        <v>0</v>
      </c>
      <c r="V154" s="87">
        <v>0</v>
      </c>
      <c r="W154" s="91">
        <v>0</v>
      </c>
      <c r="X154" s="87">
        <v>1</v>
      </c>
      <c r="Y154" s="90">
        <v>0.6916062180942395</v>
      </c>
      <c r="Z154" s="90">
        <v>0.69394293806686047</v>
      </c>
      <c r="AA154" s="92">
        <v>0</v>
      </c>
      <c r="AB154" s="88">
        <v>0</v>
      </c>
      <c r="AC154" s="87">
        <v>0</v>
      </c>
      <c r="AD154" s="87">
        <v>0</v>
      </c>
      <c r="AE154" s="88">
        <v>1</v>
      </c>
      <c r="AF154" s="88">
        <v>0.99597028697853884</v>
      </c>
      <c r="AG154" s="88">
        <v>0.99597028697853884</v>
      </c>
      <c r="AH154" s="88">
        <v>92000</v>
      </c>
      <c r="AI154" s="88">
        <v>92000</v>
      </c>
      <c r="AJ154" s="88">
        <v>90988.192924872332</v>
      </c>
      <c r="AK154" s="88">
        <v>92000</v>
      </c>
      <c r="AL154" s="88">
        <v>93023.058574078997</v>
      </c>
      <c r="AM154" s="88">
        <v>92000</v>
      </c>
      <c r="AN154" s="88">
        <v>62928.000000000007</v>
      </c>
      <c r="AO154" s="88">
        <v>63627.772064670033</v>
      </c>
      <c r="AP154" s="88">
        <v>63842.750302151173</v>
      </c>
      <c r="AQ154" s="88">
        <v>0</v>
      </c>
      <c r="AR154" s="88">
        <v>92000</v>
      </c>
      <c r="AS154" s="88">
        <v>93337.354242911053</v>
      </c>
      <c r="AT154" s="88">
        <v>63627.772064670033</v>
      </c>
      <c r="AU154" s="88">
        <v>63842.750302151173</v>
      </c>
      <c r="AV154" s="88">
        <v>92000</v>
      </c>
      <c r="AW154" s="88">
        <v>91080</v>
      </c>
      <c r="AX154" s="88">
        <v>90620</v>
      </c>
      <c r="AY154" s="88">
        <v>92000</v>
      </c>
      <c r="AZ154" s="88">
        <v>92000</v>
      </c>
      <c r="BA154" s="88">
        <v>92000</v>
      </c>
      <c r="BB154" s="88">
        <v>92000</v>
      </c>
      <c r="BC154" s="88">
        <v>92000</v>
      </c>
      <c r="BD154" s="88">
        <v>92000</v>
      </c>
      <c r="BE154" s="88">
        <v>92000</v>
      </c>
      <c r="BF154" s="88">
        <v>92000</v>
      </c>
      <c r="BG154" s="88">
        <v>92000</v>
      </c>
      <c r="BH154" s="88">
        <v>92000</v>
      </c>
      <c r="BI154" s="88">
        <v>92000</v>
      </c>
      <c r="BJ154" s="88">
        <v>92000</v>
      </c>
      <c r="BK154" s="88">
        <v>-370.05405345837562</v>
      </c>
      <c r="BL154" s="88">
        <v>-370.17439425006103</v>
      </c>
      <c r="BM154" s="88">
        <v>-370.29481333634533</v>
      </c>
      <c r="BN154" s="88">
        <v>-370.41939682749802</v>
      </c>
      <c r="BO154" s="88">
        <v>-370.54406417760958</v>
      </c>
      <c r="BP154" s="88">
        <v>-370.66881547139548</v>
      </c>
      <c r="BQ154" s="88">
        <v>-370.79365079365272</v>
      </c>
      <c r="BR154" s="88">
        <v>-370.92061879014659</v>
      </c>
      <c r="BS154" s="88">
        <v>-371.04562380526971</v>
      </c>
      <c r="BT154" s="88">
        <v>-371.17071310537978</v>
      </c>
      <c r="BU154" s="88">
        <v>-371.2958867757643</v>
      </c>
      <c r="BV154" s="88">
        <v>-371.42114490180228</v>
      </c>
      <c r="BW154" s="88">
        <v>0</v>
      </c>
      <c r="BX154" s="88">
        <v>0</v>
      </c>
      <c r="BY154" s="88">
        <v>0</v>
      </c>
      <c r="BZ154" s="88">
        <v>0</v>
      </c>
      <c r="CA154" s="88">
        <v>0</v>
      </c>
      <c r="CB154" s="88">
        <v>0</v>
      </c>
      <c r="CC154" s="88">
        <v>0</v>
      </c>
      <c r="CD154" s="88">
        <v>0</v>
      </c>
      <c r="CE154" s="88">
        <v>0</v>
      </c>
      <c r="CF154" s="88">
        <v>0</v>
      </c>
      <c r="CG154" s="88">
        <v>0</v>
      </c>
      <c r="CH154" s="88">
        <v>0</v>
      </c>
      <c r="CI154" s="88">
        <v>92000</v>
      </c>
      <c r="CJ154" s="88">
        <v>92000</v>
      </c>
      <c r="CK154" s="88">
        <v>92000</v>
      </c>
      <c r="CL154" s="88">
        <v>92000</v>
      </c>
      <c r="CM154" s="88">
        <v>92000</v>
      </c>
      <c r="CN154" s="88">
        <v>92000</v>
      </c>
      <c r="CO154" s="88">
        <v>92000</v>
      </c>
      <c r="CP154" s="88">
        <v>92000</v>
      </c>
      <c r="CQ154" s="88">
        <v>92000</v>
      </c>
      <c r="CR154" s="88">
        <v>92000</v>
      </c>
      <c r="CS154" s="88">
        <v>92000</v>
      </c>
      <c r="CT154" s="88">
        <v>92000</v>
      </c>
      <c r="CU154" s="88">
        <v>-370.05405345837562</v>
      </c>
      <c r="CV154" s="88">
        <v>-370.17439425006103</v>
      </c>
      <c r="CW154" s="88">
        <v>-370.29481333634533</v>
      </c>
      <c r="CX154" s="88">
        <v>-370.41939682749802</v>
      </c>
      <c r="CY154" s="88">
        <v>-370.54406417760958</v>
      </c>
      <c r="CZ154" s="88">
        <v>-370.66881547139548</v>
      </c>
      <c r="DA154" s="88">
        <v>-370.79365079365272</v>
      </c>
      <c r="DB154" s="88">
        <v>-370.92061879014659</v>
      </c>
      <c r="DC154" s="88">
        <v>-371.04562380526971</v>
      </c>
      <c r="DD154" s="88">
        <v>-371.17071310537978</v>
      </c>
      <c r="DE154" s="88">
        <v>-371.2958867757643</v>
      </c>
      <c r="DF154" s="88">
        <v>-371.42114490180228</v>
      </c>
      <c r="DG154" s="93"/>
      <c r="DH154" s="91"/>
      <c r="DJ154" s="93"/>
      <c r="DK154" s="91"/>
      <c r="DM154" s="93"/>
      <c r="DN154" s="91"/>
      <c r="DP154" s="93"/>
      <c r="DQ154" s="91"/>
    </row>
    <row r="155" spans="1:121" x14ac:dyDescent="0.3">
      <c r="A155" t="s">
        <v>26</v>
      </c>
      <c r="B155" t="s">
        <v>45</v>
      </c>
      <c r="C155" t="s">
        <v>65</v>
      </c>
      <c r="D155" t="s">
        <v>355</v>
      </c>
      <c r="E155" t="s">
        <v>518</v>
      </c>
      <c r="F155" s="86">
        <v>76000</v>
      </c>
      <c r="G155" s="87">
        <v>12</v>
      </c>
      <c r="H155" s="88">
        <v>1.04</v>
      </c>
      <c r="I155" s="88">
        <v>1.0387500000000001</v>
      </c>
      <c r="J155" s="89">
        <v>0.99199580598103554</v>
      </c>
      <c r="K155" s="88">
        <v>1.001203369434416</v>
      </c>
      <c r="L155" s="88">
        <v>1.008068778084247</v>
      </c>
      <c r="M155" s="88">
        <v>1</v>
      </c>
      <c r="N155" s="90">
        <v>0.66800000000000004</v>
      </c>
      <c r="O155" s="90">
        <v>0.6742002806360412</v>
      </c>
      <c r="P155" s="90">
        <v>0.66889876156005412</v>
      </c>
      <c r="Q155" s="91">
        <v>0</v>
      </c>
      <c r="R155" s="88">
        <v>0.99999999999999978</v>
      </c>
      <c r="S155" s="88">
        <v>1.0013454514372071</v>
      </c>
      <c r="T155" s="91">
        <v>-1.2019230769230169E-3</v>
      </c>
      <c r="U155" s="91">
        <v>1.2033694344164569E-3</v>
      </c>
      <c r="V155" s="87">
        <v>0</v>
      </c>
      <c r="W155" s="91">
        <v>0</v>
      </c>
      <c r="X155" s="87">
        <v>1</v>
      </c>
      <c r="Y155" s="90">
        <v>0.6742002806360412</v>
      </c>
      <c r="Z155" s="90">
        <v>0.66889876156005412</v>
      </c>
      <c r="AA155" s="92">
        <v>0</v>
      </c>
      <c r="AB155" s="88">
        <v>0</v>
      </c>
      <c r="AC155" s="87">
        <v>1</v>
      </c>
      <c r="AD155" s="87">
        <v>0</v>
      </c>
      <c r="AE155" s="88">
        <v>1.01</v>
      </c>
      <c r="AF155" s="88">
        <v>1.0080839018517109</v>
      </c>
      <c r="AG155" s="88">
        <v>1.01816498595801</v>
      </c>
      <c r="AH155" s="88">
        <v>79040</v>
      </c>
      <c r="AI155" s="88">
        <v>78945</v>
      </c>
      <c r="AJ155" s="88">
        <v>75391.681254558702</v>
      </c>
      <c r="AK155" s="88">
        <v>76091.456077015639</v>
      </c>
      <c r="AL155" s="88">
        <v>76613.227134402754</v>
      </c>
      <c r="AM155" s="88">
        <v>76000</v>
      </c>
      <c r="AN155" s="88">
        <v>50768</v>
      </c>
      <c r="AO155" s="88">
        <v>51239.221328339132</v>
      </c>
      <c r="AP155" s="88">
        <v>50836.305878564111</v>
      </c>
      <c r="AQ155" s="88">
        <v>0</v>
      </c>
      <c r="AR155" s="88">
        <v>75999.999999999985</v>
      </c>
      <c r="AS155" s="88">
        <v>76102.254309227719</v>
      </c>
      <c r="AT155" s="88">
        <v>51239.221328339132</v>
      </c>
      <c r="AU155" s="88">
        <v>50836.305878564111</v>
      </c>
      <c r="AV155" s="88">
        <v>76000</v>
      </c>
      <c r="AW155" s="88">
        <v>75240</v>
      </c>
      <c r="AX155" s="88">
        <v>76000</v>
      </c>
      <c r="AY155" s="88">
        <v>76000</v>
      </c>
      <c r="AZ155" s="88">
        <v>76000</v>
      </c>
      <c r="BA155" s="88">
        <v>76000</v>
      </c>
      <c r="BB155" s="88">
        <v>76000</v>
      </c>
      <c r="BC155" s="88">
        <v>76000</v>
      </c>
      <c r="BD155" s="88">
        <v>76000</v>
      </c>
      <c r="BE155" s="88">
        <v>76000</v>
      </c>
      <c r="BF155" s="88">
        <v>76000</v>
      </c>
      <c r="BG155" s="88">
        <v>76000</v>
      </c>
      <c r="BH155" s="88">
        <v>76000</v>
      </c>
      <c r="BI155" s="88">
        <v>76000</v>
      </c>
      <c r="BJ155" s="88">
        <v>76000</v>
      </c>
      <c r="BK155" s="88">
        <v>3681.3088661902129</v>
      </c>
      <c r="BL155" s="88">
        <v>3680.888592691329</v>
      </c>
      <c r="BM155" s="88">
        <v>3680.4688696733178</v>
      </c>
      <c r="BN155" s="88">
        <v>615.41874653354785</v>
      </c>
      <c r="BO155" s="88">
        <v>615.00260500381819</v>
      </c>
      <c r="BP155" s="88">
        <v>614.58702587734138</v>
      </c>
      <c r="BQ155" s="88">
        <v>614.17200801479237</v>
      </c>
      <c r="BR155" s="88">
        <v>613.7507605509187</v>
      </c>
      <c r="BS155" s="88">
        <v>613.33687096489427</v>
      </c>
      <c r="BT155" s="88">
        <v>612.92353922468749</v>
      </c>
      <c r="BU155" s="88">
        <v>612.51076420322454</v>
      </c>
      <c r="BV155" s="88">
        <v>612.09854477653721</v>
      </c>
      <c r="BW155" s="88">
        <v>3040.0000000000032</v>
      </c>
      <c r="BX155" s="88">
        <v>3040.0000000000032</v>
      </c>
      <c r="BY155" s="88">
        <v>3040.0000000000032</v>
      </c>
      <c r="BZ155" s="88">
        <v>0</v>
      </c>
      <c r="CA155" s="88">
        <v>0</v>
      </c>
      <c r="CB155" s="88">
        <v>0</v>
      </c>
      <c r="CC155" s="88">
        <v>0</v>
      </c>
      <c r="CD155" s="88">
        <v>0</v>
      </c>
      <c r="CE155" s="88">
        <v>0</v>
      </c>
      <c r="CF155" s="88">
        <v>0</v>
      </c>
      <c r="CG155" s="88">
        <v>0</v>
      </c>
      <c r="CH155" s="88">
        <v>0</v>
      </c>
      <c r="CI155" s="88">
        <v>76000</v>
      </c>
      <c r="CJ155" s="88">
        <v>76000</v>
      </c>
      <c r="CK155" s="88">
        <v>76000</v>
      </c>
      <c r="CL155" s="88">
        <v>76000</v>
      </c>
      <c r="CM155" s="88">
        <v>76000</v>
      </c>
      <c r="CN155" s="88">
        <v>76000</v>
      </c>
      <c r="CO155" s="88">
        <v>76000</v>
      </c>
      <c r="CP155" s="88">
        <v>76000</v>
      </c>
      <c r="CQ155" s="88">
        <v>76000</v>
      </c>
      <c r="CR155" s="88">
        <v>76000</v>
      </c>
      <c r="CS155" s="88">
        <v>76000</v>
      </c>
      <c r="CT155" s="88">
        <v>76000</v>
      </c>
      <c r="CU155" s="88">
        <v>616.64314056751482</v>
      </c>
      <c r="CV155" s="88">
        <v>616.23903143396058</v>
      </c>
      <c r="CW155" s="88">
        <v>615.83545160896062</v>
      </c>
      <c r="CX155" s="88">
        <v>615.41874653354785</v>
      </c>
      <c r="CY155" s="88">
        <v>615.00260500381819</v>
      </c>
      <c r="CZ155" s="88">
        <v>614.58702587734138</v>
      </c>
      <c r="DA155" s="88">
        <v>614.17200801479237</v>
      </c>
      <c r="DB155" s="88">
        <v>613.7507605509187</v>
      </c>
      <c r="DC155" s="88">
        <v>613.33687096489427</v>
      </c>
      <c r="DD155" s="88">
        <v>612.92353922468749</v>
      </c>
      <c r="DE155" s="88">
        <v>612.51076420322454</v>
      </c>
      <c r="DF155" s="88">
        <v>612.09854477653721</v>
      </c>
      <c r="DG155" s="93">
        <v>46113</v>
      </c>
      <c r="DH155" s="91">
        <v>0.04</v>
      </c>
      <c r="DI155" t="s">
        <v>301</v>
      </c>
      <c r="DJ155" s="93"/>
      <c r="DK155" s="91"/>
      <c r="DM155" s="93"/>
      <c r="DN155" s="91"/>
      <c r="DP155" s="93"/>
      <c r="DQ155" s="91"/>
    </row>
    <row r="156" spans="1:121" x14ac:dyDescent="0.3">
      <c r="A156" t="s">
        <v>26</v>
      </c>
      <c r="B156" t="s">
        <v>45</v>
      </c>
      <c r="C156" t="s">
        <v>66</v>
      </c>
      <c r="D156" t="s">
        <v>357</v>
      </c>
      <c r="E156" t="s">
        <v>519</v>
      </c>
      <c r="F156" s="86">
        <v>60000</v>
      </c>
      <c r="G156" s="87">
        <v>12</v>
      </c>
      <c r="H156" s="88">
        <v>1.05</v>
      </c>
      <c r="I156" s="88">
        <v>1.0472222222222221</v>
      </c>
      <c r="J156" s="89">
        <v>0.98800419401896411</v>
      </c>
      <c r="K156" s="88">
        <v>1.0026525198938989</v>
      </c>
      <c r="L156" s="88">
        <v>1.012141452489427</v>
      </c>
      <c r="M156" s="88">
        <v>1</v>
      </c>
      <c r="N156" s="90">
        <v>0.69599999999999995</v>
      </c>
      <c r="O156" s="90">
        <v>0.70631901976800626</v>
      </c>
      <c r="P156" s="90">
        <v>0.70923167895144423</v>
      </c>
      <c r="Q156" s="91">
        <v>0</v>
      </c>
      <c r="R156" s="88">
        <v>1</v>
      </c>
      <c r="S156" s="88">
        <v>1.019011032976213</v>
      </c>
      <c r="T156" s="91">
        <v>-2.6455026455026731E-3</v>
      </c>
      <c r="U156" s="91">
        <v>2.6525198938991408E-3</v>
      </c>
      <c r="V156" s="87">
        <v>0</v>
      </c>
      <c r="W156" s="91">
        <v>0</v>
      </c>
      <c r="X156" s="87">
        <v>1</v>
      </c>
      <c r="Y156" s="90">
        <v>0.70631901976800626</v>
      </c>
      <c r="Z156" s="90">
        <v>0.70923167895144423</v>
      </c>
      <c r="AA156" s="92">
        <v>0</v>
      </c>
      <c r="AB156" s="88">
        <v>0</v>
      </c>
      <c r="AC156" s="87">
        <v>1</v>
      </c>
      <c r="AD156" s="87">
        <v>0</v>
      </c>
      <c r="AE156" s="88">
        <v>1.0166666666666671</v>
      </c>
      <c r="AF156" s="88">
        <v>0.99194865631796525</v>
      </c>
      <c r="AG156" s="88">
        <v>1.008481493861926</v>
      </c>
      <c r="AH156" s="88">
        <v>63000</v>
      </c>
      <c r="AI156" s="88">
        <v>62833.333333333343</v>
      </c>
      <c r="AJ156" s="88">
        <v>59280.251641137853</v>
      </c>
      <c r="AK156" s="88">
        <v>60159.151193633952</v>
      </c>
      <c r="AL156" s="88">
        <v>60728.487149365617</v>
      </c>
      <c r="AM156" s="88">
        <v>60000</v>
      </c>
      <c r="AN156" s="88">
        <v>41760</v>
      </c>
      <c r="AO156" s="88">
        <v>42379.141186080378</v>
      </c>
      <c r="AP156" s="88">
        <v>42553.900737086653</v>
      </c>
      <c r="AQ156" s="88">
        <v>0</v>
      </c>
      <c r="AR156" s="88">
        <v>60000</v>
      </c>
      <c r="AS156" s="88">
        <v>61140.661978572782</v>
      </c>
      <c r="AT156" s="88">
        <v>42379.141186080378</v>
      </c>
      <c r="AU156" s="88">
        <v>42553.900737086653</v>
      </c>
      <c r="AV156" s="88">
        <v>60000</v>
      </c>
      <c r="AW156" s="88">
        <v>59400</v>
      </c>
      <c r="AX156" s="88">
        <v>58800</v>
      </c>
      <c r="AY156" s="88">
        <v>60000</v>
      </c>
      <c r="AZ156" s="88">
        <v>60000</v>
      </c>
      <c r="BA156" s="88">
        <v>60000</v>
      </c>
      <c r="BB156" s="88">
        <v>60000</v>
      </c>
      <c r="BC156" s="88">
        <v>60000</v>
      </c>
      <c r="BD156" s="88">
        <v>60000</v>
      </c>
      <c r="BE156" s="88">
        <v>60000</v>
      </c>
      <c r="BF156" s="88">
        <v>60000</v>
      </c>
      <c r="BG156" s="88">
        <v>60000</v>
      </c>
      <c r="BH156" s="88">
        <v>60000</v>
      </c>
      <c r="BI156" s="88">
        <v>60000</v>
      </c>
      <c r="BJ156" s="88">
        <v>60000</v>
      </c>
      <c r="BK156" s="88">
        <v>2494.620938231451</v>
      </c>
      <c r="BL156" s="88">
        <v>2494.2930659101448</v>
      </c>
      <c r="BM156" s="88">
        <v>2493.9647678883898</v>
      </c>
      <c r="BN156" s="88">
        <v>2493.624892647159</v>
      </c>
      <c r="BO156" s="88">
        <v>-482.58613281034758</v>
      </c>
      <c r="BP156" s="88">
        <v>-482.91069459757358</v>
      </c>
      <c r="BQ156" s="88">
        <v>-483.23569324462801</v>
      </c>
      <c r="BR156" s="88">
        <v>-483.56646830873382</v>
      </c>
      <c r="BS156" s="88">
        <v>-483.8923505236603</v>
      </c>
      <c r="BT156" s="88">
        <v>-484.21867226798639</v>
      </c>
      <c r="BU156" s="88">
        <v>-484.54543443148702</v>
      </c>
      <c r="BV156" s="88">
        <v>-484.87263790641498</v>
      </c>
      <c r="BW156" s="88">
        <v>3000.0000000000032</v>
      </c>
      <c r="BX156" s="88">
        <v>3000.0000000000032</v>
      </c>
      <c r="BY156" s="88">
        <v>3000.0000000000032</v>
      </c>
      <c r="BZ156" s="88">
        <v>3000.0000000000032</v>
      </c>
      <c r="CA156" s="88">
        <v>0</v>
      </c>
      <c r="CB156" s="88">
        <v>0</v>
      </c>
      <c r="CC156" s="88">
        <v>0</v>
      </c>
      <c r="CD156" s="88">
        <v>0</v>
      </c>
      <c r="CE156" s="88">
        <v>0</v>
      </c>
      <c r="CF156" s="88">
        <v>0</v>
      </c>
      <c r="CG156" s="88">
        <v>0</v>
      </c>
      <c r="CH156" s="88">
        <v>0</v>
      </c>
      <c r="CI156" s="88">
        <v>60000</v>
      </c>
      <c r="CJ156" s="88">
        <v>60000</v>
      </c>
      <c r="CK156" s="88">
        <v>60000</v>
      </c>
      <c r="CL156" s="88">
        <v>60000</v>
      </c>
      <c r="CM156" s="88">
        <v>60000</v>
      </c>
      <c r="CN156" s="88">
        <v>60000</v>
      </c>
      <c r="CO156" s="88">
        <v>60000</v>
      </c>
      <c r="CP156" s="88">
        <v>60000</v>
      </c>
      <c r="CQ156" s="88">
        <v>60000</v>
      </c>
      <c r="CR156" s="88">
        <v>60000</v>
      </c>
      <c r="CS156" s="88">
        <v>60000</v>
      </c>
      <c r="CT156" s="88">
        <v>60000</v>
      </c>
      <c r="CU156" s="88">
        <v>-481.31339216052282</v>
      </c>
      <c r="CV156" s="88">
        <v>-481.62565151415038</v>
      </c>
      <c r="CW156" s="88">
        <v>-481.93831629677499</v>
      </c>
      <c r="CX156" s="88">
        <v>-482.26200700270732</v>
      </c>
      <c r="CY156" s="88">
        <v>-482.58613281034758</v>
      </c>
      <c r="CZ156" s="88">
        <v>-482.91069459757358</v>
      </c>
      <c r="DA156" s="88">
        <v>-483.23569324462801</v>
      </c>
      <c r="DB156" s="88">
        <v>-483.56646830873382</v>
      </c>
      <c r="DC156" s="88">
        <v>-483.8923505236603</v>
      </c>
      <c r="DD156" s="88">
        <v>-484.21867226798639</v>
      </c>
      <c r="DE156" s="88">
        <v>-484.54543443148702</v>
      </c>
      <c r="DF156" s="88">
        <v>-484.87263790641498</v>
      </c>
      <c r="DG156" s="93">
        <v>46143</v>
      </c>
      <c r="DH156" s="91">
        <v>0.05</v>
      </c>
      <c r="DI156" t="s">
        <v>301</v>
      </c>
      <c r="DJ156" s="93"/>
      <c r="DK156" s="91"/>
      <c r="DM156" s="93"/>
      <c r="DN156" s="91"/>
      <c r="DP156" s="93"/>
      <c r="DQ156" s="91"/>
    </row>
    <row r="157" spans="1:121" x14ac:dyDescent="0.3">
      <c r="A157" t="s">
        <v>26</v>
      </c>
      <c r="B157" t="s">
        <v>45</v>
      </c>
      <c r="C157" t="s">
        <v>67</v>
      </c>
      <c r="D157" t="s">
        <v>359</v>
      </c>
      <c r="E157" t="s">
        <v>520</v>
      </c>
      <c r="F157" s="86">
        <v>44000</v>
      </c>
      <c r="G157" s="87">
        <v>12</v>
      </c>
      <c r="H157" s="88">
        <v>1</v>
      </c>
      <c r="I157" s="88">
        <v>1.00125</v>
      </c>
      <c r="J157" s="89">
        <v>0.99099790299051793</v>
      </c>
      <c r="K157" s="88">
        <v>0.99875156054931336</v>
      </c>
      <c r="L157" s="88">
        <v>1.009083870896514</v>
      </c>
      <c r="M157" s="88">
        <v>1</v>
      </c>
      <c r="N157" s="90">
        <v>0.68</v>
      </c>
      <c r="O157" s="90">
        <v>0.68532038173246401</v>
      </c>
      <c r="P157" s="90">
        <v>0.66476679360133428</v>
      </c>
      <c r="Q157" s="91">
        <v>0</v>
      </c>
      <c r="R157" s="88">
        <v>0.97205346294046169</v>
      </c>
      <c r="S157" s="88">
        <v>1.005704174878489</v>
      </c>
      <c r="T157" s="91">
        <v>1.2499999999999729E-3</v>
      </c>
      <c r="U157" s="91">
        <v>2.7465667915106181E-2</v>
      </c>
      <c r="V157" s="87">
        <v>0</v>
      </c>
      <c r="W157" s="91">
        <v>0</v>
      </c>
      <c r="X157" s="87">
        <v>1</v>
      </c>
      <c r="Y157" s="90">
        <v>0.68532038173246401</v>
      </c>
      <c r="Z157" s="90">
        <v>0.66476679360133428</v>
      </c>
      <c r="AA157" s="92">
        <v>0</v>
      </c>
      <c r="AB157" s="88">
        <v>0</v>
      </c>
      <c r="AC157" s="87">
        <v>0</v>
      </c>
      <c r="AD157" s="87">
        <v>1</v>
      </c>
      <c r="AE157" s="88">
        <v>1.01</v>
      </c>
      <c r="AF157" s="88">
        <v>1.004037852440528</v>
      </c>
      <c r="AG157" s="88">
        <v>1.014078169679473</v>
      </c>
      <c r="AH157" s="88">
        <v>44000</v>
      </c>
      <c r="AI157" s="88">
        <v>44055</v>
      </c>
      <c r="AJ157" s="88">
        <v>43603.907731582789</v>
      </c>
      <c r="AK157" s="88">
        <v>43945.06866416979</v>
      </c>
      <c r="AL157" s="88">
        <v>44399.690319446621</v>
      </c>
      <c r="AM157" s="88">
        <v>44000</v>
      </c>
      <c r="AN157" s="88">
        <v>29920</v>
      </c>
      <c r="AO157" s="88">
        <v>30154.096796228419</v>
      </c>
      <c r="AP157" s="88">
        <v>29249.738918458708</v>
      </c>
      <c r="AQ157" s="88">
        <v>0</v>
      </c>
      <c r="AR157" s="88">
        <v>42770.352369380307</v>
      </c>
      <c r="AS157" s="88">
        <v>44250.983694653522</v>
      </c>
      <c r="AT157" s="88">
        <v>30154.096796228419</v>
      </c>
      <c r="AU157" s="88">
        <v>29249.738918458708</v>
      </c>
      <c r="AV157" s="88">
        <v>44000</v>
      </c>
      <c r="AW157" s="88">
        <v>43560</v>
      </c>
      <c r="AX157" s="88">
        <v>43780</v>
      </c>
      <c r="AY157" s="88">
        <v>44000</v>
      </c>
      <c r="AZ157" s="88">
        <v>44000</v>
      </c>
      <c r="BA157" s="88">
        <v>44000</v>
      </c>
      <c r="BB157" s="88">
        <v>44000</v>
      </c>
      <c r="BC157" s="88">
        <v>44000</v>
      </c>
      <c r="BD157" s="88">
        <v>44000</v>
      </c>
      <c r="BE157" s="88">
        <v>44000</v>
      </c>
      <c r="BF157" s="88">
        <v>44000</v>
      </c>
      <c r="BG157" s="88">
        <v>44000</v>
      </c>
      <c r="BH157" s="88">
        <v>44000</v>
      </c>
      <c r="BI157" s="88">
        <v>44000</v>
      </c>
      <c r="BJ157" s="88">
        <v>44000</v>
      </c>
      <c r="BK157" s="88">
        <v>177.9925411593872</v>
      </c>
      <c r="BL157" s="88">
        <v>177.93436592877839</v>
      </c>
      <c r="BM157" s="88">
        <v>177.87622871382689</v>
      </c>
      <c r="BN157" s="88">
        <v>177.8161606767172</v>
      </c>
      <c r="BO157" s="88">
        <v>177.7561331953477</v>
      </c>
      <c r="BP157" s="88">
        <v>177.69614622865501</v>
      </c>
      <c r="BQ157" s="88">
        <v>177.6361997356446</v>
      </c>
      <c r="BR157" s="88">
        <v>177.57531194542511</v>
      </c>
      <c r="BS157" s="88">
        <v>177.5154469387976</v>
      </c>
      <c r="BT157" s="88">
        <v>1944.553847173805</v>
      </c>
      <c r="BU157" s="88">
        <v>1944.491671453183</v>
      </c>
      <c r="BV157" s="88">
        <v>1944.4295376121511</v>
      </c>
      <c r="BW157" s="88">
        <v>0</v>
      </c>
      <c r="BX157" s="88">
        <v>0</v>
      </c>
      <c r="BY157" s="88">
        <v>0</v>
      </c>
      <c r="BZ157" s="88">
        <v>0</v>
      </c>
      <c r="CA157" s="88">
        <v>0</v>
      </c>
      <c r="CB157" s="88">
        <v>0</v>
      </c>
      <c r="CC157" s="88">
        <v>0</v>
      </c>
      <c r="CD157" s="88">
        <v>0</v>
      </c>
      <c r="CE157" s="88">
        <v>0</v>
      </c>
      <c r="CF157" s="88">
        <v>1760.000000000002</v>
      </c>
      <c r="CG157" s="88">
        <v>1760.000000000002</v>
      </c>
      <c r="CH157" s="88">
        <v>1760.000000000002</v>
      </c>
      <c r="CI157" s="88">
        <v>44000</v>
      </c>
      <c r="CJ157" s="88">
        <v>44000</v>
      </c>
      <c r="CK157" s="88">
        <v>44000</v>
      </c>
      <c r="CL157" s="88">
        <v>44000</v>
      </c>
      <c r="CM157" s="88">
        <v>44000</v>
      </c>
      <c r="CN157" s="88">
        <v>44000</v>
      </c>
      <c r="CO157" s="88">
        <v>44000</v>
      </c>
      <c r="CP157" s="88">
        <v>44000</v>
      </c>
      <c r="CQ157" s="88">
        <v>44000</v>
      </c>
      <c r="CR157" s="88">
        <v>44000</v>
      </c>
      <c r="CS157" s="88">
        <v>44000</v>
      </c>
      <c r="CT157" s="88">
        <v>44000</v>
      </c>
      <c r="CU157" s="88">
        <v>177.9925411593872</v>
      </c>
      <c r="CV157" s="88">
        <v>177.93436592877839</v>
      </c>
      <c r="CW157" s="88">
        <v>177.87622871382689</v>
      </c>
      <c r="CX157" s="88">
        <v>177.8161606767172</v>
      </c>
      <c r="CY157" s="88">
        <v>177.7561331953477</v>
      </c>
      <c r="CZ157" s="88">
        <v>177.69614622865501</v>
      </c>
      <c r="DA157" s="88">
        <v>177.6361997356446</v>
      </c>
      <c r="DB157" s="88">
        <v>177.57531194542511</v>
      </c>
      <c r="DC157" s="88">
        <v>177.5154469387976</v>
      </c>
      <c r="DD157" s="88">
        <v>177.4556222825066</v>
      </c>
      <c r="DE157" s="88">
        <v>177.3958379357525</v>
      </c>
      <c r="DF157" s="88">
        <v>177.3360938578339</v>
      </c>
      <c r="DG157" s="93">
        <v>46661</v>
      </c>
      <c r="DH157" s="91">
        <v>0.04</v>
      </c>
      <c r="DI157" t="s">
        <v>302</v>
      </c>
      <c r="DJ157" s="93"/>
      <c r="DK157" s="91"/>
      <c r="DM157" s="93"/>
      <c r="DN157" s="91"/>
      <c r="DP157" s="93"/>
      <c r="DQ157" s="91"/>
    </row>
    <row r="158" spans="1:121" x14ac:dyDescent="0.3">
      <c r="A158" t="s">
        <v>26</v>
      </c>
      <c r="B158" t="s">
        <v>45</v>
      </c>
      <c r="C158" t="s">
        <v>73</v>
      </c>
      <c r="D158" t="s">
        <v>361</v>
      </c>
      <c r="E158" t="s">
        <v>521</v>
      </c>
      <c r="F158" s="86">
        <v>96000</v>
      </c>
      <c r="G158" s="87">
        <v>12</v>
      </c>
      <c r="H158" s="88">
        <v>1.02</v>
      </c>
      <c r="I158" s="88">
        <v>1.0175000000000001</v>
      </c>
      <c r="J158" s="89">
        <v>0.99399161196207142</v>
      </c>
      <c r="K158" s="88">
        <v>1.002457002457003</v>
      </c>
      <c r="L158" s="88">
        <v>1.006044706983058</v>
      </c>
      <c r="M158" s="88">
        <v>1</v>
      </c>
      <c r="N158" s="90">
        <v>0.66400000000000003</v>
      </c>
      <c r="O158" s="90">
        <v>0.66965499670318029</v>
      </c>
      <c r="P158" s="90">
        <v>0.65917960887616234</v>
      </c>
      <c r="Q158" s="91">
        <v>0</v>
      </c>
      <c r="R158" s="88">
        <v>1</v>
      </c>
      <c r="S158" s="88">
        <v>0.9927403748134972</v>
      </c>
      <c r="T158" s="91">
        <v>-2.4509803921570761E-3</v>
      </c>
      <c r="U158" s="91">
        <v>2.4570024570023108E-3</v>
      </c>
      <c r="V158" s="87">
        <v>0</v>
      </c>
      <c r="W158" s="91">
        <v>0</v>
      </c>
      <c r="X158" s="87">
        <v>1</v>
      </c>
      <c r="Y158" s="90">
        <v>0.66965499670318029</v>
      </c>
      <c r="Z158" s="90">
        <v>0.65917960887616234</v>
      </c>
      <c r="AA158" s="92">
        <v>0</v>
      </c>
      <c r="AB158" s="88">
        <v>0</v>
      </c>
      <c r="AC158" s="87">
        <v>1</v>
      </c>
      <c r="AD158" s="87">
        <v>0</v>
      </c>
      <c r="AE158" s="88">
        <v>1.01</v>
      </c>
      <c r="AF158" s="88">
        <v>1.016200824295963</v>
      </c>
      <c r="AG158" s="88">
        <v>1.0263634901839229</v>
      </c>
      <c r="AH158" s="88">
        <v>97920</v>
      </c>
      <c r="AI158" s="88">
        <v>97679.999999999985</v>
      </c>
      <c r="AJ158" s="88">
        <v>95423.194748358859</v>
      </c>
      <c r="AK158" s="88">
        <v>96235.872235872244</v>
      </c>
      <c r="AL158" s="88">
        <v>96580.291870373607</v>
      </c>
      <c r="AM158" s="88">
        <v>96000</v>
      </c>
      <c r="AN158" s="88">
        <v>63744</v>
      </c>
      <c r="AO158" s="88">
        <v>64286.879683505307</v>
      </c>
      <c r="AP158" s="88">
        <v>63281.242452111583</v>
      </c>
      <c r="AQ158" s="88">
        <v>0</v>
      </c>
      <c r="AR158" s="88">
        <v>96000.000000000015</v>
      </c>
      <c r="AS158" s="88">
        <v>95303.075982095732</v>
      </c>
      <c r="AT158" s="88">
        <v>64286.879683505307</v>
      </c>
      <c r="AU158" s="88">
        <v>63281.242452111583</v>
      </c>
      <c r="AV158" s="88">
        <v>96000</v>
      </c>
      <c r="AW158" s="88">
        <v>95040</v>
      </c>
      <c r="AX158" s="88">
        <v>96960</v>
      </c>
      <c r="AY158" s="88">
        <v>96000</v>
      </c>
      <c r="AZ158" s="88">
        <v>96000</v>
      </c>
      <c r="BA158" s="88">
        <v>96000</v>
      </c>
      <c r="BB158" s="88">
        <v>96000</v>
      </c>
      <c r="BC158" s="88">
        <v>96000</v>
      </c>
      <c r="BD158" s="88">
        <v>96000</v>
      </c>
      <c r="BE158" s="88">
        <v>96000</v>
      </c>
      <c r="BF158" s="88">
        <v>96000</v>
      </c>
      <c r="BG158" s="88">
        <v>96000</v>
      </c>
      <c r="BH158" s="88">
        <v>96000</v>
      </c>
      <c r="BI158" s="88">
        <v>96000</v>
      </c>
      <c r="BJ158" s="88">
        <v>96000</v>
      </c>
      <c r="BK158" s="88">
        <v>3518.139867644436</v>
      </c>
      <c r="BL158" s="88">
        <v>3516.0345636010388</v>
      </c>
      <c r="BM158" s="88">
        <v>3513.9347990902288</v>
      </c>
      <c r="BN158" s="88">
        <v>3511.7696572917298</v>
      </c>
      <c r="BO158" s="88">
        <v>3509.6103896104009</v>
      </c>
      <c r="BP158" s="88">
        <v>3507.4569721734788</v>
      </c>
      <c r="BQ158" s="88">
        <v>1554.224883566214</v>
      </c>
      <c r="BR158" s="88">
        <v>1552.090715804404</v>
      </c>
      <c r="BS158" s="88">
        <v>1549.9966823701141</v>
      </c>
      <c r="BT158" s="88">
        <v>1547.908291734778</v>
      </c>
      <c r="BU158" s="88">
        <v>1545.825521120541</v>
      </c>
      <c r="BV158" s="88">
        <v>1543.748347872054</v>
      </c>
      <c r="BW158" s="88">
        <v>1920.000000000002</v>
      </c>
      <c r="BX158" s="88">
        <v>1920.000000000002</v>
      </c>
      <c r="BY158" s="88">
        <v>1920.000000000002</v>
      </c>
      <c r="BZ158" s="88">
        <v>1920.000000000002</v>
      </c>
      <c r="CA158" s="88">
        <v>1920.000000000002</v>
      </c>
      <c r="CB158" s="88">
        <v>1920.000000000002</v>
      </c>
      <c r="CC158" s="88">
        <v>0</v>
      </c>
      <c r="CD158" s="88">
        <v>0</v>
      </c>
      <c r="CE158" s="88">
        <v>0</v>
      </c>
      <c r="CF158" s="88">
        <v>0</v>
      </c>
      <c r="CG158" s="88">
        <v>0</v>
      </c>
      <c r="CH158" s="88">
        <v>0</v>
      </c>
      <c r="CI158" s="88">
        <v>96000</v>
      </c>
      <c r="CJ158" s="88">
        <v>96000</v>
      </c>
      <c r="CK158" s="88">
        <v>96000</v>
      </c>
      <c r="CL158" s="88">
        <v>96000</v>
      </c>
      <c r="CM158" s="88">
        <v>96000</v>
      </c>
      <c r="CN158" s="88">
        <v>96000</v>
      </c>
      <c r="CO158" s="88">
        <v>96000</v>
      </c>
      <c r="CP158" s="88">
        <v>96000</v>
      </c>
      <c r="CQ158" s="88">
        <v>96000</v>
      </c>
      <c r="CR158" s="88">
        <v>96000</v>
      </c>
      <c r="CS158" s="88">
        <v>96000</v>
      </c>
      <c r="CT158" s="88">
        <v>96000</v>
      </c>
      <c r="CU158" s="88">
        <v>1566.8037918082759</v>
      </c>
      <c r="CV158" s="88">
        <v>1564.7397682363151</v>
      </c>
      <c r="CW158" s="88">
        <v>1562.681175578653</v>
      </c>
      <c r="CX158" s="88">
        <v>1560.5584875409161</v>
      </c>
      <c r="CY158" s="88">
        <v>1558.4415584415719</v>
      </c>
      <c r="CZ158" s="88">
        <v>1556.330364875962</v>
      </c>
      <c r="DA158" s="88">
        <v>1554.224883566214</v>
      </c>
      <c r="DB158" s="88">
        <v>1552.090715804404</v>
      </c>
      <c r="DC158" s="88">
        <v>1549.9966823701141</v>
      </c>
      <c r="DD158" s="88">
        <v>1547.908291734778</v>
      </c>
      <c r="DE158" s="88">
        <v>1545.825521120541</v>
      </c>
      <c r="DF158" s="88">
        <v>1543.748347872054</v>
      </c>
      <c r="DG158" s="93">
        <v>46204</v>
      </c>
      <c r="DH158" s="91">
        <v>0.02</v>
      </c>
      <c r="DI158" t="s">
        <v>301</v>
      </c>
      <c r="DJ158" s="93"/>
      <c r="DK158" s="91"/>
      <c r="DM158" s="93"/>
      <c r="DN158" s="91"/>
      <c r="DP158" s="93"/>
      <c r="DQ158" s="91"/>
    </row>
    <row r="159" spans="1:121" x14ac:dyDescent="0.3">
      <c r="A159" t="s">
        <v>26</v>
      </c>
      <c r="B159" t="s">
        <v>45</v>
      </c>
      <c r="C159" t="s">
        <v>78</v>
      </c>
      <c r="D159" t="s">
        <v>363</v>
      </c>
      <c r="E159" t="s">
        <v>522</v>
      </c>
      <c r="F159" s="86">
        <v>80000</v>
      </c>
      <c r="G159" s="87">
        <v>12</v>
      </c>
      <c r="H159" s="88">
        <v>1.03</v>
      </c>
      <c r="I159" s="88">
        <v>1.024895833333334</v>
      </c>
      <c r="J159" s="89">
        <v>0.9900000000000001</v>
      </c>
      <c r="K159" s="88">
        <v>1.0049801809126939</v>
      </c>
      <c r="L159" s="88">
        <v>1.0101010101010099</v>
      </c>
      <c r="M159" s="88">
        <v>1</v>
      </c>
      <c r="N159" s="90">
        <v>0.69199999999999995</v>
      </c>
      <c r="O159" s="90">
        <v>0.70247099514301414</v>
      </c>
      <c r="P159" s="90">
        <v>0.69898989898989872</v>
      </c>
      <c r="Q159" s="91">
        <v>0</v>
      </c>
      <c r="R159" s="88">
        <v>0.99999999999999978</v>
      </c>
      <c r="S159" s="88">
        <v>1.0101010101010099</v>
      </c>
      <c r="T159" s="91">
        <v>-4.9555016181225264E-3</v>
      </c>
      <c r="U159" s="91">
        <v>4.9801809126941432E-3</v>
      </c>
      <c r="V159" s="87">
        <v>0</v>
      </c>
      <c r="W159" s="91">
        <v>0</v>
      </c>
      <c r="X159" s="87">
        <v>1</v>
      </c>
      <c r="Y159" s="90">
        <v>0.70247099514301414</v>
      </c>
      <c r="Z159" s="90">
        <v>0.69898989898989872</v>
      </c>
      <c r="AA159" s="92">
        <v>0</v>
      </c>
      <c r="AB159" s="88">
        <v>0</v>
      </c>
      <c r="AC159" s="87">
        <v>1</v>
      </c>
      <c r="AD159" s="87">
        <v>0</v>
      </c>
      <c r="AE159" s="88">
        <v>1.0175000000000001</v>
      </c>
      <c r="AF159" s="88">
        <v>1</v>
      </c>
      <c r="AG159" s="88">
        <v>1.0175000000000001</v>
      </c>
      <c r="AH159" s="88">
        <v>82400</v>
      </c>
      <c r="AI159" s="88">
        <v>81991.666666666701</v>
      </c>
      <c r="AJ159" s="88">
        <v>79200.000000000015</v>
      </c>
      <c r="AK159" s="88">
        <v>80398.414473015509</v>
      </c>
      <c r="AL159" s="88">
        <v>80808.080808080791</v>
      </c>
      <c r="AM159" s="88">
        <v>80000</v>
      </c>
      <c r="AN159" s="88">
        <v>55359.999999999993</v>
      </c>
      <c r="AO159" s="88">
        <v>56197.679611441134</v>
      </c>
      <c r="AP159" s="88">
        <v>55919.191919191901</v>
      </c>
      <c r="AQ159" s="88">
        <v>0</v>
      </c>
      <c r="AR159" s="88">
        <v>79999.999999999985</v>
      </c>
      <c r="AS159" s="88">
        <v>80808.080808080791</v>
      </c>
      <c r="AT159" s="88">
        <v>56197.679611441134</v>
      </c>
      <c r="AU159" s="88">
        <v>55919.191919191901</v>
      </c>
      <c r="AV159" s="88">
        <v>80000</v>
      </c>
      <c r="AW159" s="88">
        <v>79200</v>
      </c>
      <c r="AX159" s="88">
        <v>79200</v>
      </c>
      <c r="AY159" s="88">
        <v>80000</v>
      </c>
      <c r="AZ159" s="88">
        <v>80000</v>
      </c>
      <c r="BA159" s="88">
        <v>80000</v>
      </c>
      <c r="BB159" s="88">
        <v>80000</v>
      </c>
      <c r="BC159" s="88">
        <v>80000</v>
      </c>
      <c r="BD159" s="88">
        <v>80000</v>
      </c>
      <c r="BE159" s="88">
        <v>80000</v>
      </c>
      <c r="BF159" s="88">
        <v>80000</v>
      </c>
      <c r="BG159" s="88">
        <v>80000</v>
      </c>
      <c r="BH159" s="88">
        <v>80000</v>
      </c>
      <c r="BI159" s="88">
        <v>80000</v>
      </c>
      <c r="BJ159" s="88">
        <v>80000</v>
      </c>
      <c r="BK159" s="88">
        <v>2400.0000000000018</v>
      </c>
      <c r="BL159" s="88">
        <v>2400.0000000000018</v>
      </c>
      <c r="BM159" s="88">
        <v>2400.0000000000018</v>
      </c>
      <c r="BN159" s="88">
        <v>2400.0000000000018</v>
      </c>
      <c r="BO159" s="88">
        <v>2400.0000000000018</v>
      </c>
      <c r="BP159" s="88">
        <v>2400.0000000000018</v>
      </c>
      <c r="BQ159" s="88">
        <v>2400.0000000000018</v>
      </c>
      <c r="BR159" s="88">
        <v>0</v>
      </c>
      <c r="BS159" s="88">
        <v>0</v>
      </c>
      <c r="BT159" s="88">
        <v>0</v>
      </c>
      <c r="BU159" s="88">
        <v>0</v>
      </c>
      <c r="BV159" s="88">
        <v>0</v>
      </c>
      <c r="BW159" s="88">
        <v>2400.0000000000018</v>
      </c>
      <c r="BX159" s="88">
        <v>2400.0000000000018</v>
      </c>
      <c r="BY159" s="88">
        <v>2400.0000000000018</v>
      </c>
      <c r="BZ159" s="88">
        <v>2400.0000000000018</v>
      </c>
      <c r="CA159" s="88">
        <v>2400.0000000000018</v>
      </c>
      <c r="CB159" s="88">
        <v>2400.0000000000018</v>
      </c>
      <c r="CC159" s="88">
        <v>2400.0000000000018</v>
      </c>
      <c r="CD159" s="88">
        <v>0</v>
      </c>
      <c r="CE159" s="88">
        <v>0</v>
      </c>
      <c r="CF159" s="88">
        <v>0</v>
      </c>
      <c r="CG159" s="88">
        <v>0</v>
      </c>
      <c r="CH159" s="88">
        <v>0</v>
      </c>
      <c r="CI159" s="88">
        <v>80000</v>
      </c>
      <c r="CJ159" s="88">
        <v>80000</v>
      </c>
      <c r="CK159" s="88">
        <v>80000</v>
      </c>
      <c r="CL159" s="88">
        <v>80000</v>
      </c>
      <c r="CM159" s="88">
        <v>80000</v>
      </c>
      <c r="CN159" s="88">
        <v>80000</v>
      </c>
      <c r="CO159" s="88">
        <v>80000</v>
      </c>
      <c r="CP159" s="88">
        <v>80000</v>
      </c>
      <c r="CQ159" s="88">
        <v>80000</v>
      </c>
      <c r="CR159" s="88">
        <v>80000</v>
      </c>
      <c r="CS159" s="88">
        <v>80000</v>
      </c>
      <c r="CT159" s="88">
        <v>80000</v>
      </c>
      <c r="CU159" s="88">
        <v>0</v>
      </c>
      <c r="CV159" s="88">
        <v>0</v>
      </c>
      <c r="CW159" s="88">
        <v>0</v>
      </c>
      <c r="CX159" s="88">
        <v>0</v>
      </c>
      <c r="CY159" s="88">
        <v>0</v>
      </c>
      <c r="CZ159" s="88">
        <v>0</v>
      </c>
      <c r="DA159" s="88">
        <v>0</v>
      </c>
      <c r="DB159" s="88">
        <v>0</v>
      </c>
      <c r="DC159" s="88">
        <v>0</v>
      </c>
      <c r="DD159" s="88">
        <v>0</v>
      </c>
      <c r="DE159" s="88">
        <v>0</v>
      </c>
      <c r="DF159" s="88">
        <v>0</v>
      </c>
      <c r="DG159" s="93">
        <v>46235</v>
      </c>
      <c r="DH159" s="91">
        <v>0.03</v>
      </c>
      <c r="DI159" t="s">
        <v>301</v>
      </c>
      <c r="DJ159" s="93"/>
      <c r="DK159" s="91"/>
      <c r="DM159" s="93"/>
      <c r="DN159" s="91"/>
      <c r="DP159" s="93"/>
      <c r="DQ159" s="91"/>
    </row>
    <row r="160" spans="1:121" x14ac:dyDescent="0.3">
      <c r="A160" t="s">
        <v>26</v>
      </c>
      <c r="B160" t="s">
        <v>45</v>
      </c>
      <c r="C160" t="s">
        <v>80</v>
      </c>
      <c r="D160" t="s">
        <v>365</v>
      </c>
      <c r="E160" t="s">
        <v>523</v>
      </c>
      <c r="F160" s="86">
        <v>64000</v>
      </c>
      <c r="G160" s="87">
        <v>12</v>
      </c>
      <c r="H160" s="88">
        <v>1</v>
      </c>
      <c r="I160" s="88">
        <v>1</v>
      </c>
      <c r="J160" s="89">
        <v>0.99299370897155337</v>
      </c>
      <c r="K160" s="88">
        <v>1</v>
      </c>
      <c r="L160" s="88">
        <v>1.007055725494679</v>
      </c>
      <c r="M160" s="88">
        <v>1</v>
      </c>
      <c r="N160" s="90">
        <v>0.67600000000000005</v>
      </c>
      <c r="O160" s="90">
        <v>0.68076967043440317</v>
      </c>
      <c r="P160" s="90">
        <v>0.67398845815691311</v>
      </c>
      <c r="Q160" s="91">
        <v>0</v>
      </c>
      <c r="R160" s="88">
        <v>1</v>
      </c>
      <c r="S160" s="88">
        <v>0.99702434638596604</v>
      </c>
      <c r="T160" s="91">
        <v>0</v>
      </c>
      <c r="U160" s="91">
        <v>0</v>
      </c>
      <c r="V160" s="87">
        <v>0</v>
      </c>
      <c r="W160" s="91">
        <v>0</v>
      </c>
      <c r="X160" s="87">
        <v>1</v>
      </c>
      <c r="Y160" s="90">
        <v>0.68076967043440317</v>
      </c>
      <c r="Z160" s="90">
        <v>0.67398845815691311</v>
      </c>
      <c r="AA160" s="92">
        <v>0</v>
      </c>
      <c r="AB160" s="88">
        <v>0</v>
      </c>
      <c r="AC160" s="87">
        <v>0</v>
      </c>
      <c r="AD160" s="87">
        <v>0</v>
      </c>
      <c r="AE160" s="88">
        <v>1</v>
      </c>
      <c r="AF160" s="88">
        <v>1.012138206284618</v>
      </c>
      <c r="AG160" s="88">
        <v>1.012138206284618</v>
      </c>
      <c r="AH160" s="88">
        <v>64000</v>
      </c>
      <c r="AI160" s="88">
        <v>64000</v>
      </c>
      <c r="AJ160" s="88">
        <v>63551.597374179422</v>
      </c>
      <c r="AK160" s="88">
        <v>64000</v>
      </c>
      <c r="AL160" s="88">
        <v>64451.56643165947</v>
      </c>
      <c r="AM160" s="88">
        <v>64000</v>
      </c>
      <c r="AN160" s="88">
        <v>43264</v>
      </c>
      <c r="AO160" s="88">
        <v>43569.258907801814</v>
      </c>
      <c r="AP160" s="88">
        <v>43135.261322042439</v>
      </c>
      <c r="AQ160" s="88">
        <v>0</v>
      </c>
      <c r="AR160" s="88">
        <v>64000</v>
      </c>
      <c r="AS160" s="88">
        <v>63809.558168701828</v>
      </c>
      <c r="AT160" s="88">
        <v>43569.258907801814</v>
      </c>
      <c r="AU160" s="88">
        <v>43135.261322042439</v>
      </c>
      <c r="AV160" s="88">
        <v>64000</v>
      </c>
      <c r="AW160" s="88">
        <v>63360</v>
      </c>
      <c r="AX160" s="88">
        <v>64319.999999999993</v>
      </c>
      <c r="AY160" s="88">
        <v>64000</v>
      </c>
      <c r="AZ160" s="88">
        <v>64000</v>
      </c>
      <c r="BA160" s="88">
        <v>64000</v>
      </c>
      <c r="BB160" s="88">
        <v>64000</v>
      </c>
      <c r="BC160" s="88">
        <v>64000</v>
      </c>
      <c r="BD160" s="88">
        <v>64000</v>
      </c>
      <c r="BE160" s="88">
        <v>64000</v>
      </c>
      <c r="BF160" s="88">
        <v>64000</v>
      </c>
      <c r="BG160" s="88">
        <v>64000</v>
      </c>
      <c r="BH160" s="88">
        <v>64000</v>
      </c>
      <c r="BI160" s="88">
        <v>64000</v>
      </c>
      <c r="BJ160" s="88">
        <v>64000</v>
      </c>
      <c r="BK160" s="88">
        <v>781.15333812637289</v>
      </c>
      <c r="BL160" s="88">
        <v>780.38351038952669</v>
      </c>
      <c r="BM160" s="88">
        <v>779.61519849148431</v>
      </c>
      <c r="BN160" s="88">
        <v>778.82243115288929</v>
      </c>
      <c r="BO160" s="88">
        <v>778.03127445919529</v>
      </c>
      <c r="BP160" s="88">
        <v>777.24172350690424</v>
      </c>
      <c r="BQ160" s="88">
        <v>776.45377341242749</v>
      </c>
      <c r="BR160" s="88">
        <v>775.65454153038615</v>
      </c>
      <c r="BS160" s="88">
        <v>774.86980462400368</v>
      </c>
      <c r="BT160" s="88">
        <v>774.08665396404785</v>
      </c>
      <c r="BU160" s="88">
        <v>773.30508474575765</v>
      </c>
      <c r="BV160" s="88">
        <v>772.52509218381249</v>
      </c>
      <c r="BW160" s="88">
        <v>0</v>
      </c>
      <c r="BX160" s="88">
        <v>0</v>
      </c>
      <c r="BY160" s="88">
        <v>0</v>
      </c>
      <c r="BZ160" s="88">
        <v>0</v>
      </c>
      <c r="CA160" s="88">
        <v>0</v>
      </c>
      <c r="CB160" s="88">
        <v>0</v>
      </c>
      <c r="CC160" s="88">
        <v>0</v>
      </c>
      <c r="CD160" s="88">
        <v>0</v>
      </c>
      <c r="CE160" s="88">
        <v>0</v>
      </c>
      <c r="CF160" s="88">
        <v>0</v>
      </c>
      <c r="CG160" s="88">
        <v>0</v>
      </c>
      <c r="CH160" s="88">
        <v>0</v>
      </c>
      <c r="CI160" s="88">
        <v>64000</v>
      </c>
      <c r="CJ160" s="88">
        <v>64000</v>
      </c>
      <c r="CK160" s="88">
        <v>64000</v>
      </c>
      <c r="CL160" s="88">
        <v>64000</v>
      </c>
      <c r="CM160" s="88">
        <v>64000</v>
      </c>
      <c r="CN160" s="88">
        <v>64000</v>
      </c>
      <c r="CO160" s="88">
        <v>64000</v>
      </c>
      <c r="CP160" s="88">
        <v>64000</v>
      </c>
      <c r="CQ160" s="88">
        <v>64000</v>
      </c>
      <c r="CR160" s="88">
        <v>64000</v>
      </c>
      <c r="CS160" s="88">
        <v>64000</v>
      </c>
      <c r="CT160" s="88">
        <v>64000</v>
      </c>
      <c r="CU160" s="88">
        <v>781.15333812637289</v>
      </c>
      <c r="CV160" s="88">
        <v>780.38351038952669</v>
      </c>
      <c r="CW160" s="88">
        <v>779.61519849148431</v>
      </c>
      <c r="CX160" s="88">
        <v>778.82243115288929</v>
      </c>
      <c r="CY160" s="88">
        <v>778.03127445919529</v>
      </c>
      <c r="CZ160" s="88">
        <v>777.24172350690424</v>
      </c>
      <c r="DA160" s="88">
        <v>776.45377341242749</v>
      </c>
      <c r="DB160" s="88">
        <v>775.65454153038615</v>
      </c>
      <c r="DC160" s="88">
        <v>774.86980462400368</v>
      </c>
      <c r="DD160" s="88">
        <v>774.08665396404785</v>
      </c>
      <c r="DE160" s="88">
        <v>773.30508474575765</v>
      </c>
      <c r="DF160" s="88">
        <v>772.52509218381249</v>
      </c>
      <c r="DG160" s="93"/>
      <c r="DH160" s="91"/>
      <c r="DJ160" s="93"/>
      <c r="DK160" s="91"/>
      <c r="DM160" s="93"/>
      <c r="DN160" s="91"/>
      <c r="DP160" s="93"/>
      <c r="DQ160" s="91"/>
    </row>
    <row r="161" spans="1:121" x14ac:dyDescent="0.3">
      <c r="A161" t="s">
        <v>26</v>
      </c>
      <c r="B161" t="s">
        <v>45</v>
      </c>
      <c r="C161" t="s">
        <v>82</v>
      </c>
      <c r="D161" t="s">
        <v>367</v>
      </c>
      <c r="E161" t="s">
        <v>524</v>
      </c>
      <c r="F161" s="86">
        <v>48000</v>
      </c>
      <c r="G161" s="87">
        <v>12</v>
      </c>
      <c r="H161" s="88">
        <v>1.05</v>
      </c>
      <c r="I161" s="88">
        <v>1.04775</v>
      </c>
      <c r="J161" s="89">
        <v>0.98900209700948194</v>
      </c>
      <c r="K161" s="88">
        <v>1.002147458840372</v>
      </c>
      <c r="L161" s="88">
        <v>1.011120201892163</v>
      </c>
      <c r="M161" s="88">
        <v>1</v>
      </c>
      <c r="N161" s="90">
        <v>0.66</v>
      </c>
      <c r="O161" s="90">
        <v>0.66877241699954093</v>
      </c>
      <c r="P161" s="90">
        <v>0.6446152231499116</v>
      </c>
      <c r="Q161" s="91">
        <v>0</v>
      </c>
      <c r="R161" s="88">
        <v>0.96269554753309272</v>
      </c>
      <c r="S161" s="88">
        <v>1.0145364591620769</v>
      </c>
      <c r="T161" s="91">
        <v>-2.1428571428572241E-3</v>
      </c>
      <c r="U161" s="91">
        <v>4.0980672870436718E-2</v>
      </c>
      <c r="V161" s="87">
        <v>0</v>
      </c>
      <c r="W161" s="91">
        <v>0</v>
      </c>
      <c r="X161" s="87">
        <v>1</v>
      </c>
      <c r="Y161" s="90">
        <v>0.66877241699954093</v>
      </c>
      <c r="Z161" s="90">
        <v>0.6446152231499116</v>
      </c>
      <c r="AA161" s="92">
        <v>0</v>
      </c>
      <c r="AB161" s="88">
        <v>0</v>
      </c>
      <c r="AC161" s="87">
        <v>1</v>
      </c>
      <c r="AD161" s="87">
        <v>1</v>
      </c>
      <c r="AE161" s="88">
        <v>1.0685</v>
      </c>
      <c r="AF161" s="88">
        <v>0.99597028697853884</v>
      </c>
      <c r="AG161" s="88">
        <v>1.0641942672752129</v>
      </c>
      <c r="AH161" s="88">
        <v>50400</v>
      </c>
      <c r="AI161" s="88">
        <v>50292</v>
      </c>
      <c r="AJ161" s="88">
        <v>47472.100656455143</v>
      </c>
      <c r="AK161" s="88">
        <v>48103.078024337869</v>
      </c>
      <c r="AL161" s="88">
        <v>48533.769690823821</v>
      </c>
      <c r="AM161" s="88">
        <v>48000</v>
      </c>
      <c r="AN161" s="88">
        <v>31680</v>
      </c>
      <c r="AO161" s="88">
        <v>32101.07601597796</v>
      </c>
      <c r="AP161" s="88">
        <v>30941.530711195759</v>
      </c>
      <c r="AQ161" s="88">
        <v>0</v>
      </c>
      <c r="AR161" s="88">
        <v>46209.386281588449</v>
      </c>
      <c r="AS161" s="88">
        <v>48697.750039779683</v>
      </c>
      <c r="AT161" s="88">
        <v>32101.07601597796</v>
      </c>
      <c r="AU161" s="88">
        <v>30941.530711195759</v>
      </c>
      <c r="AV161" s="88">
        <v>48000</v>
      </c>
      <c r="AW161" s="88">
        <v>47520</v>
      </c>
      <c r="AX161" s="88">
        <v>47280</v>
      </c>
      <c r="AY161" s="88">
        <v>48000</v>
      </c>
      <c r="AZ161" s="88">
        <v>48000</v>
      </c>
      <c r="BA161" s="88">
        <v>48000</v>
      </c>
      <c r="BB161" s="88">
        <v>48000</v>
      </c>
      <c r="BC161" s="88">
        <v>48000</v>
      </c>
      <c r="BD161" s="88">
        <v>48000</v>
      </c>
      <c r="BE161" s="88">
        <v>48000</v>
      </c>
      <c r="BF161" s="88">
        <v>48000</v>
      </c>
      <c r="BG161" s="88">
        <v>48000</v>
      </c>
      <c r="BH161" s="88">
        <v>48000</v>
      </c>
      <c r="BI161" s="88">
        <v>48000</v>
      </c>
      <c r="BJ161" s="88">
        <v>48000</v>
      </c>
      <c r="BK161" s="88">
        <v>2197.2747359314972</v>
      </c>
      <c r="BL161" s="88">
        <v>2197.208810106496</v>
      </c>
      <c r="BM161" s="88">
        <v>2197.1428413896601</v>
      </c>
      <c r="BN161" s="88">
        <v>4204.9575749553296</v>
      </c>
      <c r="BO161" s="88">
        <v>4204.8865470876781</v>
      </c>
      <c r="BP161" s="88">
        <v>4204.8154713940376</v>
      </c>
      <c r="BQ161" s="88">
        <v>4204.7443478260857</v>
      </c>
      <c r="BR161" s="88">
        <v>4204.6720091901734</v>
      </c>
      <c r="BS161" s="88">
        <v>4204.6007889415623</v>
      </c>
      <c r="BT161" s="88">
        <v>1718.5995434976001</v>
      </c>
      <c r="BU161" s="88">
        <v>1718.531623175583</v>
      </c>
      <c r="BV161" s="88">
        <v>1718.463657027193</v>
      </c>
      <c r="BW161" s="88">
        <v>2400.0000000000018</v>
      </c>
      <c r="BX161" s="88">
        <v>2400.0000000000018</v>
      </c>
      <c r="BY161" s="88">
        <v>2400.0000000000018</v>
      </c>
      <c r="BZ161" s="88">
        <v>4416.0000000000036</v>
      </c>
      <c r="CA161" s="88">
        <v>4416.0000000000036</v>
      </c>
      <c r="CB161" s="88">
        <v>4416.0000000000036</v>
      </c>
      <c r="CC161" s="88">
        <v>4416.0000000000036</v>
      </c>
      <c r="CD161" s="88">
        <v>4416.0000000000036</v>
      </c>
      <c r="CE161" s="88">
        <v>4416.0000000000036</v>
      </c>
      <c r="CF161" s="88">
        <v>1920.000000000002</v>
      </c>
      <c r="CG161" s="88">
        <v>1920.000000000002</v>
      </c>
      <c r="CH161" s="88">
        <v>1920.000000000002</v>
      </c>
      <c r="CI161" s="88">
        <v>48000</v>
      </c>
      <c r="CJ161" s="88">
        <v>48000</v>
      </c>
      <c r="CK161" s="88">
        <v>48000</v>
      </c>
      <c r="CL161" s="88">
        <v>48000</v>
      </c>
      <c r="CM161" s="88">
        <v>48000</v>
      </c>
      <c r="CN161" s="88">
        <v>48000</v>
      </c>
      <c r="CO161" s="88">
        <v>48000</v>
      </c>
      <c r="CP161" s="88">
        <v>48000</v>
      </c>
      <c r="CQ161" s="88">
        <v>48000</v>
      </c>
      <c r="CR161" s="88">
        <v>48000</v>
      </c>
      <c r="CS161" s="88">
        <v>48000</v>
      </c>
      <c r="CT161" s="88">
        <v>48000</v>
      </c>
      <c r="CU161" s="88">
        <v>-193.07168006523941</v>
      </c>
      <c r="CV161" s="88">
        <v>-193.1344665652492</v>
      </c>
      <c r="CW161" s="88">
        <v>-193.1972939146149</v>
      </c>
      <c r="CX161" s="88">
        <v>-193.26229399695549</v>
      </c>
      <c r="CY161" s="88">
        <v>-193.32733783179631</v>
      </c>
      <c r="CZ161" s="88">
        <v>-193.39242546333679</v>
      </c>
      <c r="DA161" s="88">
        <v>-193.45755693581879</v>
      </c>
      <c r="DB161" s="88">
        <v>-193.52380110790261</v>
      </c>
      <c r="DC161" s="88">
        <v>-193.58902111579289</v>
      </c>
      <c r="DD161" s="88">
        <v>-193.6542850984591</v>
      </c>
      <c r="DE161" s="88">
        <v>-193.71959310039881</v>
      </c>
      <c r="DF161" s="88">
        <v>-193.78494516615771</v>
      </c>
      <c r="DG161" s="93">
        <v>46296</v>
      </c>
      <c r="DH161" s="91">
        <v>0.05</v>
      </c>
      <c r="DI161" t="s">
        <v>301</v>
      </c>
      <c r="DJ161" s="93">
        <v>46478</v>
      </c>
      <c r="DK161" s="91">
        <v>0.04</v>
      </c>
      <c r="DL161" t="s">
        <v>302</v>
      </c>
      <c r="DM161" s="93"/>
      <c r="DN161" s="91"/>
      <c r="DP161" s="93"/>
      <c r="DQ161" s="91"/>
    </row>
    <row r="162" spans="1:121" x14ac:dyDescent="0.3">
      <c r="A162" t="s">
        <v>26</v>
      </c>
      <c r="B162" t="s">
        <v>45</v>
      </c>
      <c r="C162" t="s">
        <v>85</v>
      </c>
      <c r="D162" t="s">
        <v>369</v>
      </c>
      <c r="E162" t="s">
        <v>525</v>
      </c>
      <c r="F162" s="86">
        <v>32000</v>
      </c>
      <c r="G162" s="87">
        <v>12</v>
      </c>
      <c r="H162" s="88">
        <v>1.06</v>
      </c>
      <c r="I162" s="88">
        <v>1.039166666666667</v>
      </c>
      <c r="J162" s="89">
        <v>0.99199580598103554</v>
      </c>
      <c r="K162" s="88">
        <v>1.020048115477145</v>
      </c>
      <c r="L162" s="88">
        <v>1.008068778084247</v>
      </c>
      <c r="M162" s="88">
        <v>1</v>
      </c>
      <c r="N162" s="90">
        <v>0.68799999999999994</v>
      </c>
      <c r="O162" s="90">
        <v>0.70745571626105475</v>
      </c>
      <c r="P162" s="90">
        <v>0.68892567058879817</v>
      </c>
      <c r="Q162" s="91">
        <v>0</v>
      </c>
      <c r="R162" s="88">
        <v>0.99999999999999978</v>
      </c>
      <c r="S162" s="88">
        <v>1.0013454514372071</v>
      </c>
      <c r="T162" s="91">
        <v>-1.965408805031443E-2</v>
      </c>
      <c r="U162" s="91">
        <v>2.0048115477145249E-2</v>
      </c>
      <c r="V162" s="87">
        <v>0</v>
      </c>
      <c r="W162" s="91">
        <v>0</v>
      </c>
      <c r="X162" s="87">
        <v>1</v>
      </c>
      <c r="Y162" s="90">
        <v>0.70745571626105475</v>
      </c>
      <c r="Z162" s="90">
        <v>0.68892567058879817</v>
      </c>
      <c r="AA162" s="92">
        <v>0</v>
      </c>
      <c r="AB162" s="88">
        <v>0</v>
      </c>
      <c r="AC162" s="87">
        <v>1</v>
      </c>
      <c r="AD162" s="87">
        <v>0</v>
      </c>
      <c r="AE162" s="88">
        <v>1.05</v>
      </c>
      <c r="AF162" s="88">
        <v>1.0080839018517109</v>
      </c>
      <c r="AG162" s="88">
        <v>1.0584883695609071</v>
      </c>
      <c r="AH162" s="88">
        <v>33920</v>
      </c>
      <c r="AI162" s="88">
        <v>33253.333333333343</v>
      </c>
      <c r="AJ162" s="88">
        <v>31743.865791393138</v>
      </c>
      <c r="AK162" s="88">
        <v>32641.539695268639</v>
      </c>
      <c r="AL162" s="88">
        <v>32258.200898695901</v>
      </c>
      <c r="AM162" s="88">
        <v>32000</v>
      </c>
      <c r="AN162" s="88">
        <v>22016</v>
      </c>
      <c r="AO162" s="88">
        <v>22638.582920353751</v>
      </c>
      <c r="AP162" s="88">
        <v>22045.621458841539</v>
      </c>
      <c r="AQ162" s="88">
        <v>0</v>
      </c>
      <c r="AR162" s="88">
        <v>31999.999999999989</v>
      </c>
      <c r="AS162" s="88">
        <v>32043.05444599062</v>
      </c>
      <c r="AT162" s="88">
        <v>22638.582920353751</v>
      </c>
      <c r="AU162" s="88">
        <v>22045.621458841539</v>
      </c>
      <c r="AV162" s="88">
        <v>32000</v>
      </c>
      <c r="AW162" s="88">
        <v>31680</v>
      </c>
      <c r="AX162" s="88">
        <v>32000</v>
      </c>
      <c r="AY162" s="88">
        <v>32000</v>
      </c>
      <c r="AZ162" s="88">
        <v>32000</v>
      </c>
      <c r="BA162" s="88">
        <v>32000</v>
      </c>
      <c r="BB162" s="88">
        <v>32000</v>
      </c>
      <c r="BC162" s="88">
        <v>32000</v>
      </c>
      <c r="BD162" s="88">
        <v>32000</v>
      </c>
      <c r="BE162" s="88">
        <v>32000</v>
      </c>
      <c r="BF162" s="88">
        <v>32000</v>
      </c>
      <c r="BG162" s="88">
        <v>32000</v>
      </c>
      <c r="BH162" s="88">
        <v>32000</v>
      </c>
      <c r="BI162" s="88">
        <v>32000</v>
      </c>
      <c r="BJ162" s="88">
        <v>32000</v>
      </c>
      <c r="BK162" s="88">
        <v>2195.217570105925</v>
      </c>
      <c r="BL162" s="88">
        <v>2195.0372098189491</v>
      </c>
      <c r="BM162" s="88">
        <v>2194.857085770735</v>
      </c>
      <c r="BN162" s="88">
        <v>2194.6711037160262</v>
      </c>
      <c r="BO162" s="88">
        <v>2194.4853731806552</v>
      </c>
      <c r="BP162" s="88">
        <v>2194.2998936547301</v>
      </c>
      <c r="BQ162" s="88">
        <v>2194.114664629758</v>
      </c>
      <c r="BR162" s="88">
        <v>2193.9266552353588</v>
      </c>
      <c r="BS162" s="88">
        <v>2193.7419297780211</v>
      </c>
      <c r="BT162" s="88">
        <v>2193.5574532960732</v>
      </c>
      <c r="BU162" s="88">
        <v>257.89926913819983</v>
      </c>
      <c r="BV162" s="88">
        <v>257.72570306380521</v>
      </c>
      <c r="BW162" s="88">
        <v>1920.000000000002</v>
      </c>
      <c r="BX162" s="88">
        <v>1920.000000000002</v>
      </c>
      <c r="BY162" s="88">
        <v>1920.000000000002</v>
      </c>
      <c r="BZ162" s="88">
        <v>1920.000000000002</v>
      </c>
      <c r="CA162" s="88">
        <v>1920.000000000002</v>
      </c>
      <c r="CB162" s="88">
        <v>1920.000000000002</v>
      </c>
      <c r="CC162" s="88">
        <v>1920.000000000002</v>
      </c>
      <c r="CD162" s="88">
        <v>1920.000000000002</v>
      </c>
      <c r="CE162" s="88">
        <v>1920.000000000002</v>
      </c>
      <c r="CF162" s="88">
        <v>1920.000000000002</v>
      </c>
      <c r="CG162" s="88">
        <v>0</v>
      </c>
      <c r="CH162" s="88">
        <v>0</v>
      </c>
      <c r="CI162" s="88">
        <v>32000</v>
      </c>
      <c r="CJ162" s="88">
        <v>32000</v>
      </c>
      <c r="CK162" s="88">
        <v>32000</v>
      </c>
      <c r="CL162" s="88">
        <v>32000</v>
      </c>
      <c r="CM162" s="88">
        <v>32000</v>
      </c>
      <c r="CN162" s="88">
        <v>32000</v>
      </c>
      <c r="CO162" s="88">
        <v>32000</v>
      </c>
      <c r="CP162" s="88">
        <v>32000</v>
      </c>
      <c r="CQ162" s="88">
        <v>32000</v>
      </c>
      <c r="CR162" s="88">
        <v>32000</v>
      </c>
      <c r="CS162" s="88">
        <v>32000</v>
      </c>
      <c r="CT162" s="88">
        <v>32000</v>
      </c>
      <c r="CU162" s="88">
        <v>259.63921708105892</v>
      </c>
      <c r="CV162" s="88">
        <v>259.46906586693069</v>
      </c>
      <c r="CW162" s="88">
        <v>259.29913751956241</v>
      </c>
      <c r="CX162" s="88">
        <v>259.12368275096748</v>
      </c>
      <c r="CY162" s="88">
        <v>258.94846526476562</v>
      </c>
      <c r="CZ162" s="88">
        <v>258.77348457993321</v>
      </c>
      <c r="DA162" s="88">
        <v>258.59874021675472</v>
      </c>
      <c r="DB162" s="88">
        <v>258.42137286354472</v>
      </c>
      <c r="DC162" s="88">
        <v>258.24710356416603</v>
      </c>
      <c r="DD162" s="88">
        <v>258.07306914723682</v>
      </c>
      <c r="DE162" s="88">
        <v>257.89926913819983</v>
      </c>
      <c r="DF162" s="88">
        <v>257.72570306380521</v>
      </c>
      <c r="DG162" s="93">
        <v>46327</v>
      </c>
      <c r="DH162" s="91">
        <v>0.06</v>
      </c>
      <c r="DI162" t="s">
        <v>301</v>
      </c>
      <c r="DJ162" s="93"/>
      <c r="DK162" s="91"/>
      <c r="DM162" s="93"/>
      <c r="DN162" s="91"/>
      <c r="DP162" s="93"/>
      <c r="DQ162" s="91"/>
    </row>
    <row r="163" spans="1:121" x14ac:dyDescent="0.3">
      <c r="A163" t="s">
        <v>26</v>
      </c>
      <c r="B163" t="s">
        <v>45</v>
      </c>
      <c r="C163" t="s">
        <v>87</v>
      </c>
      <c r="D163" t="s">
        <v>371</v>
      </c>
      <c r="E163" t="s">
        <v>526</v>
      </c>
      <c r="F163" s="86">
        <v>84000</v>
      </c>
      <c r="G163" s="87">
        <v>12</v>
      </c>
      <c r="H163" s="88">
        <v>1</v>
      </c>
      <c r="I163" s="88">
        <v>1</v>
      </c>
      <c r="J163" s="89">
        <v>0.98800419401896411</v>
      </c>
      <c r="K163" s="88">
        <v>1</v>
      </c>
      <c r="L163" s="88">
        <v>1.012141452489427</v>
      </c>
      <c r="M163" s="88">
        <v>1</v>
      </c>
      <c r="N163" s="90">
        <v>0.67200000000000004</v>
      </c>
      <c r="O163" s="90">
        <v>0.68015905607289495</v>
      </c>
      <c r="P163" s="90">
        <v>0.68477541416001519</v>
      </c>
      <c r="Q163" s="91">
        <v>0</v>
      </c>
      <c r="R163" s="88">
        <v>1</v>
      </c>
      <c r="S163" s="88">
        <v>1.019011032976213</v>
      </c>
      <c r="T163" s="91">
        <v>0</v>
      </c>
      <c r="U163" s="91">
        <v>0</v>
      </c>
      <c r="V163" s="87">
        <v>0</v>
      </c>
      <c r="W163" s="91">
        <v>0</v>
      </c>
      <c r="X163" s="87">
        <v>1</v>
      </c>
      <c r="Y163" s="90">
        <v>0.68015905607289495</v>
      </c>
      <c r="Z163" s="90">
        <v>0.68477541416001519</v>
      </c>
      <c r="AA163" s="92">
        <v>0</v>
      </c>
      <c r="AB163" s="88">
        <v>0</v>
      </c>
      <c r="AC163" s="87">
        <v>0</v>
      </c>
      <c r="AD163" s="87">
        <v>0</v>
      </c>
      <c r="AE163" s="88">
        <v>1</v>
      </c>
      <c r="AF163" s="88">
        <v>0.99194865631796525</v>
      </c>
      <c r="AG163" s="88">
        <v>0.99194865631796525</v>
      </c>
      <c r="AH163" s="88">
        <v>84000</v>
      </c>
      <c r="AI163" s="88">
        <v>84000</v>
      </c>
      <c r="AJ163" s="88">
        <v>82992.352297592981</v>
      </c>
      <c r="AK163" s="88">
        <v>84000</v>
      </c>
      <c r="AL163" s="88">
        <v>85019.882009111869</v>
      </c>
      <c r="AM163" s="88">
        <v>84000</v>
      </c>
      <c r="AN163" s="88">
        <v>56448</v>
      </c>
      <c r="AO163" s="88">
        <v>57133.360710123183</v>
      </c>
      <c r="AP163" s="88">
        <v>57521.134789441283</v>
      </c>
      <c r="AQ163" s="88">
        <v>0</v>
      </c>
      <c r="AR163" s="88">
        <v>84000</v>
      </c>
      <c r="AS163" s="88">
        <v>85596.926770001897</v>
      </c>
      <c r="AT163" s="88">
        <v>57133.360710123183</v>
      </c>
      <c r="AU163" s="88">
        <v>57521.134789441283</v>
      </c>
      <c r="AV163" s="88">
        <v>84000</v>
      </c>
      <c r="AW163" s="88">
        <v>83160</v>
      </c>
      <c r="AX163" s="88">
        <v>82320</v>
      </c>
      <c r="AY163" s="88">
        <v>84000</v>
      </c>
      <c r="AZ163" s="88">
        <v>84000</v>
      </c>
      <c r="BA163" s="88">
        <v>84000</v>
      </c>
      <c r="BB163" s="88">
        <v>84000</v>
      </c>
      <c r="BC163" s="88">
        <v>84000</v>
      </c>
      <c r="BD163" s="88">
        <v>84000</v>
      </c>
      <c r="BE163" s="88">
        <v>84000</v>
      </c>
      <c r="BF163" s="88">
        <v>84000</v>
      </c>
      <c r="BG163" s="88">
        <v>84000</v>
      </c>
      <c r="BH163" s="88">
        <v>84000</v>
      </c>
      <c r="BI163" s="88">
        <v>84000</v>
      </c>
      <c r="BJ163" s="88">
        <v>84000</v>
      </c>
      <c r="BK163" s="88">
        <v>-673.8387490247319</v>
      </c>
      <c r="BL163" s="88">
        <v>-674.27591211981053</v>
      </c>
      <c r="BM163" s="88">
        <v>-674.71364281548495</v>
      </c>
      <c r="BN163" s="88">
        <v>-675.16680980379022</v>
      </c>
      <c r="BO163" s="88">
        <v>-675.6205859344866</v>
      </c>
      <c r="BP163" s="88">
        <v>-676.07497243660305</v>
      </c>
      <c r="BQ163" s="88">
        <v>-676.52997054247919</v>
      </c>
      <c r="BR163" s="88">
        <v>-676.9930556322272</v>
      </c>
      <c r="BS163" s="88">
        <v>-677.44929073312449</v>
      </c>
      <c r="BT163" s="88">
        <v>-677.90614117518101</v>
      </c>
      <c r="BU163" s="88">
        <v>-678.36360820408186</v>
      </c>
      <c r="BV163" s="88">
        <v>-678.82169306898095</v>
      </c>
      <c r="BW163" s="88">
        <v>0</v>
      </c>
      <c r="BX163" s="88">
        <v>0</v>
      </c>
      <c r="BY163" s="88">
        <v>0</v>
      </c>
      <c r="BZ163" s="88">
        <v>0</v>
      </c>
      <c r="CA163" s="88">
        <v>0</v>
      </c>
      <c r="CB163" s="88">
        <v>0</v>
      </c>
      <c r="CC163" s="88">
        <v>0</v>
      </c>
      <c r="CD163" s="88">
        <v>0</v>
      </c>
      <c r="CE163" s="88">
        <v>0</v>
      </c>
      <c r="CF163" s="88">
        <v>0</v>
      </c>
      <c r="CG163" s="88">
        <v>0</v>
      </c>
      <c r="CH163" s="88">
        <v>0</v>
      </c>
      <c r="CI163" s="88">
        <v>84000</v>
      </c>
      <c r="CJ163" s="88">
        <v>84000</v>
      </c>
      <c r="CK163" s="88">
        <v>84000</v>
      </c>
      <c r="CL163" s="88">
        <v>84000</v>
      </c>
      <c r="CM163" s="88">
        <v>84000</v>
      </c>
      <c r="CN163" s="88">
        <v>84000</v>
      </c>
      <c r="CO163" s="88">
        <v>84000</v>
      </c>
      <c r="CP163" s="88">
        <v>84000</v>
      </c>
      <c r="CQ163" s="88">
        <v>84000</v>
      </c>
      <c r="CR163" s="88">
        <v>84000</v>
      </c>
      <c r="CS163" s="88">
        <v>84000</v>
      </c>
      <c r="CT163" s="88">
        <v>84000</v>
      </c>
      <c r="CU163" s="88">
        <v>-673.8387490247319</v>
      </c>
      <c r="CV163" s="88">
        <v>-674.27591211981053</v>
      </c>
      <c r="CW163" s="88">
        <v>-674.71364281548495</v>
      </c>
      <c r="CX163" s="88">
        <v>-675.16680980379022</v>
      </c>
      <c r="CY163" s="88">
        <v>-675.6205859344866</v>
      </c>
      <c r="CZ163" s="88">
        <v>-676.07497243660305</v>
      </c>
      <c r="DA163" s="88">
        <v>-676.52997054247919</v>
      </c>
      <c r="DB163" s="88">
        <v>-676.9930556322272</v>
      </c>
      <c r="DC163" s="88">
        <v>-677.44929073312449</v>
      </c>
      <c r="DD163" s="88">
        <v>-677.90614117518101</v>
      </c>
      <c r="DE163" s="88">
        <v>-678.36360820408186</v>
      </c>
      <c r="DF163" s="88">
        <v>-678.82169306898095</v>
      </c>
      <c r="DG163" s="93"/>
      <c r="DH163" s="91"/>
      <c r="DJ163" s="93"/>
      <c r="DK163" s="91"/>
      <c r="DM163" s="93"/>
      <c r="DN163" s="91"/>
      <c r="DP163" s="93"/>
      <c r="DQ163" s="91"/>
    </row>
    <row r="164" spans="1:121" x14ac:dyDescent="0.3">
      <c r="A164" t="s">
        <v>26</v>
      </c>
      <c r="B164" t="s">
        <v>45</v>
      </c>
      <c r="C164" t="s">
        <v>89</v>
      </c>
      <c r="D164" t="s">
        <v>373</v>
      </c>
      <c r="E164" t="s">
        <v>527</v>
      </c>
      <c r="F164" s="86">
        <v>68000</v>
      </c>
      <c r="G164" s="87">
        <v>12</v>
      </c>
      <c r="H164" s="88">
        <v>1.03</v>
      </c>
      <c r="I164" s="88">
        <v>1.03</v>
      </c>
      <c r="J164" s="89">
        <v>0.99099790299051793</v>
      </c>
      <c r="K164" s="88">
        <v>0.99999999999999978</v>
      </c>
      <c r="L164" s="88">
        <v>1.009083870896514</v>
      </c>
      <c r="M164" s="88">
        <v>1</v>
      </c>
      <c r="N164" s="90">
        <v>0.7</v>
      </c>
      <c r="O164" s="90">
        <v>0.70635870962755976</v>
      </c>
      <c r="P164" s="90">
        <v>0.70399292241494227</v>
      </c>
      <c r="Q164" s="91">
        <v>0</v>
      </c>
      <c r="R164" s="88">
        <v>0.99999999999999978</v>
      </c>
      <c r="S164" s="88">
        <v>1.005704174878489</v>
      </c>
      <c r="T164" s="91">
        <v>0</v>
      </c>
      <c r="U164" s="91">
        <v>0</v>
      </c>
      <c r="V164" s="87">
        <v>0</v>
      </c>
      <c r="W164" s="91">
        <v>0</v>
      </c>
      <c r="X164" s="87">
        <v>1</v>
      </c>
      <c r="Y164" s="90">
        <v>0.70635870962755976</v>
      </c>
      <c r="Z164" s="90">
        <v>0.70399292241494227</v>
      </c>
      <c r="AA164" s="92">
        <v>0</v>
      </c>
      <c r="AB164" s="88">
        <v>0</v>
      </c>
      <c r="AC164" s="87">
        <v>1</v>
      </c>
      <c r="AD164" s="87">
        <v>0</v>
      </c>
      <c r="AE164" s="88">
        <v>1</v>
      </c>
      <c r="AF164" s="88">
        <v>1.004037852440528</v>
      </c>
      <c r="AG164" s="88">
        <v>1.004037852440528</v>
      </c>
      <c r="AH164" s="88">
        <v>70040</v>
      </c>
      <c r="AI164" s="88">
        <v>70040.000000000015</v>
      </c>
      <c r="AJ164" s="88">
        <v>67387.857403355214</v>
      </c>
      <c r="AK164" s="88">
        <v>67999.999999999985</v>
      </c>
      <c r="AL164" s="88">
        <v>68617.703220962969</v>
      </c>
      <c r="AM164" s="88">
        <v>68000</v>
      </c>
      <c r="AN164" s="88">
        <v>47600</v>
      </c>
      <c r="AO164" s="88">
        <v>48032.392254674072</v>
      </c>
      <c r="AP164" s="88">
        <v>47871.518724216083</v>
      </c>
      <c r="AQ164" s="88">
        <v>0</v>
      </c>
      <c r="AR164" s="88">
        <v>67999.999999999985</v>
      </c>
      <c r="AS164" s="88">
        <v>68387.883891737263</v>
      </c>
      <c r="AT164" s="88">
        <v>48032.392254674072</v>
      </c>
      <c r="AU164" s="88">
        <v>47871.518724216083</v>
      </c>
      <c r="AV164" s="88">
        <v>68000</v>
      </c>
      <c r="AW164" s="88">
        <v>67320</v>
      </c>
      <c r="AX164" s="88">
        <v>67660</v>
      </c>
      <c r="AY164" s="88">
        <v>68000</v>
      </c>
      <c r="AZ164" s="88">
        <v>68000</v>
      </c>
      <c r="BA164" s="88">
        <v>68000</v>
      </c>
      <c r="BB164" s="88">
        <v>68000</v>
      </c>
      <c r="BC164" s="88">
        <v>68000</v>
      </c>
      <c r="BD164" s="88">
        <v>68000</v>
      </c>
      <c r="BE164" s="88">
        <v>68000</v>
      </c>
      <c r="BF164" s="88">
        <v>68000</v>
      </c>
      <c r="BG164" s="88">
        <v>68000</v>
      </c>
      <c r="BH164" s="88">
        <v>68000</v>
      </c>
      <c r="BI164" s="88">
        <v>68000</v>
      </c>
      <c r="BJ164" s="88">
        <v>68000</v>
      </c>
      <c r="BK164" s="88">
        <v>275.07938179178029</v>
      </c>
      <c r="BL164" s="88">
        <v>274.98947461720297</v>
      </c>
      <c r="BM164" s="88">
        <v>274.89962619409607</v>
      </c>
      <c r="BN164" s="88">
        <v>274.80679377310838</v>
      </c>
      <c r="BO164" s="88">
        <v>274.71402402917369</v>
      </c>
      <c r="BP164" s="88">
        <v>274.62131689883051</v>
      </c>
      <c r="BQ164" s="88">
        <v>274.52867231872352</v>
      </c>
      <c r="BR164" s="88">
        <v>274.43457300656598</v>
      </c>
      <c r="BS164" s="88">
        <v>274.34205435995989</v>
      </c>
      <c r="BT164" s="88">
        <v>274.24959807296472</v>
      </c>
      <c r="BU164" s="88">
        <v>274.15720408252662</v>
      </c>
      <c r="BV164" s="88">
        <v>274.06487232574329</v>
      </c>
      <c r="BW164" s="88">
        <v>0</v>
      </c>
      <c r="BX164" s="88">
        <v>0</v>
      </c>
      <c r="BY164" s="88">
        <v>0</v>
      </c>
      <c r="BZ164" s="88">
        <v>0</v>
      </c>
      <c r="CA164" s="88">
        <v>0</v>
      </c>
      <c r="CB164" s="88">
        <v>0</v>
      </c>
      <c r="CC164" s="88">
        <v>0</v>
      </c>
      <c r="CD164" s="88">
        <v>0</v>
      </c>
      <c r="CE164" s="88">
        <v>0</v>
      </c>
      <c r="CF164" s="88">
        <v>0</v>
      </c>
      <c r="CG164" s="88">
        <v>0</v>
      </c>
      <c r="CH164" s="88">
        <v>0</v>
      </c>
      <c r="CI164" s="88">
        <v>68000</v>
      </c>
      <c r="CJ164" s="88">
        <v>68000</v>
      </c>
      <c r="CK164" s="88">
        <v>68000</v>
      </c>
      <c r="CL164" s="88">
        <v>68000</v>
      </c>
      <c r="CM164" s="88">
        <v>68000</v>
      </c>
      <c r="CN164" s="88">
        <v>68000</v>
      </c>
      <c r="CO164" s="88">
        <v>68000</v>
      </c>
      <c r="CP164" s="88">
        <v>68000</v>
      </c>
      <c r="CQ164" s="88">
        <v>68000</v>
      </c>
      <c r="CR164" s="88">
        <v>68000</v>
      </c>
      <c r="CS164" s="88">
        <v>68000</v>
      </c>
      <c r="CT164" s="88">
        <v>68000</v>
      </c>
      <c r="CU164" s="88">
        <v>275.07938179178029</v>
      </c>
      <c r="CV164" s="88">
        <v>274.98947461720297</v>
      </c>
      <c r="CW164" s="88">
        <v>274.89962619409607</v>
      </c>
      <c r="CX164" s="88">
        <v>274.80679377310838</v>
      </c>
      <c r="CY164" s="88">
        <v>274.71402402917369</v>
      </c>
      <c r="CZ164" s="88">
        <v>274.62131689883051</v>
      </c>
      <c r="DA164" s="88">
        <v>274.52867231872352</v>
      </c>
      <c r="DB164" s="88">
        <v>274.43457300656598</v>
      </c>
      <c r="DC164" s="88">
        <v>274.34205435995989</v>
      </c>
      <c r="DD164" s="88">
        <v>274.24959807296472</v>
      </c>
      <c r="DE164" s="88">
        <v>274.15720408252662</v>
      </c>
      <c r="DF164" s="88">
        <v>274.06487232574329</v>
      </c>
      <c r="DG164" s="93">
        <v>46023</v>
      </c>
      <c r="DH164" s="91">
        <v>0.03</v>
      </c>
      <c r="DI164" t="s">
        <v>301</v>
      </c>
      <c r="DJ164" s="93"/>
      <c r="DK164" s="91"/>
      <c r="DM164" s="93"/>
      <c r="DN164" s="91"/>
      <c r="DP164" s="93"/>
      <c r="DQ164" s="91"/>
    </row>
    <row r="165" spans="1:121" x14ac:dyDescent="0.3">
      <c r="A165" t="s">
        <v>26</v>
      </c>
      <c r="B165" t="s">
        <v>45</v>
      </c>
      <c r="C165" t="s">
        <v>91</v>
      </c>
      <c r="D165" t="s">
        <v>375</v>
      </c>
      <c r="E165" t="s">
        <v>528</v>
      </c>
      <c r="F165" s="86">
        <v>52000</v>
      </c>
      <c r="G165" s="87">
        <v>12</v>
      </c>
      <c r="H165" s="88">
        <v>1.04</v>
      </c>
      <c r="I165" s="88">
        <v>1.0434722222222219</v>
      </c>
      <c r="J165" s="89">
        <v>0.99399161196207142</v>
      </c>
      <c r="K165" s="88">
        <v>0.99667243444695852</v>
      </c>
      <c r="L165" s="88">
        <v>1.006044706983058</v>
      </c>
      <c r="M165" s="88">
        <v>1</v>
      </c>
      <c r="N165" s="90">
        <v>0.68400000000000005</v>
      </c>
      <c r="O165" s="90">
        <v>0.68584476665355687</v>
      </c>
      <c r="P165" s="90">
        <v>0.65721841616904275</v>
      </c>
      <c r="Q165" s="91">
        <v>0</v>
      </c>
      <c r="R165" s="88">
        <v>0.96787202580992038</v>
      </c>
      <c r="S165" s="88">
        <v>0.9927403748134972</v>
      </c>
      <c r="T165" s="91">
        <v>3.3386752136752569E-3</v>
      </c>
      <c r="U165" s="91">
        <v>2.9756422201517641E-2</v>
      </c>
      <c r="V165" s="87">
        <v>0</v>
      </c>
      <c r="W165" s="91">
        <v>0</v>
      </c>
      <c r="X165" s="87">
        <v>1</v>
      </c>
      <c r="Y165" s="90">
        <v>0.68584476665355687</v>
      </c>
      <c r="Z165" s="90">
        <v>0.65721841616904275</v>
      </c>
      <c r="AA165" s="92">
        <v>0</v>
      </c>
      <c r="AB165" s="88">
        <v>0</v>
      </c>
      <c r="AC165" s="87">
        <v>1</v>
      </c>
      <c r="AD165" s="87">
        <v>1</v>
      </c>
      <c r="AE165" s="88">
        <v>1.02</v>
      </c>
      <c r="AF165" s="88">
        <v>1.016200824295963</v>
      </c>
      <c r="AG165" s="88">
        <v>1.0365239622595299</v>
      </c>
      <c r="AH165" s="88">
        <v>54080</v>
      </c>
      <c r="AI165" s="88">
        <v>54260.555555555562</v>
      </c>
      <c r="AJ165" s="88">
        <v>51687.563822027711</v>
      </c>
      <c r="AK165" s="88">
        <v>51826.966591241842</v>
      </c>
      <c r="AL165" s="88">
        <v>52314.324763119039</v>
      </c>
      <c r="AM165" s="88">
        <v>52000</v>
      </c>
      <c r="AN165" s="88">
        <v>35568</v>
      </c>
      <c r="AO165" s="88">
        <v>35663.927865984959</v>
      </c>
      <c r="AP165" s="88">
        <v>34175.357640790222</v>
      </c>
      <c r="AQ165" s="88">
        <v>0</v>
      </c>
      <c r="AR165" s="88">
        <v>50329.345342115863</v>
      </c>
      <c r="AS165" s="88">
        <v>51622.499490301852</v>
      </c>
      <c r="AT165" s="88">
        <v>35663.927865984959</v>
      </c>
      <c r="AU165" s="88">
        <v>34175.357640790222</v>
      </c>
      <c r="AV165" s="88">
        <v>52000</v>
      </c>
      <c r="AW165" s="88">
        <v>51480</v>
      </c>
      <c r="AX165" s="88">
        <v>52520</v>
      </c>
      <c r="AY165" s="88">
        <v>52000</v>
      </c>
      <c r="AZ165" s="88">
        <v>52000</v>
      </c>
      <c r="BA165" s="88">
        <v>52000</v>
      </c>
      <c r="BB165" s="88">
        <v>52000</v>
      </c>
      <c r="BC165" s="88">
        <v>52000</v>
      </c>
      <c r="BD165" s="88">
        <v>52000</v>
      </c>
      <c r="BE165" s="88">
        <v>52000</v>
      </c>
      <c r="BF165" s="88">
        <v>52000</v>
      </c>
      <c r="BG165" s="88">
        <v>52000</v>
      </c>
      <c r="BH165" s="88">
        <v>52000</v>
      </c>
      <c r="BI165" s="88">
        <v>52000</v>
      </c>
      <c r="BJ165" s="88">
        <v>52000</v>
      </c>
      <c r="BK165" s="88">
        <v>2962.6328027186678</v>
      </c>
      <c r="BL165" s="88">
        <v>847.56737446133718</v>
      </c>
      <c r="BM165" s="88">
        <v>846.4523034384373</v>
      </c>
      <c r="BN165" s="88">
        <v>845.30251408466302</v>
      </c>
      <c r="BO165" s="88">
        <v>844.1558441558517</v>
      </c>
      <c r="BP165" s="88">
        <v>843.01228097447915</v>
      </c>
      <c r="BQ165" s="88">
        <v>841.87181193169897</v>
      </c>
      <c r="BR165" s="88">
        <v>2954.3444365698178</v>
      </c>
      <c r="BS165" s="88">
        <v>2953.1647977351608</v>
      </c>
      <c r="BT165" s="88">
        <v>2951.9883376772659</v>
      </c>
      <c r="BU165" s="88">
        <v>2950.8150435645698</v>
      </c>
      <c r="BV165" s="88">
        <v>2949.6449026345922</v>
      </c>
      <c r="BW165" s="88">
        <v>2080.0000000000018</v>
      </c>
      <c r="BX165" s="88">
        <v>0</v>
      </c>
      <c r="BY165" s="88">
        <v>0</v>
      </c>
      <c r="BZ165" s="88">
        <v>0</v>
      </c>
      <c r="CA165" s="88">
        <v>0</v>
      </c>
      <c r="CB165" s="88">
        <v>0</v>
      </c>
      <c r="CC165" s="88">
        <v>0</v>
      </c>
      <c r="CD165" s="88">
        <v>2080.0000000000018</v>
      </c>
      <c r="CE165" s="88">
        <v>2080.0000000000018</v>
      </c>
      <c r="CF165" s="88">
        <v>2080.0000000000018</v>
      </c>
      <c r="CG165" s="88">
        <v>2080.0000000000018</v>
      </c>
      <c r="CH165" s="88">
        <v>2080.0000000000018</v>
      </c>
      <c r="CI165" s="88">
        <v>52000</v>
      </c>
      <c r="CJ165" s="88">
        <v>52000</v>
      </c>
      <c r="CK165" s="88">
        <v>52000</v>
      </c>
      <c r="CL165" s="88">
        <v>52000</v>
      </c>
      <c r="CM165" s="88">
        <v>52000</v>
      </c>
      <c r="CN165" s="88">
        <v>52000</v>
      </c>
      <c r="CO165" s="88">
        <v>52000</v>
      </c>
      <c r="CP165" s="88">
        <v>52000</v>
      </c>
      <c r="CQ165" s="88">
        <v>52000</v>
      </c>
      <c r="CR165" s="88">
        <v>52000</v>
      </c>
      <c r="CS165" s="88">
        <v>52000</v>
      </c>
      <c r="CT165" s="88">
        <v>52000</v>
      </c>
      <c r="CU165" s="88">
        <v>848.68538722948279</v>
      </c>
      <c r="CV165" s="88">
        <v>847.56737446133718</v>
      </c>
      <c r="CW165" s="88">
        <v>846.4523034384373</v>
      </c>
      <c r="CX165" s="88">
        <v>845.30251408466302</v>
      </c>
      <c r="CY165" s="88">
        <v>844.1558441558517</v>
      </c>
      <c r="CZ165" s="88">
        <v>843.01228097447915</v>
      </c>
      <c r="DA165" s="88">
        <v>841.87181193169897</v>
      </c>
      <c r="DB165" s="88">
        <v>840.71580439405216</v>
      </c>
      <c r="DC165" s="88">
        <v>839.58153628381194</v>
      </c>
      <c r="DD165" s="88">
        <v>838.45032468967156</v>
      </c>
      <c r="DE165" s="88">
        <v>837.32215727362643</v>
      </c>
      <c r="DF165" s="88">
        <v>836.19702176402916</v>
      </c>
      <c r="DG165" s="93">
        <v>46054</v>
      </c>
      <c r="DH165" s="91">
        <v>0.04</v>
      </c>
      <c r="DI165" t="s">
        <v>301</v>
      </c>
      <c r="DJ165" s="93">
        <v>46600</v>
      </c>
      <c r="DK165" s="91">
        <v>0.04</v>
      </c>
      <c r="DL165" t="s">
        <v>302</v>
      </c>
      <c r="DM165" s="93"/>
      <c r="DN165" s="91"/>
      <c r="DP165" s="93"/>
      <c r="DQ165" s="91"/>
    </row>
    <row r="166" spans="1:121" x14ac:dyDescent="0.3">
      <c r="A166" t="s">
        <v>26</v>
      </c>
      <c r="B166" t="s">
        <v>45</v>
      </c>
      <c r="C166" t="s">
        <v>92</v>
      </c>
      <c r="D166" t="s">
        <v>377</v>
      </c>
      <c r="E166" t="s">
        <v>529</v>
      </c>
      <c r="F166" s="86">
        <v>36000</v>
      </c>
      <c r="G166" s="87">
        <v>12</v>
      </c>
      <c r="H166" s="88">
        <v>1</v>
      </c>
      <c r="I166" s="88">
        <v>1</v>
      </c>
      <c r="J166" s="89">
        <v>0.9900000000000001</v>
      </c>
      <c r="K166" s="88">
        <v>1</v>
      </c>
      <c r="L166" s="88">
        <v>1.0101010101010099</v>
      </c>
      <c r="M166" s="88">
        <v>1</v>
      </c>
      <c r="N166" s="90">
        <v>0.66800000000000004</v>
      </c>
      <c r="O166" s="90">
        <v>0.67474747474747465</v>
      </c>
      <c r="P166" s="90">
        <v>0.67474747474747465</v>
      </c>
      <c r="Q166" s="91">
        <v>0</v>
      </c>
      <c r="R166" s="88">
        <v>1</v>
      </c>
      <c r="S166" s="88">
        <v>1.0101010101010099</v>
      </c>
      <c r="T166" s="91">
        <v>0</v>
      </c>
      <c r="U166" s="91">
        <v>0</v>
      </c>
      <c r="V166" s="87">
        <v>0</v>
      </c>
      <c r="W166" s="91">
        <v>0</v>
      </c>
      <c r="X166" s="87">
        <v>1</v>
      </c>
      <c r="Y166" s="90">
        <v>0.67474747474747465</v>
      </c>
      <c r="Z166" s="90">
        <v>0.67474747474747465</v>
      </c>
      <c r="AA166" s="92">
        <v>0</v>
      </c>
      <c r="AB166" s="88">
        <v>0</v>
      </c>
      <c r="AC166" s="87">
        <v>0</v>
      </c>
      <c r="AD166" s="87">
        <v>0</v>
      </c>
      <c r="AE166" s="88">
        <v>1</v>
      </c>
      <c r="AF166" s="88">
        <v>1</v>
      </c>
      <c r="AG166" s="88">
        <v>1</v>
      </c>
      <c r="AH166" s="88">
        <v>36000</v>
      </c>
      <c r="AI166" s="88">
        <v>36000</v>
      </c>
      <c r="AJ166" s="88">
        <v>35640.000000000007</v>
      </c>
      <c r="AK166" s="88">
        <v>36000</v>
      </c>
      <c r="AL166" s="88">
        <v>36363.63636363636</v>
      </c>
      <c r="AM166" s="88">
        <v>36000</v>
      </c>
      <c r="AN166" s="88">
        <v>24048</v>
      </c>
      <c r="AO166" s="88">
        <v>24290.909090909088</v>
      </c>
      <c r="AP166" s="88">
        <v>24290.909090909088</v>
      </c>
      <c r="AQ166" s="88">
        <v>0</v>
      </c>
      <c r="AR166" s="88">
        <v>36000</v>
      </c>
      <c r="AS166" s="88">
        <v>36363.63636363636</v>
      </c>
      <c r="AT166" s="88">
        <v>24290.909090909088</v>
      </c>
      <c r="AU166" s="88">
        <v>24290.909090909088</v>
      </c>
      <c r="AV166" s="88">
        <v>36000</v>
      </c>
      <c r="AW166" s="88">
        <v>35640</v>
      </c>
      <c r="AX166" s="88">
        <v>35640</v>
      </c>
      <c r="AY166" s="88">
        <v>36000</v>
      </c>
      <c r="AZ166" s="88">
        <v>36000</v>
      </c>
      <c r="BA166" s="88">
        <v>36000</v>
      </c>
      <c r="BB166" s="88">
        <v>36000</v>
      </c>
      <c r="BC166" s="88">
        <v>36000</v>
      </c>
      <c r="BD166" s="88">
        <v>36000</v>
      </c>
      <c r="BE166" s="88">
        <v>36000</v>
      </c>
      <c r="BF166" s="88">
        <v>36000</v>
      </c>
      <c r="BG166" s="88">
        <v>36000</v>
      </c>
      <c r="BH166" s="88">
        <v>36000</v>
      </c>
      <c r="BI166" s="88">
        <v>36000</v>
      </c>
      <c r="BJ166" s="88">
        <v>36000</v>
      </c>
      <c r="BK166" s="88">
        <v>0</v>
      </c>
      <c r="BL166" s="88">
        <v>0</v>
      </c>
      <c r="BM166" s="88">
        <v>0</v>
      </c>
      <c r="BN166" s="88">
        <v>0</v>
      </c>
      <c r="BO166" s="88">
        <v>0</v>
      </c>
      <c r="BP166" s="88">
        <v>0</v>
      </c>
      <c r="BQ166" s="88">
        <v>0</v>
      </c>
      <c r="BR166" s="88">
        <v>0</v>
      </c>
      <c r="BS166" s="88">
        <v>0</v>
      </c>
      <c r="BT166" s="88">
        <v>0</v>
      </c>
      <c r="BU166" s="88">
        <v>0</v>
      </c>
      <c r="BV166" s="88">
        <v>0</v>
      </c>
      <c r="BW166" s="88">
        <v>0</v>
      </c>
      <c r="BX166" s="88">
        <v>0</v>
      </c>
      <c r="BY166" s="88">
        <v>0</v>
      </c>
      <c r="BZ166" s="88">
        <v>0</v>
      </c>
      <c r="CA166" s="88">
        <v>0</v>
      </c>
      <c r="CB166" s="88">
        <v>0</v>
      </c>
      <c r="CC166" s="88">
        <v>0</v>
      </c>
      <c r="CD166" s="88">
        <v>0</v>
      </c>
      <c r="CE166" s="88">
        <v>0</v>
      </c>
      <c r="CF166" s="88">
        <v>0</v>
      </c>
      <c r="CG166" s="88">
        <v>0</v>
      </c>
      <c r="CH166" s="88">
        <v>0</v>
      </c>
      <c r="CI166" s="88">
        <v>36000</v>
      </c>
      <c r="CJ166" s="88">
        <v>36000</v>
      </c>
      <c r="CK166" s="88">
        <v>36000</v>
      </c>
      <c r="CL166" s="88">
        <v>36000</v>
      </c>
      <c r="CM166" s="88">
        <v>36000</v>
      </c>
      <c r="CN166" s="88">
        <v>36000</v>
      </c>
      <c r="CO166" s="88">
        <v>36000</v>
      </c>
      <c r="CP166" s="88">
        <v>36000</v>
      </c>
      <c r="CQ166" s="88">
        <v>36000</v>
      </c>
      <c r="CR166" s="88">
        <v>36000</v>
      </c>
      <c r="CS166" s="88">
        <v>36000</v>
      </c>
      <c r="CT166" s="88">
        <v>36000</v>
      </c>
      <c r="CU166" s="88">
        <v>0</v>
      </c>
      <c r="CV166" s="88">
        <v>0</v>
      </c>
      <c r="CW166" s="88">
        <v>0</v>
      </c>
      <c r="CX166" s="88">
        <v>0</v>
      </c>
      <c r="CY166" s="88">
        <v>0</v>
      </c>
      <c r="CZ166" s="88">
        <v>0</v>
      </c>
      <c r="DA166" s="88">
        <v>0</v>
      </c>
      <c r="DB166" s="88">
        <v>0</v>
      </c>
      <c r="DC166" s="88">
        <v>0</v>
      </c>
      <c r="DD166" s="88">
        <v>0</v>
      </c>
      <c r="DE166" s="88">
        <v>0</v>
      </c>
      <c r="DF166" s="88">
        <v>0</v>
      </c>
      <c r="DG166" s="93"/>
      <c r="DH166" s="91"/>
      <c r="DJ166" s="93"/>
      <c r="DK166" s="91"/>
      <c r="DM166" s="93"/>
      <c r="DN166" s="91"/>
      <c r="DP166" s="93"/>
      <c r="DQ166" s="91"/>
    </row>
    <row r="167" spans="1:121" x14ac:dyDescent="0.3">
      <c r="A167" t="s">
        <v>26</v>
      </c>
      <c r="B167" t="s">
        <v>45</v>
      </c>
      <c r="C167" t="s">
        <v>94</v>
      </c>
      <c r="D167" t="s">
        <v>379</v>
      </c>
      <c r="E167" t="s">
        <v>530</v>
      </c>
      <c r="F167" s="86">
        <v>88000</v>
      </c>
      <c r="G167" s="87">
        <v>12</v>
      </c>
      <c r="H167" s="88">
        <v>1.06</v>
      </c>
      <c r="I167" s="88">
        <v>1.058125</v>
      </c>
      <c r="J167" s="89">
        <v>0.99299370897155337</v>
      </c>
      <c r="K167" s="88">
        <v>1.0017720023626699</v>
      </c>
      <c r="L167" s="88">
        <v>1.007055725494679</v>
      </c>
      <c r="M167" s="88">
        <v>1</v>
      </c>
      <c r="N167" s="90">
        <v>0.69599999999999995</v>
      </c>
      <c r="O167" s="90">
        <v>0.70215280051123874</v>
      </c>
      <c r="P167" s="90">
        <v>0.69392894508463221</v>
      </c>
      <c r="Q167" s="91">
        <v>0</v>
      </c>
      <c r="R167" s="88">
        <v>0.99999999999999978</v>
      </c>
      <c r="S167" s="88">
        <v>0.99702434638596604</v>
      </c>
      <c r="T167" s="91">
        <v>-1.768867924528128E-3</v>
      </c>
      <c r="U167" s="91">
        <v>1.7720023626699439E-3</v>
      </c>
      <c r="V167" s="87">
        <v>0</v>
      </c>
      <c r="W167" s="91">
        <v>0</v>
      </c>
      <c r="X167" s="87">
        <v>1</v>
      </c>
      <c r="Y167" s="90">
        <v>0.70215280051123874</v>
      </c>
      <c r="Z167" s="90">
        <v>0.69392894508463221</v>
      </c>
      <c r="AA167" s="92">
        <v>0</v>
      </c>
      <c r="AB167" s="88">
        <v>0</v>
      </c>
      <c r="AC167" s="87">
        <v>1</v>
      </c>
      <c r="AD167" s="87">
        <v>0</v>
      </c>
      <c r="AE167" s="88">
        <v>1.0149999999999999</v>
      </c>
      <c r="AF167" s="88">
        <v>1.012138206284618</v>
      </c>
      <c r="AG167" s="88">
        <v>1.027321108788291</v>
      </c>
      <c r="AH167" s="88">
        <v>93280</v>
      </c>
      <c r="AI167" s="88">
        <v>93115.000000000015</v>
      </c>
      <c r="AJ167" s="88">
        <v>87383.44638949669</v>
      </c>
      <c r="AK167" s="88">
        <v>88155.936207914929</v>
      </c>
      <c r="AL167" s="88">
        <v>88620.903843531778</v>
      </c>
      <c r="AM167" s="88">
        <v>88000</v>
      </c>
      <c r="AN167" s="88">
        <v>61247.999999999993</v>
      </c>
      <c r="AO167" s="88">
        <v>61789.446444989007</v>
      </c>
      <c r="AP167" s="88">
        <v>61065.747167447633</v>
      </c>
      <c r="AQ167" s="88">
        <v>0</v>
      </c>
      <c r="AR167" s="88">
        <v>87999.999999999985</v>
      </c>
      <c r="AS167" s="88">
        <v>87738.142481965013</v>
      </c>
      <c r="AT167" s="88">
        <v>61789.446444989007</v>
      </c>
      <c r="AU167" s="88">
        <v>61065.747167447633</v>
      </c>
      <c r="AV167" s="88">
        <v>88000</v>
      </c>
      <c r="AW167" s="88">
        <v>87120</v>
      </c>
      <c r="AX167" s="88">
        <v>88439.999999999985</v>
      </c>
      <c r="AY167" s="88">
        <v>88000</v>
      </c>
      <c r="AZ167" s="88">
        <v>88000</v>
      </c>
      <c r="BA167" s="88">
        <v>88000</v>
      </c>
      <c r="BB167" s="88">
        <v>88000</v>
      </c>
      <c r="BC167" s="88">
        <v>88000</v>
      </c>
      <c r="BD167" s="88">
        <v>88000</v>
      </c>
      <c r="BE167" s="88">
        <v>88000</v>
      </c>
      <c r="BF167" s="88">
        <v>88000</v>
      </c>
      <c r="BG167" s="88">
        <v>88000</v>
      </c>
      <c r="BH167" s="88">
        <v>88000</v>
      </c>
      <c r="BI167" s="88">
        <v>88000</v>
      </c>
      <c r="BJ167" s="88">
        <v>88000</v>
      </c>
      <c r="BK167" s="88">
        <v>6418.530990319201</v>
      </c>
      <c r="BL167" s="88">
        <v>6417.408966392738</v>
      </c>
      <c r="BM167" s="88">
        <v>6416.2891518013439</v>
      </c>
      <c r="BN167" s="88">
        <v>1070.8808428352229</v>
      </c>
      <c r="BO167" s="88">
        <v>1069.793002381394</v>
      </c>
      <c r="BP167" s="88">
        <v>1068.7073698219931</v>
      </c>
      <c r="BQ167" s="88">
        <v>1067.623938442088</v>
      </c>
      <c r="BR167" s="88">
        <v>1066.5249946042809</v>
      </c>
      <c r="BS167" s="88">
        <v>1065.4459813580049</v>
      </c>
      <c r="BT167" s="88">
        <v>1064.369149200566</v>
      </c>
      <c r="BU167" s="88">
        <v>1063.294491525417</v>
      </c>
      <c r="BV167" s="88">
        <v>1062.222001752742</v>
      </c>
      <c r="BW167" s="88">
        <v>5280.0000000000045</v>
      </c>
      <c r="BX167" s="88">
        <v>5280.0000000000045</v>
      </c>
      <c r="BY167" s="88">
        <v>5280.0000000000045</v>
      </c>
      <c r="BZ167" s="88">
        <v>0</v>
      </c>
      <c r="CA167" s="88">
        <v>0</v>
      </c>
      <c r="CB167" s="88">
        <v>0</v>
      </c>
      <c r="CC167" s="88">
        <v>0</v>
      </c>
      <c r="CD167" s="88">
        <v>0</v>
      </c>
      <c r="CE167" s="88">
        <v>0</v>
      </c>
      <c r="CF167" s="88">
        <v>0</v>
      </c>
      <c r="CG167" s="88">
        <v>0</v>
      </c>
      <c r="CH167" s="88">
        <v>0</v>
      </c>
      <c r="CI167" s="88">
        <v>88000</v>
      </c>
      <c r="CJ167" s="88">
        <v>88000</v>
      </c>
      <c r="CK167" s="88">
        <v>88000</v>
      </c>
      <c r="CL167" s="88">
        <v>88000</v>
      </c>
      <c r="CM167" s="88">
        <v>88000</v>
      </c>
      <c r="CN167" s="88">
        <v>88000</v>
      </c>
      <c r="CO167" s="88">
        <v>88000</v>
      </c>
      <c r="CP167" s="88">
        <v>88000</v>
      </c>
      <c r="CQ167" s="88">
        <v>88000</v>
      </c>
      <c r="CR167" s="88">
        <v>88000</v>
      </c>
      <c r="CS167" s="88">
        <v>88000</v>
      </c>
      <c r="CT167" s="88">
        <v>88000</v>
      </c>
      <c r="CU167" s="88">
        <v>1074.0858399237629</v>
      </c>
      <c r="CV167" s="88">
        <v>1073.0273267855989</v>
      </c>
      <c r="CW167" s="88">
        <v>1071.970897925791</v>
      </c>
      <c r="CX167" s="88">
        <v>1070.8808428352229</v>
      </c>
      <c r="CY167" s="88">
        <v>1069.793002381394</v>
      </c>
      <c r="CZ167" s="88">
        <v>1068.7073698219931</v>
      </c>
      <c r="DA167" s="88">
        <v>1067.623938442088</v>
      </c>
      <c r="DB167" s="88">
        <v>1066.5249946042809</v>
      </c>
      <c r="DC167" s="88">
        <v>1065.4459813580049</v>
      </c>
      <c r="DD167" s="88">
        <v>1064.369149200566</v>
      </c>
      <c r="DE167" s="88">
        <v>1063.294491525417</v>
      </c>
      <c r="DF167" s="88">
        <v>1062.222001752742</v>
      </c>
      <c r="DG167" s="93">
        <v>46113</v>
      </c>
      <c r="DH167" s="91">
        <v>0.06</v>
      </c>
      <c r="DI167" t="s">
        <v>301</v>
      </c>
      <c r="DJ167" s="93"/>
      <c r="DK167" s="91"/>
      <c r="DM167" s="93"/>
      <c r="DN167" s="91"/>
      <c r="DP167" s="93"/>
      <c r="DQ167" s="91"/>
    </row>
    <row r="168" spans="1:121" x14ac:dyDescent="0.3">
      <c r="A168" t="s">
        <v>26</v>
      </c>
      <c r="B168" t="s">
        <v>45</v>
      </c>
      <c r="C168" t="s">
        <v>95</v>
      </c>
      <c r="D168" t="s">
        <v>381</v>
      </c>
      <c r="E168" t="s">
        <v>531</v>
      </c>
      <c r="F168" s="86">
        <v>72000</v>
      </c>
      <c r="G168" s="87">
        <v>12</v>
      </c>
      <c r="H168" s="88">
        <v>1.02</v>
      </c>
      <c r="I168" s="88">
        <v>1.018888888888889</v>
      </c>
      <c r="J168" s="89">
        <v>0.98900209700948194</v>
      </c>
      <c r="K168" s="88">
        <v>1.001090512540894</v>
      </c>
      <c r="L168" s="88">
        <v>1.011120201892163</v>
      </c>
      <c r="M168" s="88">
        <v>1</v>
      </c>
      <c r="N168" s="90">
        <v>0.68</v>
      </c>
      <c r="O168" s="90">
        <v>0.688311531983821</v>
      </c>
      <c r="P168" s="90">
        <v>0.68988479223021226</v>
      </c>
      <c r="Q168" s="91">
        <v>0</v>
      </c>
      <c r="R168" s="88">
        <v>1</v>
      </c>
      <c r="S168" s="88">
        <v>1.0145364591620769</v>
      </c>
      <c r="T168" s="91">
        <v>-1.089324618736343E-3</v>
      </c>
      <c r="U168" s="91">
        <v>1.090512540893984E-3</v>
      </c>
      <c r="V168" s="87">
        <v>0</v>
      </c>
      <c r="W168" s="91">
        <v>0</v>
      </c>
      <c r="X168" s="87">
        <v>1</v>
      </c>
      <c r="Y168" s="90">
        <v>0.688311531983821</v>
      </c>
      <c r="Z168" s="90">
        <v>0.68988479223021226</v>
      </c>
      <c r="AA168" s="92">
        <v>0</v>
      </c>
      <c r="AB168" s="88">
        <v>0</v>
      </c>
      <c r="AC168" s="87">
        <v>1</v>
      </c>
      <c r="AD168" s="87">
        <v>0</v>
      </c>
      <c r="AE168" s="88">
        <v>1.006666666666667</v>
      </c>
      <c r="AF168" s="88">
        <v>0.99597028697853884</v>
      </c>
      <c r="AG168" s="88">
        <v>1.002610124973867</v>
      </c>
      <c r="AH168" s="88">
        <v>73440</v>
      </c>
      <c r="AI168" s="88">
        <v>73360</v>
      </c>
      <c r="AJ168" s="88">
        <v>71208.150984682696</v>
      </c>
      <c r="AK168" s="88">
        <v>72078.516902944379</v>
      </c>
      <c r="AL168" s="88">
        <v>72800.654536235743</v>
      </c>
      <c r="AM168" s="88">
        <v>72000</v>
      </c>
      <c r="AN168" s="88">
        <v>48960</v>
      </c>
      <c r="AO168" s="88">
        <v>49558.430302835113</v>
      </c>
      <c r="AP168" s="88">
        <v>49671.705040575282</v>
      </c>
      <c r="AQ168" s="88">
        <v>0</v>
      </c>
      <c r="AR168" s="88">
        <v>72000.000000000015</v>
      </c>
      <c r="AS168" s="88">
        <v>73046.625059669517</v>
      </c>
      <c r="AT168" s="88">
        <v>49558.430302835113</v>
      </c>
      <c r="AU168" s="88">
        <v>49671.705040575282</v>
      </c>
      <c r="AV168" s="88">
        <v>72000</v>
      </c>
      <c r="AW168" s="88">
        <v>71280</v>
      </c>
      <c r="AX168" s="88">
        <v>70920</v>
      </c>
      <c r="AY168" s="88">
        <v>72000</v>
      </c>
      <c r="AZ168" s="88">
        <v>72000</v>
      </c>
      <c r="BA168" s="88">
        <v>72000</v>
      </c>
      <c r="BB168" s="88">
        <v>72000</v>
      </c>
      <c r="BC168" s="88">
        <v>72000</v>
      </c>
      <c r="BD168" s="88">
        <v>72000</v>
      </c>
      <c r="BE168" s="88">
        <v>72000</v>
      </c>
      <c r="BF168" s="88">
        <v>72000</v>
      </c>
      <c r="BG168" s="88">
        <v>72000</v>
      </c>
      <c r="BH168" s="88">
        <v>72000</v>
      </c>
      <c r="BI168" s="88">
        <v>72000</v>
      </c>
      <c r="BJ168" s="88">
        <v>72000</v>
      </c>
      <c r="BK168" s="88">
        <v>1144.6003295001881</v>
      </c>
      <c r="BL168" s="88">
        <v>1144.5042661551649</v>
      </c>
      <c r="BM168" s="88">
        <v>1144.4081403106329</v>
      </c>
      <c r="BN168" s="88">
        <v>1144.308690184658</v>
      </c>
      <c r="BO168" s="88">
        <v>-289.99100674769448</v>
      </c>
      <c r="BP168" s="88">
        <v>-290.08863819500522</v>
      </c>
      <c r="BQ168" s="88">
        <v>-290.18633540372821</v>
      </c>
      <c r="BR168" s="88">
        <v>-290.28570166185392</v>
      </c>
      <c r="BS168" s="88">
        <v>-290.38353167368928</v>
      </c>
      <c r="BT168" s="88">
        <v>-290.48142764768858</v>
      </c>
      <c r="BU168" s="88">
        <v>-290.57938965059822</v>
      </c>
      <c r="BV168" s="88">
        <v>-290.67741774923661</v>
      </c>
      <c r="BW168" s="88">
        <v>1440.0000000000009</v>
      </c>
      <c r="BX168" s="88">
        <v>1440.0000000000009</v>
      </c>
      <c r="BY168" s="88">
        <v>1440.0000000000009</v>
      </c>
      <c r="BZ168" s="88">
        <v>1440.0000000000009</v>
      </c>
      <c r="CA168" s="88">
        <v>0</v>
      </c>
      <c r="CB168" s="88">
        <v>0</v>
      </c>
      <c r="CC168" s="88">
        <v>0</v>
      </c>
      <c r="CD168" s="88">
        <v>0</v>
      </c>
      <c r="CE168" s="88">
        <v>0</v>
      </c>
      <c r="CF168" s="88">
        <v>0</v>
      </c>
      <c r="CG168" s="88">
        <v>0</v>
      </c>
      <c r="CH168" s="88">
        <v>0</v>
      </c>
      <c r="CI168" s="88">
        <v>72000</v>
      </c>
      <c r="CJ168" s="88">
        <v>72000</v>
      </c>
      <c r="CK168" s="88">
        <v>72000</v>
      </c>
      <c r="CL168" s="88">
        <v>72000</v>
      </c>
      <c r="CM168" s="88">
        <v>72000</v>
      </c>
      <c r="CN168" s="88">
        <v>72000</v>
      </c>
      <c r="CO168" s="88">
        <v>72000</v>
      </c>
      <c r="CP168" s="88">
        <v>72000</v>
      </c>
      <c r="CQ168" s="88">
        <v>72000</v>
      </c>
      <c r="CR168" s="88">
        <v>72000</v>
      </c>
      <c r="CS168" s="88">
        <v>72000</v>
      </c>
      <c r="CT168" s="88">
        <v>72000</v>
      </c>
      <c r="CU168" s="88">
        <v>-289.60752009785921</v>
      </c>
      <c r="CV168" s="88">
        <v>-289.70169984787378</v>
      </c>
      <c r="CW168" s="88">
        <v>-289.79594087192243</v>
      </c>
      <c r="CX168" s="88">
        <v>-289.89344099543331</v>
      </c>
      <c r="CY168" s="88">
        <v>-289.99100674769448</v>
      </c>
      <c r="CZ168" s="88">
        <v>-290.08863819500522</v>
      </c>
      <c r="DA168" s="88">
        <v>-290.18633540372821</v>
      </c>
      <c r="DB168" s="88">
        <v>-290.28570166185392</v>
      </c>
      <c r="DC168" s="88">
        <v>-290.38353167368928</v>
      </c>
      <c r="DD168" s="88">
        <v>-290.48142764768858</v>
      </c>
      <c r="DE168" s="88">
        <v>-290.57938965059822</v>
      </c>
      <c r="DF168" s="88">
        <v>-290.67741774923661</v>
      </c>
      <c r="DG168" s="93">
        <v>46143</v>
      </c>
      <c r="DH168" s="91">
        <v>0.02</v>
      </c>
      <c r="DI168" t="s">
        <v>301</v>
      </c>
      <c r="DJ168" s="93"/>
      <c r="DK168" s="91"/>
      <c r="DM168" s="93"/>
      <c r="DN168" s="91"/>
      <c r="DP168" s="93"/>
      <c r="DQ168" s="91"/>
    </row>
    <row r="169" spans="1:121" x14ac:dyDescent="0.3">
      <c r="A169" t="s">
        <v>26</v>
      </c>
      <c r="B169" t="s">
        <v>45</v>
      </c>
      <c r="C169" t="s">
        <v>96</v>
      </c>
      <c r="D169" t="s">
        <v>383</v>
      </c>
      <c r="E169" t="s">
        <v>532</v>
      </c>
      <c r="F169" s="86">
        <v>56000</v>
      </c>
      <c r="G169" s="87">
        <v>12</v>
      </c>
      <c r="H169" s="88">
        <v>1</v>
      </c>
      <c r="I169" s="88">
        <v>1.016805555555556</v>
      </c>
      <c r="J169" s="89">
        <v>0.99199580598103554</v>
      </c>
      <c r="K169" s="88">
        <v>0.98347220325092199</v>
      </c>
      <c r="L169" s="88">
        <v>1.008068778084247</v>
      </c>
      <c r="M169" s="88">
        <v>1</v>
      </c>
      <c r="N169" s="90">
        <v>0.66400000000000003</v>
      </c>
      <c r="O169" s="90">
        <v>0.6582946611480901</v>
      </c>
      <c r="P169" s="90">
        <v>0.63940594820769303</v>
      </c>
      <c r="Q169" s="91">
        <v>0</v>
      </c>
      <c r="R169" s="88">
        <v>0.96166688927474264</v>
      </c>
      <c r="S169" s="88">
        <v>1.0013454514372071</v>
      </c>
      <c r="T169" s="91">
        <v>1.6805555555555522E-2</v>
      </c>
      <c r="U169" s="91">
        <v>2.2674498019396468E-2</v>
      </c>
      <c r="V169" s="87">
        <v>0</v>
      </c>
      <c r="W169" s="91">
        <v>0</v>
      </c>
      <c r="X169" s="87">
        <v>1</v>
      </c>
      <c r="Y169" s="90">
        <v>0.6582946611480901</v>
      </c>
      <c r="Z169" s="90">
        <v>0.63940594820769303</v>
      </c>
      <c r="AA169" s="92">
        <v>0</v>
      </c>
      <c r="AB169" s="88">
        <v>0</v>
      </c>
      <c r="AC169" s="87">
        <v>0</v>
      </c>
      <c r="AD169" s="87">
        <v>1</v>
      </c>
      <c r="AE169" s="88">
        <v>1.036666666666666</v>
      </c>
      <c r="AF169" s="88">
        <v>1.0080839018517109</v>
      </c>
      <c r="AG169" s="88">
        <v>1.045046878840667</v>
      </c>
      <c r="AH169" s="88">
        <v>56000</v>
      </c>
      <c r="AI169" s="88">
        <v>56941.111111111109</v>
      </c>
      <c r="AJ169" s="88">
        <v>55551.765134937988</v>
      </c>
      <c r="AK169" s="88">
        <v>55074.443382051642</v>
      </c>
      <c r="AL169" s="88">
        <v>56451.851572717816</v>
      </c>
      <c r="AM169" s="88">
        <v>56000</v>
      </c>
      <c r="AN169" s="88">
        <v>37184</v>
      </c>
      <c r="AO169" s="88">
        <v>36864.501024293037</v>
      </c>
      <c r="AP169" s="88">
        <v>35806.733099630808</v>
      </c>
      <c r="AQ169" s="88">
        <v>0</v>
      </c>
      <c r="AR169" s="88">
        <v>53853.345799385577</v>
      </c>
      <c r="AS169" s="88">
        <v>56075.345280483583</v>
      </c>
      <c r="AT169" s="88">
        <v>36864.501024293037</v>
      </c>
      <c r="AU169" s="88">
        <v>35806.733099630808</v>
      </c>
      <c r="AV169" s="88">
        <v>56000</v>
      </c>
      <c r="AW169" s="88">
        <v>55440</v>
      </c>
      <c r="AX169" s="88">
        <v>56000</v>
      </c>
      <c r="AY169" s="88">
        <v>56000</v>
      </c>
      <c r="AZ169" s="88">
        <v>56000</v>
      </c>
      <c r="BA169" s="88">
        <v>56000</v>
      </c>
      <c r="BB169" s="88">
        <v>56000</v>
      </c>
      <c r="BC169" s="88">
        <v>56000</v>
      </c>
      <c r="BD169" s="88">
        <v>56000</v>
      </c>
      <c r="BE169" s="88">
        <v>56000</v>
      </c>
      <c r="BF169" s="88">
        <v>56000</v>
      </c>
      <c r="BG169" s="88">
        <v>56000</v>
      </c>
      <c r="BH169" s="88">
        <v>56000</v>
      </c>
      <c r="BI169" s="88">
        <v>56000</v>
      </c>
      <c r="BJ169" s="88">
        <v>56000</v>
      </c>
      <c r="BK169" s="88">
        <v>454.368629891853</v>
      </c>
      <c r="BL169" s="88">
        <v>2712.233699877821</v>
      </c>
      <c r="BM169" s="88">
        <v>2711.9244302856018</v>
      </c>
      <c r="BN169" s="88">
        <v>2711.6051026067612</v>
      </c>
      <c r="BO169" s="88">
        <v>2711.2862067818728</v>
      </c>
      <c r="BP169" s="88">
        <v>2710.9677419354748</v>
      </c>
      <c r="BQ169" s="88">
        <v>2710.6497071944909</v>
      </c>
      <c r="BR169" s="88">
        <v>2710.3268986116532</v>
      </c>
      <c r="BS169" s="88">
        <v>2710.0097284867802</v>
      </c>
      <c r="BT169" s="88">
        <v>2709.6929858479689</v>
      </c>
      <c r="BU169" s="88">
        <v>2709.3766698315212</v>
      </c>
      <c r="BV169" s="88">
        <v>2709.0607795761221</v>
      </c>
      <c r="BW169" s="88">
        <v>0</v>
      </c>
      <c r="BX169" s="88">
        <v>2240.0000000000018</v>
      </c>
      <c r="BY169" s="88">
        <v>2240.0000000000018</v>
      </c>
      <c r="BZ169" s="88">
        <v>2240.0000000000018</v>
      </c>
      <c r="CA169" s="88">
        <v>2240.0000000000018</v>
      </c>
      <c r="CB169" s="88">
        <v>2240.0000000000018</v>
      </c>
      <c r="CC169" s="88">
        <v>2240.0000000000018</v>
      </c>
      <c r="CD169" s="88">
        <v>2240.0000000000018</v>
      </c>
      <c r="CE169" s="88">
        <v>2240.0000000000018</v>
      </c>
      <c r="CF169" s="88">
        <v>2240.0000000000018</v>
      </c>
      <c r="CG169" s="88">
        <v>2240.0000000000018</v>
      </c>
      <c r="CH169" s="88">
        <v>2240.0000000000018</v>
      </c>
      <c r="CI169" s="88">
        <v>56000</v>
      </c>
      <c r="CJ169" s="88">
        <v>56000</v>
      </c>
      <c r="CK169" s="88">
        <v>56000</v>
      </c>
      <c r="CL169" s="88">
        <v>56000</v>
      </c>
      <c r="CM169" s="88">
        <v>56000</v>
      </c>
      <c r="CN169" s="88">
        <v>56000</v>
      </c>
      <c r="CO169" s="88">
        <v>56000</v>
      </c>
      <c r="CP169" s="88">
        <v>56000</v>
      </c>
      <c r="CQ169" s="88">
        <v>56000</v>
      </c>
      <c r="CR169" s="88">
        <v>56000</v>
      </c>
      <c r="CS169" s="88">
        <v>56000</v>
      </c>
      <c r="CT169" s="88">
        <v>56000</v>
      </c>
      <c r="CU169" s="88">
        <v>454.368629891853</v>
      </c>
      <c r="CV169" s="88">
        <v>454.0708652671288</v>
      </c>
      <c r="CW169" s="88">
        <v>453.77349065923408</v>
      </c>
      <c r="CX169" s="88">
        <v>453.46644481419321</v>
      </c>
      <c r="CY169" s="88">
        <v>453.1598142133397</v>
      </c>
      <c r="CZ169" s="88">
        <v>452.85359801488312</v>
      </c>
      <c r="DA169" s="88">
        <v>452.54779537932058</v>
      </c>
      <c r="DB169" s="88">
        <v>452.23740251120319</v>
      </c>
      <c r="DC169" s="88">
        <v>451.93243123729047</v>
      </c>
      <c r="DD169" s="88">
        <v>451.62787100766451</v>
      </c>
      <c r="DE169" s="88">
        <v>451.32372099184971</v>
      </c>
      <c r="DF169" s="88">
        <v>451.01998036165901</v>
      </c>
      <c r="DG169" s="93">
        <v>46419</v>
      </c>
      <c r="DH169" s="91">
        <v>0.04</v>
      </c>
      <c r="DI169" t="s">
        <v>302</v>
      </c>
      <c r="DJ169" s="93"/>
      <c r="DK169" s="91"/>
      <c r="DM169" s="93"/>
      <c r="DN169" s="91"/>
      <c r="DP169" s="93"/>
      <c r="DQ169" s="91"/>
    </row>
    <row r="170" spans="1:121" x14ac:dyDescent="0.3">
      <c r="A170" t="s">
        <v>26</v>
      </c>
      <c r="B170" t="s">
        <v>47</v>
      </c>
      <c r="C170" t="s">
        <v>43</v>
      </c>
      <c r="D170" t="s">
        <v>385</v>
      </c>
      <c r="E170" t="s">
        <v>533</v>
      </c>
      <c r="F170" s="86">
        <v>40000</v>
      </c>
      <c r="G170" s="87">
        <v>12</v>
      </c>
      <c r="H170" s="88">
        <v>1.04</v>
      </c>
      <c r="I170" s="88">
        <v>1.0349999999999999</v>
      </c>
      <c r="J170" s="89">
        <v>0.98800419401896411</v>
      </c>
      <c r="K170" s="88">
        <v>1.0048309178743959</v>
      </c>
      <c r="L170" s="88">
        <v>1.012141452489427</v>
      </c>
      <c r="M170" s="88">
        <v>1</v>
      </c>
      <c r="N170" s="90">
        <v>0.69199999999999995</v>
      </c>
      <c r="O170" s="90">
        <v>0.70378546910878326</v>
      </c>
      <c r="P170" s="90">
        <v>0.70515563481953925</v>
      </c>
      <c r="Q170" s="91">
        <v>0</v>
      </c>
      <c r="R170" s="88">
        <v>0.99999999999999978</v>
      </c>
      <c r="S170" s="88">
        <v>1.019011032976213</v>
      </c>
      <c r="T170" s="91">
        <v>-4.8076923076921796E-3</v>
      </c>
      <c r="U170" s="91">
        <v>4.8309178743961567E-3</v>
      </c>
      <c r="V170" s="87">
        <v>0</v>
      </c>
      <c r="W170" s="91">
        <v>0</v>
      </c>
      <c r="X170" s="87">
        <v>1</v>
      </c>
      <c r="Y170" s="90">
        <v>0.70378546910878326</v>
      </c>
      <c r="Z170" s="90">
        <v>0.70515563481953925</v>
      </c>
      <c r="AA170" s="92">
        <v>0</v>
      </c>
      <c r="AB170" s="88">
        <v>0</v>
      </c>
      <c r="AC170" s="87">
        <v>1</v>
      </c>
      <c r="AD170" s="87">
        <v>0</v>
      </c>
      <c r="AE170" s="88">
        <v>1.02</v>
      </c>
      <c r="AF170" s="88">
        <v>0.99194865631796525</v>
      </c>
      <c r="AG170" s="88">
        <v>1.0117879543071659</v>
      </c>
      <c r="AH170" s="88">
        <v>41600</v>
      </c>
      <c r="AI170" s="88">
        <v>41400.000000000007</v>
      </c>
      <c r="AJ170" s="88">
        <v>39520.167760758573</v>
      </c>
      <c r="AK170" s="88">
        <v>40193.236714975843</v>
      </c>
      <c r="AL170" s="88">
        <v>40485.658099577078</v>
      </c>
      <c r="AM170" s="88">
        <v>40000</v>
      </c>
      <c r="AN170" s="88">
        <v>27680</v>
      </c>
      <c r="AO170" s="88">
        <v>28151.418764351329</v>
      </c>
      <c r="AP170" s="88">
        <v>28206.225392781569</v>
      </c>
      <c r="AQ170" s="88">
        <v>0</v>
      </c>
      <c r="AR170" s="88">
        <v>39999.999999999993</v>
      </c>
      <c r="AS170" s="88">
        <v>40760.441319048521</v>
      </c>
      <c r="AT170" s="88">
        <v>28151.418764351329</v>
      </c>
      <c r="AU170" s="88">
        <v>28206.225392781569</v>
      </c>
      <c r="AV170" s="88">
        <v>40000</v>
      </c>
      <c r="AW170" s="88">
        <v>39600</v>
      </c>
      <c r="AX170" s="88">
        <v>39200</v>
      </c>
      <c r="AY170" s="88">
        <v>40000</v>
      </c>
      <c r="AZ170" s="88">
        <v>40000</v>
      </c>
      <c r="BA170" s="88">
        <v>40000</v>
      </c>
      <c r="BB170" s="88">
        <v>40000</v>
      </c>
      <c r="BC170" s="88">
        <v>40000</v>
      </c>
      <c r="BD170" s="88">
        <v>40000</v>
      </c>
      <c r="BE170" s="88">
        <v>40000</v>
      </c>
      <c r="BF170" s="88">
        <v>40000</v>
      </c>
      <c r="BG170" s="88">
        <v>40000</v>
      </c>
      <c r="BH170" s="88">
        <v>40000</v>
      </c>
      <c r="BI170" s="88">
        <v>40000</v>
      </c>
      <c r="BJ170" s="88">
        <v>40000</v>
      </c>
      <c r="BK170" s="88">
        <v>1266.2893814353729</v>
      </c>
      <c r="BL170" s="88">
        <v>1266.0728816168551</v>
      </c>
      <c r="BM170" s="88">
        <v>1265.856100700908</v>
      </c>
      <c r="BN170" s="88">
        <v>1265.6316751447871</v>
      </c>
      <c r="BO170" s="88">
        <v>1265.406947918164</v>
      </c>
      <c r="BP170" s="88">
        <v>1265.1819184123519</v>
      </c>
      <c r="BQ170" s="88">
        <v>-322.15712882975203</v>
      </c>
      <c r="BR170" s="88">
        <v>-322.37764553915582</v>
      </c>
      <c r="BS170" s="88">
        <v>-322.59490034910692</v>
      </c>
      <c r="BT170" s="88">
        <v>-322.81244817865758</v>
      </c>
      <c r="BU170" s="88">
        <v>-323.03028962099131</v>
      </c>
      <c r="BV170" s="88">
        <v>-323.24842527094341</v>
      </c>
      <c r="BW170" s="88">
        <v>1600.0000000000009</v>
      </c>
      <c r="BX170" s="88">
        <v>1600.0000000000009</v>
      </c>
      <c r="BY170" s="88">
        <v>1600.0000000000009</v>
      </c>
      <c r="BZ170" s="88">
        <v>1600.0000000000009</v>
      </c>
      <c r="CA170" s="88">
        <v>1600.0000000000009</v>
      </c>
      <c r="CB170" s="88">
        <v>1600.0000000000009</v>
      </c>
      <c r="CC170" s="88">
        <v>0</v>
      </c>
      <c r="CD170" s="88">
        <v>0</v>
      </c>
      <c r="CE170" s="88">
        <v>0</v>
      </c>
      <c r="CF170" s="88">
        <v>0</v>
      </c>
      <c r="CG170" s="88">
        <v>0</v>
      </c>
      <c r="CH170" s="88">
        <v>0</v>
      </c>
      <c r="CI170" s="88">
        <v>40000</v>
      </c>
      <c r="CJ170" s="88">
        <v>40000</v>
      </c>
      <c r="CK170" s="88">
        <v>40000</v>
      </c>
      <c r="CL170" s="88">
        <v>40000</v>
      </c>
      <c r="CM170" s="88">
        <v>40000</v>
      </c>
      <c r="CN170" s="88">
        <v>40000</v>
      </c>
      <c r="CO170" s="88">
        <v>40000</v>
      </c>
      <c r="CP170" s="88">
        <v>40000</v>
      </c>
      <c r="CQ170" s="88">
        <v>40000</v>
      </c>
      <c r="CR170" s="88">
        <v>40000</v>
      </c>
      <c r="CS170" s="88">
        <v>40000</v>
      </c>
      <c r="CT170" s="88">
        <v>40000</v>
      </c>
      <c r="CU170" s="88">
        <v>-320.87559477368188</v>
      </c>
      <c r="CV170" s="88">
        <v>-321.08376767610031</v>
      </c>
      <c r="CW170" s="88">
        <v>-321.29221086451662</v>
      </c>
      <c r="CX170" s="88">
        <v>-321.50800466847147</v>
      </c>
      <c r="CY170" s="88">
        <v>-321.72408854023172</v>
      </c>
      <c r="CZ170" s="88">
        <v>-321.94046306504907</v>
      </c>
      <c r="DA170" s="88">
        <v>-322.15712882975203</v>
      </c>
      <c r="DB170" s="88">
        <v>-322.37764553915582</v>
      </c>
      <c r="DC170" s="88">
        <v>-322.59490034910692</v>
      </c>
      <c r="DD170" s="88">
        <v>-322.81244817865758</v>
      </c>
      <c r="DE170" s="88">
        <v>-323.03028962099131</v>
      </c>
      <c r="DF170" s="88">
        <v>-323.24842527094341</v>
      </c>
      <c r="DG170" s="93">
        <v>46204</v>
      </c>
      <c r="DH170" s="91">
        <v>0.04</v>
      </c>
      <c r="DI170" t="s">
        <v>301</v>
      </c>
      <c r="DJ170" s="93"/>
      <c r="DK170" s="91"/>
      <c r="DM170" s="93"/>
      <c r="DN170" s="91"/>
      <c r="DP170" s="93"/>
      <c r="DQ170" s="91"/>
    </row>
    <row r="171" spans="1:121" x14ac:dyDescent="0.3">
      <c r="A171" t="s">
        <v>26</v>
      </c>
      <c r="B171" t="s">
        <v>47</v>
      </c>
      <c r="C171" t="s">
        <v>46</v>
      </c>
      <c r="D171" t="s">
        <v>387</v>
      </c>
      <c r="E171" t="s">
        <v>534</v>
      </c>
      <c r="F171" s="86">
        <v>92000</v>
      </c>
      <c r="G171" s="87">
        <v>12</v>
      </c>
      <c r="H171" s="88">
        <v>1.05</v>
      </c>
      <c r="I171" s="88">
        <v>1.041493055555555</v>
      </c>
      <c r="J171" s="89">
        <v>0.99099790299051793</v>
      </c>
      <c r="K171" s="88">
        <v>1.0081680280046681</v>
      </c>
      <c r="L171" s="88">
        <v>1.009083870896514</v>
      </c>
      <c r="M171" s="88">
        <v>1</v>
      </c>
      <c r="N171" s="90">
        <v>0.67600000000000005</v>
      </c>
      <c r="O171" s="90">
        <v>0.68771244104002549</v>
      </c>
      <c r="P171" s="90">
        <v>0.67985602221785868</v>
      </c>
      <c r="Q171" s="91">
        <v>0</v>
      </c>
      <c r="R171" s="88">
        <v>1</v>
      </c>
      <c r="S171" s="88">
        <v>1.005704174878489</v>
      </c>
      <c r="T171" s="91">
        <v>-8.1018518518519711E-3</v>
      </c>
      <c r="U171" s="91">
        <v>8.168028004667649E-3</v>
      </c>
      <c r="V171" s="87">
        <v>0</v>
      </c>
      <c r="W171" s="91">
        <v>0</v>
      </c>
      <c r="X171" s="87">
        <v>1</v>
      </c>
      <c r="Y171" s="90">
        <v>0.68771244104002549</v>
      </c>
      <c r="Z171" s="90">
        <v>0.67985602221785868</v>
      </c>
      <c r="AA171" s="92">
        <v>0</v>
      </c>
      <c r="AB171" s="88">
        <v>0</v>
      </c>
      <c r="AC171" s="87">
        <v>1</v>
      </c>
      <c r="AD171" s="87">
        <v>0</v>
      </c>
      <c r="AE171" s="88">
        <v>1.029166666666667</v>
      </c>
      <c r="AF171" s="88">
        <v>1.004037852440528</v>
      </c>
      <c r="AG171" s="88">
        <v>1.033322389161706</v>
      </c>
      <c r="AH171" s="88">
        <v>96600</v>
      </c>
      <c r="AI171" s="88">
        <v>95817.361111111109</v>
      </c>
      <c r="AJ171" s="88">
        <v>91171.807075127654</v>
      </c>
      <c r="AK171" s="88">
        <v>92751.458576429417</v>
      </c>
      <c r="AL171" s="88">
        <v>92835.716122479309</v>
      </c>
      <c r="AM171" s="88">
        <v>92000</v>
      </c>
      <c r="AN171" s="88">
        <v>62192.000000000007</v>
      </c>
      <c r="AO171" s="88">
        <v>63269.544575682346</v>
      </c>
      <c r="AP171" s="88">
        <v>62546.754044043002</v>
      </c>
      <c r="AQ171" s="88">
        <v>0</v>
      </c>
      <c r="AR171" s="88">
        <v>92000</v>
      </c>
      <c r="AS171" s="88">
        <v>92524.784088821005</v>
      </c>
      <c r="AT171" s="88">
        <v>63269.544575682346</v>
      </c>
      <c r="AU171" s="88">
        <v>62546.754044043002</v>
      </c>
      <c r="AV171" s="88">
        <v>92000</v>
      </c>
      <c r="AW171" s="88">
        <v>91080</v>
      </c>
      <c r="AX171" s="88">
        <v>91540</v>
      </c>
      <c r="AY171" s="88">
        <v>92000</v>
      </c>
      <c r="AZ171" s="88">
        <v>92000</v>
      </c>
      <c r="BA171" s="88">
        <v>92000</v>
      </c>
      <c r="BB171" s="88">
        <v>92000</v>
      </c>
      <c r="BC171" s="88">
        <v>92000</v>
      </c>
      <c r="BD171" s="88">
        <v>92000</v>
      </c>
      <c r="BE171" s="88">
        <v>92000</v>
      </c>
      <c r="BF171" s="88">
        <v>92000</v>
      </c>
      <c r="BG171" s="88">
        <v>92000</v>
      </c>
      <c r="BH171" s="88">
        <v>92000</v>
      </c>
      <c r="BI171" s="88">
        <v>92000</v>
      </c>
      <c r="BJ171" s="88">
        <v>92000</v>
      </c>
      <c r="BK171" s="88">
        <v>4990.7745335453901</v>
      </c>
      <c r="BL171" s="88">
        <v>4990.6468124709099</v>
      </c>
      <c r="BM171" s="88">
        <v>4990.5191748580828</v>
      </c>
      <c r="BN171" s="88">
        <v>4990.3872982129797</v>
      </c>
      <c r="BO171" s="88">
        <v>4990.2555106061563</v>
      </c>
      <c r="BP171" s="88">
        <v>4990.1238119474647</v>
      </c>
      <c r="BQ171" s="88">
        <v>4989.9922021468956</v>
      </c>
      <c r="BR171" s="88">
        <v>371.293834067707</v>
      </c>
      <c r="BS171" s="88">
        <v>371.1686617811223</v>
      </c>
      <c r="BT171" s="88">
        <v>371.04357386342281</v>
      </c>
      <c r="BU171" s="88">
        <v>370.91857022930083</v>
      </c>
      <c r="BV171" s="88">
        <v>370.79365079365272</v>
      </c>
      <c r="BW171" s="88">
        <v>4600.0000000000036</v>
      </c>
      <c r="BX171" s="88">
        <v>4600.0000000000036</v>
      </c>
      <c r="BY171" s="88">
        <v>4600.0000000000036</v>
      </c>
      <c r="BZ171" s="88">
        <v>4600.0000000000036</v>
      </c>
      <c r="CA171" s="88">
        <v>4600.0000000000036</v>
      </c>
      <c r="CB171" s="88">
        <v>4600.0000000000036</v>
      </c>
      <c r="CC171" s="88">
        <v>4600.0000000000036</v>
      </c>
      <c r="CD171" s="88">
        <v>0</v>
      </c>
      <c r="CE171" s="88">
        <v>0</v>
      </c>
      <c r="CF171" s="88">
        <v>0</v>
      </c>
      <c r="CG171" s="88">
        <v>0</v>
      </c>
      <c r="CH171" s="88">
        <v>0</v>
      </c>
      <c r="CI171" s="88">
        <v>92000</v>
      </c>
      <c r="CJ171" s="88">
        <v>92000</v>
      </c>
      <c r="CK171" s="88">
        <v>92000</v>
      </c>
      <c r="CL171" s="88">
        <v>92000</v>
      </c>
      <c r="CM171" s="88">
        <v>92000</v>
      </c>
      <c r="CN171" s="88">
        <v>92000</v>
      </c>
      <c r="CO171" s="88">
        <v>92000</v>
      </c>
      <c r="CP171" s="88">
        <v>92000</v>
      </c>
      <c r="CQ171" s="88">
        <v>92000</v>
      </c>
      <c r="CR171" s="88">
        <v>92000</v>
      </c>
      <c r="CS171" s="88">
        <v>92000</v>
      </c>
      <c r="CT171" s="88">
        <v>92000</v>
      </c>
      <c r="CU171" s="88">
        <v>372.16622242417333</v>
      </c>
      <c r="CV171" s="88">
        <v>372.04458330562761</v>
      </c>
      <c r="CW171" s="88">
        <v>371.92302367436542</v>
      </c>
      <c r="CX171" s="88">
        <v>371.7974268694997</v>
      </c>
      <c r="CY171" s="88">
        <v>371.67191486299959</v>
      </c>
      <c r="CZ171" s="88">
        <v>371.54648756900599</v>
      </c>
      <c r="DA171" s="88">
        <v>371.42114490180228</v>
      </c>
      <c r="DB171" s="88">
        <v>371.293834067707</v>
      </c>
      <c r="DC171" s="88">
        <v>371.1686617811223</v>
      </c>
      <c r="DD171" s="88">
        <v>371.04357386342281</v>
      </c>
      <c r="DE171" s="88">
        <v>370.91857022930083</v>
      </c>
      <c r="DF171" s="88">
        <v>370.79365079365272</v>
      </c>
      <c r="DG171" s="93">
        <v>46235</v>
      </c>
      <c r="DH171" s="91">
        <v>0.05</v>
      </c>
      <c r="DI171" t="s">
        <v>301</v>
      </c>
      <c r="DJ171" s="93"/>
      <c r="DK171" s="91"/>
      <c r="DM171" s="93"/>
      <c r="DN171" s="91"/>
      <c r="DP171" s="93"/>
      <c r="DQ171" s="91"/>
    </row>
    <row r="172" spans="1:121" x14ac:dyDescent="0.3">
      <c r="A172" t="s">
        <v>26</v>
      </c>
      <c r="B172" t="s">
        <v>47</v>
      </c>
      <c r="C172" t="s">
        <v>48</v>
      </c>
      <c r="D172" t="s">
        <v>389</v>
      </c>
      <c r="E172" t="s">
        <v>535</v>
      </c>
      <c r="F172" s="86">
        <v>76000</v>
      </c>
      <c r="G172" s="87">
        <v>12</v>
      </c>
      <c r="H172" s="88">
        <v>1</v>
      </c>
      <c r="I172" s="88">
        <v>1</v>
      </c>
      <c r="J172" s="89">
        <v>0.99399161196207142</v>
      </c>
      <c r="K172" s="88">
        <v>1</v>
      </c>
      <c r="L172" s="88">
        <v>1.006044706983058</v>
      </c>
      <c r="M172" s="88">
        <v>1</v>
      </c>
      <c r="N172" s="90">
        <v>0.66</v>
      </c>
      <c r="O172" s="90">
        <v>0.66398950660881861</v>
      </c>
      <c r="P172" s="90">
        <v>0.6552086473769082</v>
      </c>
      <c r="Q172" s="91">
        <v>0</v>
      </c>
      <c r="R172" s="88">
        <v>1</v>
      </c>
      <c r="S172" s="88">
        <v>0.9927403748134972</v>
      </c>
      <c r="T172" s="91">
        <v>0</v>
      </c>
      <c r="U172" s="91">
        <v>0</v>
      </c>
      <c r="V172" s="87">
        <v>0</v>
      </c>
      <c r="W172" s="91">
        <v>0</v>
      </c>
      <c r="X172" s="87">
        <v>1</v>
      </c>
      <c r="Y172" s="90">
        <v>0.66398950660881861</v>
      </c>
      <c r="Z172" s="90">
        <v>0.6552086473769082</v>
      </c>
      <c r="AA172" s="92">
        <v>0</v>
      </c>
      <c r="AB172" s="88">
        <v>0</v>
      </c>
      <c r="AC172" s="87">
        <v>0</v>
      </c>
      <c r="AD172" s="87">
        <v>0</v>
      </c>
      <c r="AE172" s="88">
        <v>1</v>
      </c>
      <c r="AF172" s="88">
        <v>1.016200824295963</v>
      </c>
      <c r="AG172" s="88">
        <v>1.016200824295963</v>
      </c>
      <c r="AH172" s="88">
        <v>76000</v>
      </c>
      <c r="AI172" s="88">
        <v>76000</v>
      </c>
      <c r="AJ172" s="88">
        <v>75543.362509117433</v>
      </c>
      <c r="AK172" s="88">
        <v>76000</v>
      </c>
      <c r="AL172" s="88">
        <v>76459.397730712444</v>
      </c>
      <c r="AM172" s="88">
        <v>76000</v>
      </c>
      <c r="AN172" s="88">
        <v>50160</v>
      </c>
      <c r="AO172" s="88">
        <v>50463.202502270207</v>
      </c>
      <c r="AP172" s="88">
        <v>49795.857200645027</v>
      </c>
      <c r="AQ172" s="88">
        <v>0</v>
      </c>
      <c r="AR172" s="88">
        <v>76000</v>
      </c>
      <c r="AS172" s="88">
        <v>75448.268485825785</v>
      </c>
      <c r="AT172" s="88">
        <v>50463.202502270207</v>
      </c>
      <c r="AU172" s="88">
        <v>49795.857200645027</v>
      </c>
      <c r="AV172" s="88">
        <v>76000</v>
      </c>
      <c r="AW172" s="88">
        <v>75240</v>
      </c>
      <c r="AX172" s="88">
        <v>76760</v>
      </c>
      <c r="AY172" s="88">
        <v>76000</v>
      </c>
      <c r="AZ172" s="88">
        <v>76000</v>
      </c>
      <c r="BA172" s="88">
        <v>76000</v>
      </c>
      <c r="BB172" s="88">
        <v>76000</v>
      </c>
      <c r="BC172" s="88">
        <v>76000</v>
      </c>
      <c r="BD172" s="88">
        <v>76000</v>
      </c>
      <c r="BE172" s="88">
        <v>76000</v>
      </c>
      <c r="BF172" s="88">
        <v>76000</v>
      </c>
      <c r="BG172" s="88">
        <v>76000</v>
      </c>
      <c r="BH172" s="88">
        <v>76000</v>
      </c>
      <c r="BI172" s="88">
        <v>76000</v>
      </c>
      <c r="BJ172" s="88">
        <v>76000</v>
      </c>
      <c r="BK172" s="88">
        <v>1240.3863351815521</v>
      </c>
      <c r="BL172" s="88">
        <v>1238.7523165204159</v>
      </c>
      <c r="BM172" s="88">
        <v>1237.1225973331011</v>
      </c>
      <c r="BN172" s="88">
        <v>1235.442135969892</v>
      </c>
      <c r="BO172" s="88">
        <v>1233.766233766245</v>
      </c>
      <c r="BP172" s="88">
        <v>1232.094872193469</v>
      </c>
      <c r="BQ172" s="88">
        <v>1230.4280328232519</v>
      </c>
      <c r="BR172" s="88">
        <v>1228.7384833451531</v>
      </c>
      <c r="BS172" s="88">
        <v>1227.0807068763411</v>
      </c>
      <c r="BT172" s="88">
        <v>1225.427397623366</v>
      </c>
      <c r="BU172" s="88">
        <v>1223.7785375537619</v>
      </c>
      <c r="BV172" s="88">
        <v>1222.134108732042</v>
      </c>
      <c r="BW172" s="88">
        <v>0</v>
      </c>
      <c r="BX172" s="88">
        <v>0</v>
      </c>
      <c r="BY172" s="88">
        <v>0</v>
      </c>
      <c r="BZ172" s="88">
        <v>0</v>
      </c>
      <c r="CA172" s="88">
        <v>0</v>
      </c>
      <c r="CB172" s="88">
        <v>0</v>
      </c>
      <c r="CC172" s="88">
        <v>0</v>
      </c>
      <c r="CD172" s="88">
        <v>0</v>
      </c>
      <c r="CE172" s="88">
        <v>0</v>
      </c>
      <c r="CF172" s="88">
        <v>0</v>
      </c>
      <c r="CG172" s="88">
        <v>0</v>
      </c>
      <c r="CH172" s="88">
        <v>0</v>
      </c>
      <c r="CI172" s="88">
        <v>76000</v>
      </c>
      <c r="CJ172" s="88">
        <v>76000</v>
      </c>
      <c r="CK172" s="88">
        <v>76000</v>
      </c>
      <c r="CL172" s="88">
        <v>76000</v>
      </c>
      <c r="CM172" s="88">
        <v>76000</v>
      </c>
      <c r="CN172" s="88">
        <v>76000</v>
      </c>
      <c r="CO172" s="88">
        <v>76000</v>
      </c>
      <c r="CP172" s="88">
        <v>76000</v>
      </c>
      <c r="CQ172" s="88">
        <v>76000</v>
      </c>
      <c r="CR172" s="88">
        <v>76000</v>
      </c>
      <c r="CS172" s="88">
        <v>76000</v>
      </c>
      <c r="CT172" s="88">
        <v>76000</v>
      </c>
      <c r="CU172" s="88">
        <v>1240.3863351815521</v>
      </c>
      <c r="CV172" s="88">
        <v>1238.7523165204159</v>
      </c>
      <c r="CW172" s="88">
        <v>1237.1225973331011</v>
      </c>
      <c r="CX172" s="88">
        <v>1235.442135969892</v>
      </c>
      <c r="CY172" s="88">
        <v>1233.766233766245</v>
      </c>
      <c r="CZ172" s="88">
        <v>1232.094872193469</v>
      </c>
      <c r="DA172" s="88">
        <v>1230.4280328232519</v>
      </c>
      <c r="DB172" s="88">
        <v>1228.7384833451531</v>
      </c>
      <c r="DC172" s="88">
        <v>1227.0807068763411</v>
      </c>
      <c r="DD172" s="88">
        <v>1225.427397623366</v>
      </c>
      <c r="DE172" s="88">
        <v>1223.7785375537619</v>
      </c>
      <c r="DF172" s="88">
        <v>1222.134108732042</v>
      </c>
      <c r="DG172" s="93"/>
      <c r="DH172" s="91"/>
      <c r="DJ172" s="93"/>
      <c r="DK172" s="91"/>
      <c r="DM172" s="93"/>
      <c r="DN172" s="91"/>
      <c r="DP172" s="93"/>
      <c r="DQ172" s="91"/>
    </row>
    <row r="173" spans="1:121" x14ac:dyDescent="0.3">
      <c r="A173" t="s">
        <v>26</v>
      </c>
      <c r="B173" t="s">
        <v>47</v>
      </c>
      <c r="C173" t="s">
        <v>50</v>
      </c>
      <c r="D173" t="s">
        <v>391</v>
      </c>
      <c r="E173" t="s">
        <v>536</v>
      </c>
      <c r="F173" s="86">
        <v>60000</v>
      </c>
      <c r="G173" s="87">
        <v>12</v>
      </c>
      <c r="H173" s="88">
        <v>1.02</v>
      </c>
      <c r="I173" s="88">
        <v>1.0213166666666671</v>
      </c>
      <c r="J173" s="89">
        <v>0.9900000000000001</v>
      </c>
      <c r="K173" s="88">
        <v>0.99871081447151555</v>
      </c>
      <c r="L173" s="88">
        <v>1.0101010101010099</v>
      </c>
      <c r="M173" s="88">
        <v>1</v>
      </c>
      <c r="N173" s="90">
        <v>0.68799999999999994</v>
      </c>
      <c r="O173" s="90">
        <v>0.69405357611757834</v>
      </c>
      <c r="P173" s="90">
        <v>0.6704591134445077</v>
      </c>
      <c r="Q173" s="91">
        <v>0</v>
      </c>
      <c r="R173" s="88">
        <v>0.96475948010183543</v>
      </c>
      <c r="S173" s="88">
        <v>1.0101010101010099</v>
      </c>
      <c r="T173" s="91">
        <v>1.290849673202477E-3</v>
      </c>
      <c r="U173" s="91">
        <v>3.5191501166794703E-2</v>
      </c>
      <c r="V173" s="87">
        <v>0</v>
      </c>
      <c r="W173" s="91">
        <v>0</v>
      </c>
      <c r="X173" s="87">
        <v>1</v>
      </c>
      <c r="Y173" s="90">
        <v>0.69405357611757834</v>
      </c>
      <c r="Z173" s="90">
        <v>0.6704591134445077</v>
      </c>
      <c r="AA173" s="92">
        <v>0</v>
      </c>
      <c r="AB173" s="88">
        <v>0</v>
      </c>
      <c r="AC173" s="87">
        <v>1</v>
      </c>
      <c r="AD173" s="87">
        <v>1</v>
      </c>
      <c r="AE173" s="88">
        <v>1.0386</v>
      </c>
      <c r="AF173" s="88">
        <v>1</v>
      </c>
      <c r="AG173" s="88">
        <v>1.0386</v>
      </c>
      <c r="AH173" s="88">
        <v>61200</v>
      </c>
      <c r="AI173" s="88">
        <v>61279</v>
      </c>
      <c r="AJ173" s="88">
        <v>59400.000000000007</v>
      </c>
      <c r="AK173" s="88">
        <v>59922.648868290933</v>
      </c>
      <c r="AL173" s="88">
        <v>60606.060606060593</v>
      </c>
      <c r="AM173" s="88">
        <v>60000</v>
      </c>
      <c r="AN173" s="88">
        <v>41280</v>
      </c>
      <c r="AO173" s="88">
        <v>41643.214567054703</v>
      </c>
      <c r="AP173" s="88">
        <v>40227.546806670463</v>
      </c>
      <c r="AQ173" s="88">
        <v>0</v>
      </c>
      <c r="AR173" s="88">
        <v>57885.568806110117</v>
      </c>
      <c r="AS173" s="88">
        <v>60606.060606060593</v>
      </c>
      <c r="AT173" s="88">
        <v>41643.214567054703</v>
      </c>
      <c r="AU173" s="88">
        <v>40227.546806670463</v>
      </c>
      <c r="AV173" s="88">
        <v>60000</v>
      </c>
      <c r="AW173" s="88">
        <v>59400</v>
      </c>
      <c r="AX173" s="88">
        <v>59400</v>
      </c>
      <c r="AY173" s="88">
        <v>60000</v>
      </c>
      <c r="AZ173" s="88">
        <v>60000</v>
      </c>
      <c r="BA173" s="88">
        <v>60000</v>
      </c>
      <c r="BB173" s="88">
        <v>60000</v>
      </c>
      <c r="BC173" s="88">
        <v>60000</v>
      </c>
      <c r="BD173" s="88">
        <v>60000</v>
      </c>
      <c r="BE173" s="88">
        <v>60000</v>
      </c>
      <c r="BF173" s="88">
        <v>60000</v>
      </c>
      <c r="BG173" s="88">
        <v>60000</v>
      </c>
      <c r="BH173" s="88">
        <v>60000</v>
      </c>
      <c r="BI173" s="88">
        <v>60000</v>
      </c>
      <c r="BJ173" s="88">
        <v>60000</v>
      </c>
      <c r="BK173" s="88">
        <v>1200.0000000000009</v>
      </c>
      <c r="BL173" s="88">
        <v>1200.0000000000009</v>
      </c>
      <c r="BM173" s="88">
        <v>1200.0000000000009</v>
      </c>
      <c r="BN173" s="88">
        <v>1200.0000000000009</v>
      </c>
      <c r="BO173" s="88">
        <v>1200.0000000000009</v>
      </c>
      <c r="BP173" s="88">
        <v>3647.9999999999982</v>
      </c>
      <c r="BQ173" s="88">
        <v>3647.9999999999982</v>
      </c>
      <c r="BR173" s="88">
        <v>3647.9999999999982</v>
      </c>
      <c r="BS173" s="88">
        <v>3647.9999999999982</v>
      </c>
      <c r="BT173" s="88">
        <v>2400.0000000000018</v>
      </c>
      <c r="BU173" s="88">
        <v>2400.0000000000018</v>
      </c>
      <c r="BV173" s="88">
        <v>2400.0000000000018</v>
      </c>
      <c r="BW173" s="88">
        <v>1200.0000000000009</v>
      </c>
      <c r="BX173" s="88">
        <v>1200.0000000000009</v>
      </c>
      <c r="BY173" s="88">
        <v>1200.0000000000009</v>
      </c>
      <c r="BZ173" s="88">
        <v>1200.0000000000009</v>
      </c>
      <c r="CA173" s="88">
        <v>1200.0000000000009</v>
      </c>
      <c r="CB173" s="88">
        <v>3647.9999999999982</v>
      </c>
      <c r="CC173" s="88">
        <v>3647.9999999999982</v>
      </c>
      <c r="CD173" s="88">
        <v>3647.9999999999982</v>
      </c>
      <c r="CE173" s="88">
        <v>3647.9999999999982</v>
      </c>
      <c r="CF173" s="88">
        <v>2400.0000000000018</v>
      </c>
      <c r="CG173" s="88">
        <v>2400.0000000000018</v>
      </c>
      <c r="CH173" s="88">
        <v>2400.0000000000018</v>
      </c>
      <c r="CI173" s="88">
        <v>60000</v>
      </c>
      <c r="CJ173" s="88">
        <v>60000</v>
      </c>
      <c r="CK173" s="88">
        <v>60000</v>
      </c>
      <c r="CL173" s="88">
        <v>60000</v>
      </c>
      <c r="CM173" s="88">
        <v>60000</v>
      </c>
      <c r="CN173" s="88">
        <v>60000</v>
      </c>
      <c r="CO173" s="88">
        <v>60000</v>
      </c>
      <c r="CP173" s="88">
        <v>60000</v>
      </c>
      <c r="CQ173" s="88">
        <v>60000</v>
      </c>
      <c r="CR173" s="88">
        <v>60000</v>
      </c>
      <c r="CS173" s="88">
        <v>60000</v>
      </c>
      <c r="CT173" s="88">
        <v>60000</v>
      </c>
      <c r="CU173" s="88">
        <v>0</v>
      </c>
      <c r="CV173" s="88">
        <v>0</v>
      </c>
      <c r="CW173" s="88">
        <v>0</v>
      </c>
      <c r="CX173" s="88">
        <v>0</v>
      </c>
      <c r="CY173" s="88">
        <v>0</v>
      </c>
      <c r="CZ173" s="88">
        <v>0</v>
      </c>
      <c r="DA173" s="88">
        <v>0</v>
      </c>
      <c r="DB173" s="88">
        <v>0</v>
      </c>
      <c r="DC173" s="88">
        <v>0</v>
      </c>
      <c r="DD173" s="88">
        <v>0</v>
      </c>
      <c r="DE173" s="88">
        <v>0</v>
      </c>
      <c r="DF173" s="88">
        <v>0</v>
      </c>
      <c r="DG173" s="93">
        <v>46296</v>
      </c>
      <c r="DH173" s="91">
        <v>0.02</v>
      </c>
      <c r="DI173" t="s">
        <v>301</v>
      </c>
      <c r="DJ173" s="93">
        <v>46539</v>
      </c>
      <c r="DK173" s="91">
        <v>0.04</v>
      </c>
      <c r="DL173" t="s">
        <v>302</v>
      </c>
      <c r="DM173" s="93"/>
      <c r="DN173" s="91"/>
      <c r="DP173" s="93"/>
      <c r="DQ173" s="91"/>
    </row>
    <row r="174" spans="1:121" x14ac:dyDescent="0.3">
      <c r="A174" t="s">
        <v>26</v>
      </c>
      <c r="B174" t="s">
        <v>47</v>
      </c>
      <c r="C174" t="s">
        <v>57</v>
      </c>
      <c r="D174" t="s">
        <v>393</v>
      </c>
      <c r="E174" t="s">
        <v>537</v>
      </c>
      <c r="F174" s="86">
        <v>44000</v>
      </c>
      <c r="G174" s="87">
        <v>12</v>
      </c>
      <c r="H174" s="88">
        <v>1</v>
      </c>
      <c r="I174" s="88">
        <v>1</v>
      </c>
      <c r="J174" s="89">
        <v>0.99299370897155337</v>
      </c>
      <c r="K174" s="88">
        <v>1</v>
      </c>
      <c r="L174" s="88">
        <v>1.007055725494679</v>
      </c>
      <c r="M174" s="88">
        <v>1</v>
      </c>
      <c r="N174" s="90">
        <v>0.67200000000000004</v>
      </c>
      <c r="O174" s="90">
        <v>0.67674144753242449</v>
      </c>
      <c r="P174" s="90">
        <v>0.67000036077136926</v>
      </c>
      <c r="Q174" s="91">
        <v>0</v>
      </c>
      <c r="R174" s="88">
        <v>1</v>
      </c>
      <c r="S174" s="88">
        <v>0.99702434638596604</v>
      </c>
      <c r="T174" s="91">
        <v>0</v>
      </c>
      <c r="U174" s="91">
        <v>0</v>
      </c>
      <c r="V174" s="87">
        <v>0</v>
      </c>
      <c r="W174" s="91">
        <v>0</v>
      </c>
      <c r="X174" s="87">
        <v>1</v>
      </c>
      <c r="Y174" s="90">
        <v>0.67674144753242449</v>
      </c>
      <c r="Z174" s="90">
        <v>0.67000036077136926</v>
      </c>
      <c r="AA174" s="92">
        <v>0</v>
      </c>
      <c r="AB174" s="88">
        <v>0</v>
      </c>
      <c r="AC174" s="87">
        <v>0</v>
      </c>
      <c r="AD174" s="87">
        <v>0</v>
      </c>
      <c r="AE174" s="88">
        <v>1</v>
      </c>
      <c r="AF174" s="88">
        <v>1.012138206284618</v>
      </c>
      <c r="AG174" s="88">
        <v>1.012138206284618</v>
      </c>
      <c r="AH174" s="88">
        <v>44000</v>
      </c>
      <c r="AI174" s="88">
        <v>44000</v>
      </c>
      <c r="AJ174" s="88">
        <v>43691.723194748352</v>
      </c>
      <c r="AK174" s="88">
        <v>44000</v>
      </c>
      <c r="AL174" s="88">
        <v>44310.451921765889</v>
      </c>
      <c r="AM174" s="88">
        <v>44000</v>
      </c>
      <c r="AN174" s="88">
        <v>29568</v>
      </c>
      <c r="AO174" s="88">
        <v>29776.623691426681</v>
      </c>
      <c r="AP174" s="88">
        <v>29480.01587394025</v>
      </c>
      <c r="AQ174" s="88">
        <v>0</v>
      </c>
      <c r="AR174" s="88">
        <v>44000</v>
      </c>
      <c r="AS174" s="88">
        <v>43869.071240982506</v>
      </c>
      <c r="AT174" s="88">
        <v>29776.623691426681</v>
      </c>
      <c r="AU174" s="88">
        <v>29480.01587394025</v>
      </c>
      <c r="AV174" s="88">
        <v>44000</v>
      </c>
      <c r="AW174" s="88">
        <v>43560</v>
      </c>
      <c r="AX174" s="88">
        <v>44219.999999999993</v>
      </c>
      <c r="AY174" s="88">
        <v>44000</v>
      </c>
      <c r="AZ174" s="88">
        <v>44000</v>
      </c>
      <c r="BA174" s="88">
        <v>44000</v>
      </c>
      <c r="BB174" s="88">
        <v>44000</v>
      </c>
      <c r="BC174" s="88">
        <v>44000</v>
      </c>
      <c r="BD174" s="88">
        <v>44000</v>
      </c>
      <c r="BE174" s="88">
        <v>44000</v>
      </c>
      <c r="BF174" s="88">
        <v>44000</v>
      </c>
      <c r="BG174" s="88">
        <v>44000</v>
      </c>
      <c r="BH174" s="88">
        <v>44000</v>
      </c>
      <c r="BI174" s="88">
        <v>44000</v>
      </c>
      <c r="BJ174" s="88">
        <v>44000</v>
      </c>
      <c r="BK174" s="88">
        <v>537.04291996188135</v>
      </c>
      <c r="BL174" s="88">
        <v>536.51366339279957</v>
      </c>
      <c r="BM174" s="88">
        <v>535.98544896289548</v>
      </c>
      <c r="BN174" s="88">
        <v>535.44042141761133</v>
      </c>
      <c r="BO174" s="88">
        <v>534.89650119069677</v>
      </c>
      <c r="BP174" s="88">
        <v>534.35368491099666</v>
      </c>
      <c r="BQ174" s="88">
        <v>533.81196922104391</v>
      </c>
      <c r="BR174" s="88">
        <v>533.26249730214045</v>
      </c>
      <c r="BS174" s="88">
        <v>532.72299067900258</v>
      </c>
      <c r="BT174" s="88">
        <v>532.18457460028287</v>
      </c>
      <c r="BU174" s="88">
        <v>531.64724576270839</v>
      </c>
      <c r="BV174" s="88">
        <v>531.11100087637112</v>
      </c>
      <c r="BW174" s="88">
        <v>0</v>
      </c>
      <c r="BX174" s="88">
        <v>0</v>
      </c>
      <c r="BY174" s="88">
        <v>0</v>
      </c>
      <c r="BZ174" s="88">
        <v>0</v>
      </c>
      <c r="CA174" s="88">
        <v>0</v>
      </c>
      <c r="CB174" s="88">
        <v>0</v>
      </c>
      <c r="CC174" s="88">
        <v>0</v>
      </c>
      <c r="CD174" s="88">
        <v>0</v>
      </c>
      <c r="CE174" s="88">
        <v>0</v>
      </c>
      <c r="CF174" s="88">
        <v>0</v>
      </c>
      <c r="CG174" s="88">
        <v>0</v>
      </c>
      <c r="CH174" s="88">
        <v>0</v>
      </c>
      <c r="CI174" s="88">
        <v>44000</v>
      </c>
      <c r="CJ174" s="88">
        <v>44000</v>
      </c>
      <c r="CK174" s="88">
        <v>44000</v>
      </c>
      <c r="CL174" s="88">
        <v>44000</v>
      </c>
      <c r="CM174" s="88">
        <v>44000</v>
      </c>
      <c r="CN174" s="88">
        <v>44000</v>
      </c>
      <c r="CO174" s="88">
        <v>44000</v>
      </c>
      <c r="CP174" s="88">
        <v>44000</v>
      </c>
      <c r="CQ174" s="88">
        <v>44000</v>
      </c>
      <c r="CR174" s="88">
        <v>44000</v>
      </c>
      <c r="CS174" s="88">
        <v>44000</v>
      </c>
      <c r="CT174" s="88">
        <v>44000</v>
      </c>
      <c r="CU174" s="88">
        <v>537.04291996188135</v>
      </c>
      <c r="CV174" s="88">
        <v>536.51366339279957</v>
      </c>
      <c r="CW174" s="88">
        <v>535.98544896289548</v>
      </c>
      <c r="CX174" s="88">
        <v>535.44042141761133</v>
      </c>
      <c r="CY174" s="88">
        <v>534.89650119069677</v>
      </c>
      <c r="CZ174" s="88">
        <v>534.35368491099666</v>
      </c>
      <c r="DA174" s="88">
        <v>533.81196922104391</v>
      </c>
      <c r="DB174" s="88">
        <v>533.26249730214045</v>
      </c>
      <c r="DC174" s="88">
        <v>532.72299067900258</v>
      </c>
      <c r="DD174" s="88">
        <v>532.18457460028287</v>
      </c>
      <c r="DE174" s="88">
        <v>531.64724576270839</v>
      </c>
      <c r="DF174" s="88">
        <v>531.11100087637112</v>
      </c>
      <c r="DG174" s="93"/>
      <c r="DH174" s="91"/>
      <c r="DJ174" s="93"/>
      <c r="DK174" s="91"/>
      <c r="DM174" s="93"/>
      <c r="DN174" s="91"/>
      <c r="DP174" s="93"/>
      <c r="DQ174" s="91"/>
    </row>
    <row r="175" spans="1:121" x14ac:dyDescent="0.3">
      <c r="A175" t="s">
        <v>26</v>
      </c>
      <c r="B175" t="s">
        <v>47</v>
      </c>
      <c r="C175" t="s">
        <v>58</v>
      </c>
      <c r="D175" t="s">
        <v>395</v>
      </c>
      <c r="E175" t="s">
        <v>538</v>
      </c>
      <c r="F175" s="86">
        <v>96000</v>
      </c>
      <c r="G175" s="87">
        <v>12</v>
      </c>
      <c r="H175" s="88">
        <v>1</v>
      </c>
      <c r="I175" s="88">
        <v>1</v>
      </c>
      <c r="J175" s="89">
        <v>0.98900209700948194</v>
      </c>
      <c r="K175" s="88">
        <v>1</v>
      </c>
      <c r="L175" s="88">
        <v>1.011120201892163</v>
      </c>
      <c r="M175" s="88">
        <v>1</v>
      </c>
      <c r="N175" s="90">
        <v>0.7</v>
      </c>
      <c r="O175" s="90">
        <v>0.70778414132451406</v>
      </c>
      <c r="P175" s="90">
        <v>0.71017552141345364</v>
      </c>
      <c r="Q175" s="91">
        <v>0</v>
      </c>
      <c r="R175" s="88">
        <v>1</v>
      </c>
      <c r="S175" s="88">
        <v>1.0145364591620769</v>
      </c>
      <c r="T175" s="91">
        <v>0</v>
      </c>
      <c r="U175" s="91">
        <v>0</v>
      </c>
      <c r="V175" s="87">
        <v>0</v>
      </c>
      <c r="W175" s="91">
        <v>0</v>
      </c>
      <c r="X175" s="87">
        <v>1</v>
      </c>
      <c r="Y175" s="90">
        <v>0.70778414132451406</v>
      </c>
      <c r="Z175" s="90">
        <v>0.71017552141345364</v>
      </c>
      <c r="AA175" s="92">
        <v>0</v>
      </c>
      <c r="AB175" s="88">
        <v>0</v>
      </c>
      <c r="AC175" s="87">
        <v>0</v>
      </c>
      <c r="AD175" s="87">
        <v>0</v>
      </c>
      <c r="AE175" s="88">
        <v>1</v>
      </c>
      <c r="AF175" s="88">
        <v>0.99597028697853884</v>
      </c>
      <c r="AG175" s="88">
        <v>0.99597028697853884</v>
      </c>
      <c r="AH175" s="88">
        <v>96000</v>
      </c>
      <c r="AI175" s="88">
        <v>96000</v>
      </c>
      <c r="AJ175" s="88">
        <v>94944.201312910271</v>
      </c>
      <c r="AK175" s="88">
        <v>96000</v>
      </c>
      <c r="AL175" s="88">
        <v>97067.539381647643</v>
      </c>
      <c r="AM175" s="88">
        <v>96000</v>
      </c>
      <c r="AN175" s="88">
        <v>67200</v>
      </c>
      <c r="AO175" s="88">
        <v>67947.277567153345</v>
      </c>
      <c r="AP175" s="88">
        <v>68176.850055691553</v>
      </c>
      <c r="AQ175" s="88">
        <v>0</v>
      </c>
      <c r="AR175" s="88">
        <v>96000</v>
      </c>
      <c r="AS175" s="88">
        <v>97395.500079559366</v>
      </c>
      <c r="AT175" s="88">
        <v>67947.277567153345</v>
      </c>
      <c r="AU175" s="88">
        <v>68176.850055691553</v>
      </c>
      <c r="AV175" s="88">
        <v>96000</v>
      </c>
      <c r="AW175" s="88">
        <v>95040</v>
      </c>
      <c r="AX175" s="88">
        <v>94560</v>
      </c>
      <c r="AY175" s="88">
        <v>96000</v>
      </c>
      <c r="AZ175" s="88">
        <v>96000</v>
      </c>
      <c r="BA175" s="88">
        <v>96000</v>
      </c>
      <c r="BB175" s="88">
        <v>96000</v>
      </c>
      <c r="BC175" s="88">
        <v>96000</v>
      </c>
      <c r="BD175" s="88">
        <v>96000</v>
      </c>
      <c r="BE175" s="88">
        <v>96000</v>
      </c>
      <c r="BF175" s="88">
        <v>96000</v>
      </c>
      <c r="BG175" s="88">
        <v>96000</v>
      </c>
      <c r="BH175" s="88">
        <v>96000</v>
      </c>
      <c r="BI175" s="88">
        <v>96000</v>
      </c>
      <c r="BJ175" s="88">
        <v>96000</v>
      </c>
      <c r="BK175" s="88">
        <v>-386.14336013047892</v>
      </c>
      <c r="BL175" s="88">
        <v>-386.26893313049851</v>
      </c>
      <c r="BM175" s="88">
        <v>-386.39458782922992</v>
      </c>
      <c r="BN175" s="88">
        <v>-386.52458799391098</v>
      </c>
      <c r="BO175" s="88">
        <v>-386.65467566359268</v>
      </c>
      <c r="BP175" s="88">
        <v>-386.78485092667358</v>
      </c>
      <c r="BQ175" s="88">
        <v>-386.91511387163757</v>
      </c>
      <c r="BR175" s="88">
        <v>-387.04760221580511</v>
      </c>
      <c r="BS175" s="88">
        <v>-387.17804223158578</v>
      </c>
      <c r="BT175" s="88">
        <v>-387.30857019691808</v>
      </c>
      <c r="BU175" s="88">
        <v>-387.43918620079751</v>
      </c>
      <c r="BV175" s="88">
        <v>-387.56989033231548</v>
      </c>
      <c r="BW175" s="88">
        <v>0</v>
      </c>
      <c r="BX175" s="88">
        <v>0</v>
      </c>
      <c r="BY175" s="88">
        <v>0</v>
      </c>
      <c r="BZ175" s="88">
        <v>0</v>
      </c>
      <c r="CA175" s="88">
        <v>0</v>
      </c>
      <c r="CB175" s="88">
        <v>0</v>
      </c>
      <c r="CC175" s="88">
        <v>0</v>
      </c>
      <c r="CD175" s="88">
        <v>0</v>
      </c>
      <c r="CE175" s="88">
        <v>0</v>
      </c>
      <c r="CF175" s="88">
        <v>0</v>
      </c>
      <c r="CG175" s="88">
        <v>0</v>
      </c>
      <c r="CH175" s="88">
        <v>0</v>
      </c>
      <c r="CI175" s="88">
        <v>96000</v>
      </c>
      <c r="CJ175" s="88">
        <v>96000</v>
      </c>
      <c r="CK175" s="88">
        <v>96000</v>
      </c>
      <c r="CL175" s="88">
        <v>96000</v>
      </c>
      <c r="CM175" s="88">
        <v>96000</v>
      </c>
      <c r="CN175" s="88">
        <v>96000</v>
      </c>
      <c r="CO175" s="88">
        <v>96000</v>
      </c>
      <c r="CP175" s="88">
        <v>96000</v>
      </c>
      <c r="CQ175" s="88">
        <v>96000</v>
      </c>
      <c r="CR175" s="88">
        <v>96000</v>
      </c>
      <c r="CS175" s="88">
        <v>96000</v>
      </c>
      <c r="CT175" s="88">
        <v>96000</v>
      </c>
      <c r="CU175" s="88">
        <v>-386.14336013047892</v>
      </c>
      <c r="CV175" s="88">
        <v>-386.26893313049851</v>
      </c>
      <c r="CW175" s="88">
        <v>-386.39458782922992</v>
      </c>
      <c r="CX175" s="88">
        <v>-386.52458799391098</v>
      </c>
      <c r="CY175" s="88">
        <v>-386.65467566359268</v>
      </c>
      <c r="CZ175" s="88">
        <v>-386.78485092667358</v>
      </c>
      <c r="DA175" s="88">
        <v>-386.91511387163757</v>
      </c>
      <c r="DB175" s="88">
        <v>-387.04760221580511</v>
      </c>
      <c r="DC175" s="88">
        <v>-387.17804223158578</v>
      </c>
      <c r="DD175" s="88">
        <v>-387.30857019691808</v>
      </c>
      <c r="DE175" s="88">
        <v>-387.43918620079751</v>
      </c>
      <c r="DF175" s="88">
        <v>-387.56989033231548</v>
      </c>
      <c r="DG175" s="93"/>
      <c r="DH175" s="91"/>
      <c r="DJ175" s="93"/>
      <c r="DK175" s="91"/>
      <c r="DM175" s="93"/>
      <c r="DN175" s="91"/>
      <c r="DP175" s="93"/>
      <c r="DQ175" s="91"/>
    </row>
    <row r="176" spans="1:121" x14ac:dyDescent="0.3">
      <c r="A176" t="s">
        <v>26</v>
      </c>
      <c r="B176" t="s">
        <v>47</v>
      </c>
      <c r="C176" t="s">
        <v>65</v>
      </c>
      <c r="D176" t="s">
        <v>397</v>
      </c>
      <c r="E176" t="s">
        <v>539</v>
      </c>
      <c r="F176" s="86">
        <v>80000</v>
      </c>
      <c r="G176" s="87">
        <v>12</v>
      </c>
      <c r="H176" s="88">
        <v>1</v>
      </c>
      <c r="I176" s="88">
        <v>1.056875</v>
      </c>
      <c r="J176" s="89">
        <v>0.99671150186191637</v>
      </c>
      <c r="K176" s="88">
        <v>0.94618568894145472</v>
      </c>
      <c r="L176" s="88">
        <v>1.0032993480379631</v>
      </c>
      <c r="M176" s="88">
        <v>1</v>
      </c>
      <c r="N176" s="90">
        <v>0.68400000000000005</v>
      </c>
      <c r="O176" s="90">
        <v>0.64932631962906395</v>
      </c>
      <c r="P176" s="90">
        <v>0.63335338137876696</v>
      </c>
      <c r="Q176" s="91">
        <v>0</v>
      </c>
      <c r="R176" s="88">
        <v>0.93896713615023475</v>
      </c>
      <c r="S176" s="88">
        <v>0.98614232626957132</v>
      </c>
      <c r="T176" s="91">
        <v>5.6875000000000009E-2</v>
      </c>
      <c r="U176" s="91">
        <v>7.6877587226491517E-3</v>
      </c>
      <c r="V176" s="87">
        <v>0</v>
      </c>
      <c r="W176" s="91">
        <v>0</v>
      </c>
      <c r="X176" s="87">
        <v>1</v>
      </c>
      <c r="Y176" s="90">
        <v>0.64932631962906395</v>
      </c>
      <c r="Z176" s="90">
        <v>0.63335338137876696</v>
      </c>
      <c r="AA176" s="92">
        <v>0</v>
      </c>
      <c r="AB176" s="88">
        <v>0</v>
      </c>
      <c r="AC176" s="87">
        <v>0</v>
      </c>
      <c r="AD176" s="87">
        <v>1</v>
      </c>
      <c r="AE176" s="88">
        <v>1.0325</v>
      </c>
      <c r="AF176" s="88">
        <v>1.0244717843847171</v>
      </c>
      <c r="AG176" s="88">
        <v>1.057745057252871</v>
      </c>
      <c r="AH176" s="88">
        <v>80000</v>
      </c>
      <c r="AI176" s="88">
        <v>84550</v>
      </c>
      <c r="AJ176" s="88">
        <v>79736.920148953315</v>
      </c>
      <c r="AK176" s="88">
        <v>75694.855115316372</v>
      </c>
      <c r="AL176" s="88">
        <v>80263.947843037065</v>
      </c>
      <c r="AM176" s="88">
        <v>80000</v>
      </c>
      <c r="AN176" s="88">
        <v>54720.000000000007</v>
      </c>
      <c r="AO176" s="88">
        <v>51946.105570325119</v>
      </c>
      <c r="AP176" s="88">
        <v>50668.270510301358</v>
      </c>
      <c r="AQ176" s="88">
        <v>0</v>
      </c>
      <c r="AR176" s="88">
        <v>75117.370892018778</v>
      </c>
      <c r="AS176" s="88">
        <v>78891.386101565702</v>
      </c>
      <c r="AT176" s="88">
        <v>51946.105570325119</v>
      </c>
      <c r="AU176" s="88">
        <v>50668.270510301358</v>
      </c>
      <c r="AV176" s="88">
        <v>80000</v>
      </c>
      <c r="AW176" s="88">
        <v>79200</v>
      </c>
      <c r="AX176" s="88">
        <v>80000</v>
      </c>
      <c r="AY176" s="88">
        <v>80000</v>
      </c>
      <c r="AZ176" s="88">
        <v>80000</v>
      </c>
      <c r="BA176" s="88">
        <v>80000</v>
      </c>
      <c r="BB176" s="88">
        <v>80000</v>
      </c>
      <c r="BC176" s="88">
        <v>80000</v>
      </c>
      <c r="BD176" s="88">
        <v>80000</v>
      </c>
      <c r="BE176" s="88">
        <v>80000</v>
      </c>
      <c r="BF176" s="88">
        <v>80000</v>
      </c>
      <c r="BG176" s="88">
        <v>80000</v>
      </c>
      <c r="BH176" s="88">
        <v>80000</v>
      </c>
      <c r="BI176" s="88">
        <v>80000</v>
      </c>
      <c r="BJ176" s="88">
        <v>80000</v>
      </c>
      <c r="BK176" s="88">
        <v>6858.1228944510822</v>
      </c>
      <c r="BL176" s="88">
        <v>6715.6771180787264</v>
      </c>
      <c r="BM176" s="88">
        <v>6573.6977938115797</v>
      </c>
      <c r="BN176" s="88">
        <v>7349.2858156028442</v>
      </c>
      <c r="BO176" s="88">
        <v>8007.2147578615304</v>
      </c>
      <c r="BP176" s="88">
        <v>7858.9890109889993</v>
      </c>
      <c r="BQ176" s="88">
        <v>2357.9922269081171</v>
      </c>
      <c r="BR176" s="88">
        <v>2217.4843840290491</v>
      </c>
      <c r="BS176" s="88">
        <v>2079.7099060491141</v>
      </c>
      <c r="BT176" s="88">
        <v>1942.396401831985</v>
      </c>
      <c r="BU176" s="88">
        <v>1805.5415617128469</v>
      </c>
      <c r="BV176" s="88">
        <v>1669.1430914309001</v>
      </c>
      <c r="BW176" s="88">
        <v>5199.9999999999955</v>
      </c>
      <c r="BX176" s="88">
        <v>5199.9999999999955</v>
      </c>
      <c r="BY176" s="88">
        <v>5199.9999999999955</v>
      </c>
      <c r="BZ176" s="88">
        <v>5199.9999999999955</v>
      </c>
      <c r="CA176" s="88">
        <v>5199.9999999999955</v>
      </c>
      <c r="CB176" s="88">
        <v>5199.9999999999955</v>
      </c>
      <c r="CC176" s="88">
        <v>0</v>
      </c>
      <c r="CD176" s="88">
        <v>0</v>
      </c>
      <c r="CE176" s="88">
        <v>0</v>
      </c>
      <c r="CF176" s="88">
        <v>0</v>
      </c>
      <c r="CG176" s="88">
        <v>0</v>
      </c>
      <c r="CH176" s="88">
        <v>0</v>
      </c>
      <c r="CI176" s="88">
        <v>80000</v>
      </c>
      <c r="CJ176" s="88">
        <v>80000</v>
      </c>
      <c r="CK176" s="88">
        <v>80000</v>
      </c>
      <c r="CL176" s="88">
        <v>80000</v>
      </c>
      <c r="CM176" s="88">
        <v>80000</v>
      </c>
      <c r="CN176" s="88">
        <v>80000</v>
      </c>
      <c r="CO176" s="88">
        <v>80000</v>
      </c>
      <c r="CP176" s="88">
        <v>80000</v>
      </c>
      <c r="CQ176" s="88">
        <v>80000</v>
      </c>
      <c r="CR176" s="88">
        <v>80000</v>
      </c>
      <c r="CS176" s="88">
        <v>80000</v>
      </c>
      <c r="CT176" s="88">
        <v>80000</v>
      </c>
      <c r="CU176" s="88">
        <v>1556.9229055878791</v>
      </c>
      <c r="CV176" s="88">
        <v>1423.1710028908219</v>
      </c>
      <c r="CW176" s="88">
        <v>1289.8570833911549</v>
      </c>
      <c r="CX176" s="88">
        <v>2018.1087470449199</v>
      </c>
      <c r="CY176" s="88">
        <v>2635.8824017479242</v>
      </c>
      <c r="CZ176" s="88">
        <v>2496.7032967032842</v>
      </c>
      <c r="DA176" s="88">
        <v>2357.9922269081171</v>
      </c>
      <c r="DB176" s="88">
        <v>2217.4843840290491</v>
      </c>
      <c r="DC176" s="88">
        <v>2079.7099060491141</v>
      </c>
      <c r="DD176" s="88">
        <v>1942.396401831985</v>
      </c>
      <c r="DE176" s="88">
        <v>1805.5415617128469</v>
      </c>
      <c r="DF176" s="88">
        <v>1669.1430914309001</v>
      </c>
      <c r="DG176" s="93">
        <v>46204</v>
      </c>
      <c r="DH176" s="91">
        <v>6.5000000000000002E-2</v>
      </c>
      <c r="DI176" t="s">
        <v>302</v>
      </c>
      <c r="DJ176" s="93"/>
      <c r="DK176" s="91"/>
      <c r="DM176" s="93"/>
      <c r="DN176" s="91"/>
      <c r="DP176" s="93"/>
      <c r="DQ176" s="91"/>
    </row>
    <row r="177" spans="1:121" x14ac:dyDescent="0.3">
      <c r="A177" t="s">
        <v>26</v>
      </c>
      <c r="B177" t="s">
        <v>47</v>
      </c>
      <c r="C177" t="s">
        <v>66</v>
      </c>
      <c r="D177" t="s">
        <v>399</v>
      </c>
      <c r="E177" t="s">
        <v>540</v>
      </c>
      <c r="F177" s="86">
        <v>64000</v>
      </c>
      <c r="G177" s="87">
        <v>12</v>
      </c>
      <c r="H177" s="88">
        <v>1.06</v>
      </c>
      <c r="I177" s="88">
        <v>1.0611166666666669</v>
      </c>
      <c r="J177" s="89">
        <v>0.98800419401896411</v>
      </c>
      <c r="K177" s="88">
        <v>0.99894764948874615</v>
      </c>
      <c r="L177" s="88">
        <v>1.012141452489427</v>
      </c>
      <c r="M177" s="88">
        <v>1</v>
      </c>
      <c r="N177" s="90">
        <v>0.66800000000000004</v>
      </c>
      <c r="O177" s="90">
        <v>0.67539898504284501</v>
      </c>
      <c r="P177" s="90">
        <v>0.66167617985721527</v>
      </c>
      <c r="Q177" s="91">
        <v>0</v>
      </c>
      <c r="R177" s="88">
        <v>0.97205346294046147</v>
      </c>
      <c r="S177" s="88">
        <v>1.019011032976213</v>
      </c>
      <c r="T177" s="91">
        <v>1.0534591194968359E-3</v>
      </c>
      <c r="U177" s="91">
        <v>2.7667394411547749E-2</v>
      </c>
      <c r="V177" s="87">
        <v>0</v>
      </c>
      <c r="W177" s="91">
        <v>0</v>
      </c>
      <c r="X177" s="87">
        <v>1</v>
      </c>
      <c r="Y177" s="90">
        <v>0.67539898504284501</v>
      </c>
      <c r="Z177" s="90">
        <v>0.66167617985721527</v>
      </c>
      <c r="AA177" s="92">
        <v>0</v>
      </c>
      <c r="AB177" s="88">
        <v>0</v>
      </c>
      <c r="AC177" s="87">
        <v>1</v>
      </c>
      <c r="AD177" s="87">
        <v>1</v>
      </c>
      <c r="AE177" s="88">
        <v>1.0149999999999999</v>
      </c>
      <c r="AF177" s="88">
        <v>0.99194865631796525</v>
      </c>
      <c r="AG177" s="88">
        <v>1.0068277892716959</v>
      </c>
      <c r="AH177" s="88">
        <v>67840</v>
      </c>
      <c r="AI177" s="88">
        <v>67911.466666666674</v>
      </c>
      <c r="AJ177" s="88">
        <v>63232.268417213701</v>
      </c>
      <c r="AK177" s="88">
        <v>63932.649567279746</v>
      </c>
      <c r="AL177" s="88">
        <v>64777.05295932333</v>
      </c>
      <c r="AM177" s="88">
        <v>64000</v>
      </c>
      <c r="AN177" s="88">
        <v>42752</v>
      </c>
      <c r="AO177" s="88">
        <v>43225.535042742078</v>
      </c>
      <c r="AP177" s="88">
        <v>42347.275510861778</v>
      </c>
      <c r="AQ177" s="88">
        <v>0</v>
      </c>
      <c r="AR177" s="88">
        <v>62211.421628189542</v>
      </c>
      <c r="AS177" s="88">
        <v>65216.706110477629</v>
      </c>
      <c r="AT177" s="88">
        <v>43225.535042742078</v>
      </c>
      <c r="AU177" s="88">
        <v>42347.275510861778</v>
      </c>
      <c r="AV177" s="88">
        <v>64000</v>
      </c>
      <c r="AW177" s="88">
        <v>63360</v>
      </c>
      <c r="AX177" s="88">
        <v>62720</v>
      </c>
      <c r="AY177" s="88">
        <v>64000</v>
      </c>
      <c r="AZ177" s="88">
        <v>64000</v>
      </c>
      <c r="BA177" s="88">
        <v>64000</v>
      </c>
      <c r="BB177" s="88">
        <v>64000</v>
      </c>
      <c r="BC177" s="88">
        <v>64000</v>
      </c>
      <c r="BD177" s="88">
        <v>64000</v>
      </c>
      <c r="BE177" s="88">
        <v>64000</v>
      </c>
      <c r="BF177" s="88">
        <v>64000</v>
      </c>
      <c r="BG177" s="88">
        <v>64000</v>
      </c>
      <c r="BH177" s="88">
        <v>64000</v>
      </c>
      <c r="BI177" s="88">
        <v>64000</v>
      </c>
      <c r="BJ177" s="88">
        <v>64000</v>
      </c>
      <c r="BK177" s="88">
        <v>3295.7949912638328</v>
      </c>
      <c r="BL177" s="88">
        <v>-513.7340282817604</v>
      </c>
      <c r="BM177" s="88">
        <v>-514.06753738322664</v>
      </c>
      <c r="BN177" s="88">
        <v>-514.41280746955442</v>
      </c>
      <c r="BO177" s="88">
        <v>-514.7585416643708</v>
      </c>
      <c r="BP177" s="88">
        <v>-515.10474090407854</v>
      </c>
      <c r="BQ177" s="88">
        <v>-515.45140612760315</v>
      </c>
      <c r="BR177" s="88">
        <v>-515.80423286264931</v>
      </c>
      <c r="BS177" s="88">
        <v>-516.15184055857094</v>
      </c>
      <c r="BT177" s="88">
        <v>2022.8400862307151</v>
      </c>
      <c r="BU177" s="88">
        <v>2022.47759807068</v>
      </c>
      <c r="BV177" s="88">
        <v>2022.1146203491569</v>
      </c>
      <c r="BW177" s="88">
        <v>3840.0000000000041</v>
      </c>
      <c r="BX177" s="88">
        <v>0</v>
      </c>
      <c r="BY177" s="88">
        <v>0</v>
      </c>
      <c r="BZ177" s="88">
        <v>0</v>
      </c>
      <c r="CA177" s="88">
        <v>0</v>
      </c>
      <c r="CB177" s="88">
        <v>0</v>
      </c>
      <c r="CC177" s="88">
        <v>0</v>
      </c>
      <c r="CD177" s="88">
        <v>0</v>
      </c>
      <c r="CE177" s="88">
        <v>0</v>
      </c>
      <c r="CF177" s="88">
        <v>2560.0000000000018</v>
      </c>
      <c r="CG177" s="88">
        <v>2560.0000000000018</v>
      </c>
      <c r="CH177" s="88">
        <v>2560.0000000000018</v>
      </c>
      <c r="CI177" s="88">
        <v>64000</v>
      </c>
      <c r="CJ177" s="88">
        <v>64000</v>
      </c>
      <c r="CK177" s="88">
        <v>64000</v>
      </c>
      <c r="CL177" s="88">
        <v>64000</v>
      </c>
      <c r="CM177" s="88">
        <v>64000</v>
      </c>
      <c r="CN177" s="88">
        <v>64000</v>
      </c>
      <c r="CO177" s="88">
        <v>64000</v>
      </c>
      <c r="CP177" s="88">
        <v>64000</v>
      </c>
      <c r="CQ177" s="88">
        <v>64000</v>
      </c>
      <c r="CR177" s="88">
        <v>64000</v>
      </c>
      <c r="CS177" s="88">
        <v>64000</v>
      </c>
      <c r="CT177" s="88">
        <v>64000</v>
      </c>
      <c r="CU177" s="88">
        <v>-513.40095163789101</v>
      </c>
      <c r="CV177" s="88">
        <v>-513.7340282817604</v>
      </c>
      <c r="CW177" s="88">
        <v>-514.06753738322664</v>
      </c>
      <c r="CX177" s="88">
        <v>-514.41280746955442</v>
      </c>
      <c r="CY177" s="88">
        <v>-514.7585416643708</v>
      </c>
      <c r="CZ177" s="88">
        <v>-515.10474090407854</v>
      </c>
      <c r="DA177" s="88">
        <v>-515.45140612760315</v>
      </c>
      <c r="DB177" s="88">
        <v>-515.80423286264931</v>
      </c>
      <c r="DC177" s="88">
        <v>-516.15184055857094</v>
      </c>
      <c r="DD177" s="88">
        <v>-516.49991708585219</v>
      </c>
      <c r="DE177" s="88">
        <v>-516.84846339358614</v>
      </c>
      <c r="DF177" s="88">
        <v>-517.19748043350933</v>
      </c>
      <c r="DG177" s="93">
        <v>46054</v>
      </c>
      <c r="DH177" s="91">
        <v>0.06</v>
      </c>
      <c r="DI177" t="s">
        <v>301</v>
      </c>
      <c r="DJ177" s="93">
        <v>46661</v>
      </c>
      <c r="DK177" s="91">
        <v>0.04</v>
      </c>
      <c r="DL177" t="s">
        <v>302</v>
      </c>
      <c r="DM177" s="93"/>
      <c r="DN177" s="91"/>
      <c r="DP177" s="93"/>
      <c r="DQ177" s="91"/>
    </row>
    <row r="178" spans="1:121" x14ac:dyDescent="0.3">
      <c r="A178" t="s">
        <v>26</v>
      </c>
      <c r="B178" t="s">
        <v>47</v>
      </c>
      <c r="C178" t="s">
        <v>67</v>
      </c>
      <c r="D178" t="s">
        <v>401</v>
      </c>
      <c r="E178" t="s">
        <v>541</v>
      </c>
      <c r="F178" s="86">
        <v>48000</v>
      </c>
      <c r="G178" s="87">
        <v>12</v>
      </c>
      <c r="H178" s="88">
        <v>1</v>
      </c>
      <c r="I178" s="88">
        <v>1.0634902257324339</v>
      </c>
      <c r="J178" s="89">
        <v>0.99099790299051793</v>
      </c>
      <c r="K178" s="88">
        <v>0.94030013234140641</v>
      </c>
      <c r="L178" s="88">
        <v>1</v>
      </c>
      <c r="M178" s="88">
        <v>1</v>
      </c>
      <c r="N178" s="90">
        <v>0.69599999999999995</v>
      </c>
      <c r="O178" s="90">
        <v>0.65444889210961887</v>
      </c>
      <c r="P178" s="90">
        <v>0.59495353828147168</v>
      </c>
      <c r="Q178" s="91">
        <v>0</v>
      </c>
      <c r="R178" s="88">
        <v>0.85481830212855137</v>
      </c>
      <c r="S178" s="88">
        <v>1</v>
      </c>
      <c r="T178" s="91">
        <v>6.3490225732434125E-2</v>
      </c>
      <c r="U178" s="91">
        <v>9.9999999999999867E-2</v>
      </c>
      <c r="V178" s="87">
        <v>1</v>
      </c>
      <c r="W178" s="91">
        <v>0.1</v>
      </c>
      <c r="X178" s="87">
        <v>1</v>
      </c>
      <c r="Y178" s="90">
        <v>0.6477494804186984</v>
      </c>
      <c r="Z178" s="90">
        <v>0.61259827652591903</v>
      </c>
      <c r="AA178" s="92">
        <v>-0.66994116909204759</v>
      </c>
      <c r="AB178" s="88">
        <v>0</v>
      </c>
      <c r="AC178" s="87">
        <v>1</v>
      </c>
      <c r="AD178" s="87">
        <v>1</v>
      </c>
      <c r="AE178" s="88">
        <v>1.107</v>
      </c>
      <c r="AF178" s="88">
        <v>1.004037852440528</v>
      </c>
      <c r="AG178" s="88">
        <v>1.111469994776056</v>
      </c>
      <c r="AH178" s="88">
        <v>48000</v>
      </c>
      <c r="AI178" s="88">
        <v>51047.530835156838</v>
      </c>
      <c r="AJ178" s="88">
        <v>47567.899343544857</v>
      </c>
      <c r="AK178" s="88">
        <v>45134.406352387508</v>
      </c>
      <c r="AL178" s="88">
        <v>48000</v>
      </c>
      <c r="AM178" s="88">
        <v>48000</v>
      </c>
      <c r="AN178" s="88">
        <v>33408</v>
      </c>
      <c r="AO178" s="88">
        <v>31413.546821261709</v>
      </c>
      <c r="AP178" s="88">
        <v>28557.769837510641</v>
      </c>
      <c r="AQ178" s="88">
        <v>0</v>
      </c>
      <c r="AR178" s="88">
        <v>41031.278502170462</v>
      </c>
      <c r="AS178" s="88">
        <v>48000</v>
      </c>
      <c r="AT178" s="88">
        <v>31091.97506009752</v>
      </c>
      <c r="AU178" s="88">
        <v>29404.71727324411</v>
      </c>
      <c r="AV178" s="88">
        <v>48000</v>
      </c>
      <c r="AW178" s="88">
        <v>47520</v>
      </c>
      <c r="AX178" s="88">
        <v>47760</v>
      </c>
      <c r="AY178" s="88">
        <v>48000</v>
      </c>
      <c r="AZ178" s="88">
        <v>48000</v>
      </c>
      <c r="BA178" s="88">
        <v>48000</v>
      </c>
      <c r="BB178" s="88">
        <v>48000</v>
      </c>
      <c r="BC178" s="88">
        <v>48000</v>
      </c>
      <c r="BD178" s="88">
        <v>48000</v>
      </c>
      <c r="BE178" s="88">
        <v>48000</v>
      </c>
      <c r="BF178" s="88">
        <v>48000</v>
      </c>
      <c r="BG178" s="88">
        <v>48000</v>
      </c>
      <c r="BH178" s="88">
        <v>48000</v>
      </c>
      <c r="BI178" s="88">
        <v>48000</v>
      </c>
      <c r="BJ178" s="88">
        <v>48000</v>
      </c>
      <c r="BK178" s="88">
        <v>5013.5910493912734</v>
      </c>
      <c r="BL178" s="88">
        <v>5013.5212391145351</v>
      </c>
      <c r="BM178" s="88">
        <v>5013.4514744566022</v>
      </c>
      <c r="BN178" s="88">
        <v>7133.9145685245494</v>
      </c>
      <c r="BO178" s="88">
        <v>7133.8396542277987</v>
      </c>
      <c r="BP178" s="88">
        <v>7133.7647904933656</v>
      </c>
      <c r="BQ178" s="88">
        <v>7133.6899772700908</v>
      </c>
      <c r="BR178" s="88">
        <v>7133.6139893078962</v>
      </c>
      <c r="BS178" s="88">
        <v>7133.539277779626</v>
      </c>
      <c r="BT178" s="88">
        <v>2121.3314696441512</v>
      </c>
      <c r="BU178" s="88">
        <v>2121.2636415852912</v>
      </c>
      <c r="BV178" s="88">
        <v>2121.195859213256</v>
      </c>
      <c r="BW178" s="88">
        <v>4800.0000000000045</v>
      </c>
      <c r="BX178" s="88">
        <v>4800.0000000000045</v>
      </c>
      <c r="BY178" s="88">
        <v>4800.0000000000045</v>
      </c>
      <c r="BZ178" s="88">
        <v>6912.0000000000064</v>
      </c>
      <c r="CA178" s="88">
        <v>6912.0000000000064</v>
      </c>
      <c r="CB178" s="88">
        <v>6912.0000000000064</v>
      </c>
      <c r="CC178" s="88">
        <v>6912.0000000000064</v>
      </c>
      <c r="CD178" s="88">
        <v>6912.0000000000064</v>
      </c>
      <c r="CE178" s="88">
        <v>6912.0000000000064</v>
      </c>
      <c r="CF178" s="88">
        <v>1920.000000000002</v>
      </c>
      <c r="CG178" s="88">
        <v>1920.000000000002</v>
      </c>
      <c r="CH178" s="88">
        <v>1920.000000000002</v>
      </c>
      <c r="CI178" s="88">
        <v>48000</v>
      </c>
      <c r="CJ178" s="88">
        <v>48000</v>
      </c>
      <c r="CK178" s="88">
        <v>48000</v>
      </c>
      <c r="CL178" s="88">
        <v>48000</v>
      </c>
      <c r="CM178" s="88">
        <v>48000</v>
      </c>
      <c r="CN178" s="88">
        <v>48000</v>
      </c>
      <c r="CO178" s="88">
        <v>48000</v>
      </c>
      <c r="CP178" s="88">
        <v>48000</v>
      </c>
      <c r="CQ178" s="88">
        <v>48000</v>
      </c>
      <c r="CR178" s="88">
        <v>48000</v>
      </c>
      <c r="CS178" s="88">
        <v>48000</v>
      </c>
      <c r="CT178" s="88">
        <v>48000</v>
      </c>
      <c r="CU178" s="88">
        <v>194.1736812647861</v>
      </c>
      <c r="CV178" s="88">
        <v>194.11021737684919</v>
      </c>
      <c r="CW178" s="88">
        <v>194.04679496053839</v>
      </c>
      <c r="CX178" s="88">
        <v>193.98126619278241</v>
      </c>
      <c r="CY178" s="88">
        <v>193.915781667652</v>
      </c>
      <c r="CZ178" s="88">
        <v>193.85034134035101</v>
      </c>
      <c r="DA178" s="88">
        <v>193.78494516615771</v>
      </c>
      <c r="DB178" s="88">
        <v>193.71852212228191</v>
      </c>
      <c r="DC178" s="88">
        <v>193.6532148423247</v>
      </c>
      <c r="DD178" s="88">
        <v>193.58795158091621</v>
      </c>
      <c r="DE178" s="88">
        <v>193.52273229354819</v>
      </c>
      <c r="DF178" s="88">
        <v>193.45755693581879</v>
      </c>
      <c r="DG178" s="93">
        <v>46296</v>
      </c>
      <c r="DH178" s="91">
        <v>0.1</v>
      </c>
      <c r="DI178" t="s">
        <v>403</v>
      </c>
      <c r="DJ178" s="93">
        <v>46478</v>
      </c>
      <c r="DK178" s="91">
        <v>0.04</v>
      </c>
      <c r="DL178" t="s">
        <v>302</v>
      </c>
      <c r="DM178" s="93"/>
      <c r="DN178" s="91"/>
      <c r="DP178" s="93"/>
      <c r="DQ178" s="91"/>
    </row>
    <row r="179" spans="1:121" x14ac:dyDescent="0.3">
      <c r="A179" t="s">
        <v>26</v>
      </c>
      <c r="B179" t="s">
        <v>47</v>
      </c>
      <c r="C179" t="s">
        <v>73</v>
      </c>
      <c r="D179" t="s">
        <v>404</v>
      </c>
      <c r="E179" t="s">
        <v>542</v>
      </c>
      <c r="F179" s="86">
        <v>32000</v>
      </c>
      <c r="G179" s="87">
        <v>12</v>
      </c>
      <c r="H179" s="88">
        <v>1.03</v>
      </c>
      <c r="I179" s="88">
        <v>1.0290625</v>
      </c>
      <c r="J179" s="89">
        <v>0.99399161196207142</v>
      </c>
      <c r="K179" s="88">
        <v>1.000911023382933</v>
      </c>
      <c r="L179" s="88">
        <v>1.006044706983058</v>
      </c>
      <c r="M179" s="88">
        <v>1</v>
      </c>
      <c r="N179" s="90">
        <v>0.68</v>
      </c>
      <c r="O179" s="90">
        <v>0.68473364132006942</v>
      </c>
      <c r="P179" s="90">
        <v>0.67506345487317798</v>
      </c>
      <c r="Q179" s="91">
        <v>0</v>
      </c>
      <c r="R179" s="88">
        <v>0.99999999999999978</v>
      </c>
      <c r="S179" s="88">
        <v>0.9927403748134972</v>
      </c>
      <c r="T179" s="91">
        <v>-9.1019417475712849E-4</v>
      </c>
      <c r="U179" s="91">
        <v>9.1102338293347351E-4</v>
      </c>
      <c r="V179" s="87">
        <v>0</v>
      </c>
      <c r="W179" s="91">
        <v>0</v>
      </c>
      <c r="X179" s="87">
        <v>1</v>
      </c>
      <c r="Y179" s="90">
        <v>0.68473364132006942</v>
      </c>
      <c r="Z179" s="90">
        <v>0.67506345487317798</v>
      </c>
      <c r="AA179" s="92">
        <v>0</v>
      </c>
      <c r="AB179" s="88">
        <v>0</v>
      </c>
      <c r="AC179" s="87">
        <v>1</v>
      </c>
      <c r="AD179" s="87">
        <v>0</v>
      </c>
      <c r="AE179" s="88">
        <v>1.0075000000000001</v>
      </c>
      <c r="AF179" s="88">
        <v>1.016200824295963</v>
      </c>
      <c r="AG179" s="88">
        <v>1.0238230697317869</v>
      </c>
      <c r="AH179" s="88">
        <v>32960</v>
      </c>
      <c r="AI179" s="88">
        <v>32930.000000000007</v>
      </c>
      <c r="AJ179" s="88">
        <v>31807.73158278628</v>
      </c>
      <c r="AK179" s="88">
        <v>32029.15274825387</v>
      </c>
      <c r="AL179" s="88">
        <v>32193.430623457869</v>
      </c>
      <c r="AM179" s="88">
        <v>32000</v>
      </c>
      <c r="AN179" s="88">
        <v>21760</v>
      </c>
      <c r="AO179" s="88">
        <v>21911.476522242221</v>
      </c>
      <c r="AP179" s="88">
        <v>21602.030555941699</v>
      </c>
      <c r="AQ179" s="88">
        <v>0</v>
      </c>
      <c r="AR179" s="88">
        <v>31999.999999999989</v>
      </c>
      <c r="AS179" s="88">
        <v>31767.691994031909</v>
      </c>
      <c r="AT179" s="88">
        <v>21911.476522242221</v>
      </c>
      <c r="AU179" s="88">
        <v>21602.030555941699</v>
      </c>
      <c r="AV179" s="88">
        <v>32000</v>
      </c>
      <c r="AW179" s="88">
        <v>31680</v>
      </c>
      <c r="AX179" s="88">
        <v>32320</v>
      </c>
      <c r="AY179" s="88">
        <v>32000</v>
      </c>
      <c r="AZ179" s="88">
        <v>32000</v>
      </c>
      <c r="BA179" s="88">
        <v>32000</v>
      </c>
      <c r="BB179" s="88">
        <v>32000</v>
      </c>
      <c r="BC179" s="88">
        <v>32000</v>
      </c>
      <c r="BD179" s="88">
        <v>32000</v>
      </c>
      <c r="BE179" s="88">
        <v>32000</v>
      </c>
      <c r="BF179" s="88">
        <v>32000</v>
      </c>
      <c r="BG179" s="88">
        <v>32000</v>
      </c>
      <c r="BH179" s="88">
        <v>32000</v>
      </c>
      <c r="BI179" s="88">
        <v>32000</v>
      </c>
      <c r="BJ179" s="88">
        <v>32000</v>
      </c>
      <c r="BK179" s="88">
        <v>1497.9359685208419</v>
      </c>
      <c r="BL179" s="88">
        <v>1497.227320427804</v>
      </c>
      <c r="BM179" s="88">
        <v>1496.520536948673</v>
      </c>
      <c r="BN179" s="88">
        <v>520.18616251363881</v>
      </c>
      <c r="BO179" s="88">
        <v>519.48051948052409</v>
      </c>
      <c r="BP179" s="88">
        <v>518.77678829198715</v>
      </c>
      <c r="BQ179" s="88">
        <v>518.07496118873792</v>
      </c>
      <c r="BR179" s="88">
        <v>517.36357193480126</v>
      </c>
      <c r="BS179" s="88">
        <v>516.66556079003817</v>
      </c>
      <c r="BT179" s="88">
        <v>515.96943057825933</v>
      </c>
      <c r="BU179" s="88">
        <v>515.275173706847</v>
      </c>
      <c r="BV179" s="88">
        <v>514.58278262401791</v>
      </c>
      <c r="BW179" s="88">
        <v>960.00000000000091</v>
      </c>
      <c r="BX179" s="88">
        <v>960.00000000000091</v>
      </c>
      <c r="BY179" s="88">
        <v>960.00000000000091</v>
      </c>
      <c r="BZ179" s="88">
        <v>0</v>
      </c>
      <c r="CA179" s="88">
        <v>0</v>
      </c>
      <c r="CB179" s="88">
        <v>0</v>
      </c>
      <c r="CC179" s="88">
        <v>0</v>
      </c>
      <c r="CD179" s="88">
        <v>0</v>
      </c>
      <c r="CE179" s="88">
        <v>0</v>
      </c>
      <c r="CF179" s="88">
        <v>0</v>
      </c>
      <c r="CG179" s="88">
        <v>0</v>
      </c>
      <c r="CH179" s="88">
        <v>0</v>
      </c>
      <c r="CI179" s="88">
        <v>32000</v>
      </c>
      <c r="CJ179" s="88">
        <v>32000</v>
      </c>
      <c r="CK179" s="88">
        <v>32000</v>
      </c>
      <c r="CL179" s="88">
        <v>32000</v>
      </c>
      <c r="CM179" s="88">
        <v>32000</v>
      </c>
      <c r="CN179" s="88">
        <v>32000</v>
      </c>
      <c r="CO179" s="88">
        <v>32000</v>
      </c>
      <c r="CP179" s="88">
        <v>32000</v>
      </c>
      <c r="CQ179" s="88">
        <v>32000</v>
      </c>
      <c r="CR179" s="88">
        <v>32000</v>
      </c>
      <c r="CS179" s="88">
        <v>32000</v>
      </c>
      <c r="CT179" s="88">
        <v>32000</v>
      </c>
      <c r="CU179" s="88">
        <v>522.26793060275872</v>
      </c>
      <c r="CV179" s="88">
        <v>521.57992274543835</v>
      </c>
      <c r="CW179" s="88">
        <v>520.8937251928844</v>
      </c>
      <c r="CX179" s="88">
        <v>520.18616251363881</v>
      </c>
      <c r="CY179" s="88">
        <v>519.48051948052409</v>
      </c>
      <c r="CZ179" s="88">
        <v>518.77678829198715</v>
      </c>
      <c r="DA179" s="88">
        <v>518.07496118873792</v>
      </c>
      <c r="DB179" s="88">
        <v>517.36357193480126</v>
      </c>
      <c r="DC179" s="88">
        <v>516.66556079003817</v>
      </c>
      <c r="DD179" s="88">
        <v>515.96943057825933</v>
      </c>
      <c r="DE179" s="88">
        <v>515.275173706847</v>
      </c>
      <c r="DF179" s="88">
        <v>514.58278262401791</v>
      </c>
      <c r="DG179" s="93">
        <v>46113</v>
      </c>
      <c r="DH179" s="91">
        <v>0.03</v>
      </c>
      <c r="DI179" t="s">
        <v>301</v>
      </c>
      <c r="DJ179" s="93"/>
      <c r="DK179" s="91"/>
      <c r="DM179" s="93"/>
      <c r="DN179" s="91"/>
      <c r="DP179" s="93"/>
      <c r="DQ179" s="91"/>
    </row>
    <row r="180" spans="1:121" x14ac:dyDescent="0.3">
      <c r="A180" t="s">
        <v>26</v>
      </c>
      <c r="B180" t="s">
        <v>47</v>
      </c>
      <c r="C180" t="s">
        <v>78</v>
      </c>
      <c r="D180" t="s">
        <v>406</v>
      </c>
      <c r="E180" t="s">
        <v>543</v>
      </c>
      <c r="F180" s="86">
        <v>84000</v>
      </c>
      <c r="G180" s="87">
        <v>12</v>
      </c>
      <c r="H180" s="88">
        <v>1.04</v>
      </c>
      <c r="I180" s="88">
        <v>1.0377777777777779</v>
      </c>
      <c r="J180" s="89">
        <v>0.9900000000000001</v>
      </c>
      <c r="K180" s="88">
        <v>1.0021413276231259</v>
      </c>
      <c r="L180" s="88">
        <v>1.0101010101010099</v>
      </c>
      <c r="M180" s="88">
        <v>1</v>
      </c>
      <c r="N180" s="90">
        <v>0.66400000000000003</v>
      </c>
      <c r="O180" s="90">
        <v>0.67214327428460185</v>
      </c>
      <c r="P180" s="90">
        <v>0.67070707070707047</v>
      </c>
      <c r="Q180" s="91">
        <v>0</v>
      </c>
      <c r="R180" s="88">
        <v>0.99999999999999978</v>
      </c>
      <c r="S180" s="88">
        <v>1.0101010101010099</v>
      </c>
      <c r="T180" s="91">
        <v>-2.1367521367520181E-3</v>
      </c>
      <c r="U180" s="91">
        <v>2.1413276231263541E-3</v>
      </c>
      <c r="V180" s="87">
        <v>0</v>
      </c>
      <c r="W180" s="91">
        <v>0</v>
      </c>
      <c r="X180" s="87">
        <v>1</v>
      </c>
      <c r="Y180" s="90">
        <v>0.67214327428460185</v>
      </c>
      <c r="Z180" s="90">
        <v>0.67070707070707047</v>
      </c>
      <c r="AA180" s="92">
        <v>0</v>
      </c>
      <c r="AB180" s="88">
        <v>0</v>
      </c>
      <c r="AC180" s="87">
        <v>1</v>
      </c>
      <c r="AD180" s="87">
        <v>0</v>
      </c>
      <c r="AE180" s="88">
        <v>1.013333333333333</v>
      </c>
      <c r="AF180" s="88">
        <v>1</v>
      </c>
      <c r="AG180" s="88">
        <v>1.013333333333333</v>
      </c>
      <c r="AH180" s="88">
        <v>87360</v>
      </c>
      <c r="AI180" s="88">
        <v>87173.333333333343</v>
      </c>
      <c r="AJ180" s="88">
        <v>83160.000000000015</v>
      </c>
      <c r="AK180" s="88">
        <v>84179.871520342611</v>
      </c>
      <c r="AL180" s="88">
        <v>84848.484848484833</v>
      </c>
      <c r="AM180" s="88">
        <v>84000</v>
      </c>
      <c r="AN180" s="88">
        <v>55776</v>
      </c>
      <c r="AO180" s="88">
        <v>56460.035039906557</v>
      </c>
      <c r="AP180" s="88">
        <v>56339.393939393922</v>
      </c>
      <c r="AQ180" s="88">
        <v>0</v>
      </c>
      <c r="AR180" s="88">
        <v>83999.999999999985</v>
      </c>
      <c r="AS180" s="88">
        <v>84848.484848484833</v>
      </c>
      <c r="AT180" s="88">
        <v>56460.035039906557</v>
      </c>
      <c r="AU180" s="88">
        <v>56339.393939393922</v>
      </c>
      <c r="AV180" s="88">
        <v>84000</v>
      </c>
      <c r="AW180" s="88">
        <v>83160</v>
      </c>
      <c r="AX180" s="88">
        <v>83160</v>
      </c>
      <c r="AY180" s="88">
        <v>84000</v>
      </c>
      <c r="AZ180" s="88">
        <v>84000</v>
      </c>
      <c r="BA180" s="88">
        <v>84000</v>
      </c>
      <c r="BB180" s="88">
        <v>84000</v>
      </c>
      <c r="BC180" s="88">
        <v>84000</v>
      </c>
      <c r="BD180" s="88">
        <v>84000</v>
      </c>
      <c r="BE180" s="88">
        <v>84000</v>
      </c>
      <c r="BF180" s="88">
        <v>84000</v>
      </c>
      <c r="BG180" s="88">
        <v>84000</v>
      </c>
      <c r="BH180" s="88">
        <v>84000</v>
      </c>
      <c r="BI180" s="88">
        <v>84000</v>
      </c>
      <c r="BJ180" s="88">
        <v>84000</v>
      </c>
      <c r="BK180" s="88">
        <v>3360.0000000000032</v>
      </c>
      <c r="BL180" s="88">
        <v>3360.0000000000032</v>
      </c>
      <c r="BM180" s="88">
        <v>3360.0000000000032</v>
      </c>
      <c r="BN180" s="88">
        <v>3360.0000000000032</v>
      </c>
      <c r="BO180" s="88">
        <v>0</v>
      </c>
      <c r="BP180" s="88">
        <v>0</v>
      </c>
      <c r="BQ180" s="88">
        <v>0</v>
      </c>
      <c r="BR180" s="88">
        <v>0</v>
      </c>
      <c r="BS180" s="88">
        <v>0</v>
      </c>
      <c r="BT180" s="88">
        <v>0</v>
      </c>
      <c r="BU180" s="88">
        <v>0</v>
      </c>
      <c r="BV180" s="88">
        <v>0</v>
      </c>
      <c r="BW180" s="88">
        <v>3360.0000000000032</v>
      </c>
      <c r="BX180" s="88">
        <v>3360.0000000000032</v>
      </c>
      <c r="BY180" s="88">
        <v>3360.0000000000032</v>
      </c>
      <c r="BZ180" s="88">
        <v>3360.0000000000032</v>
      </c>
      <c r="CA180" s="88">
        <v>0</v>
      </c>
      <c r="CB180" s="88">
        <v>0</v>
      </c>
      <c r="CC180" s="88">
        <v>0</v>
      </c>
      <c r="CD180" s="88">
        <v>0</v>
      </c>
      <c r="CE180" s="88">
        <v>0</v>
      </c>
      <c r="CF180" s="88">
        <v>0</v>
      </c>
      <c r="CG180" s="88">
        <v>0</v>
      </c>
      <c r="CH180" s="88">
        <v>0</v>
      </c>
      <c r="CI180" s="88">
        <v>84000</v>
      </c>
      <c r="CJ180" s="88">
        <v>84000</v>
      </c>
      <c r="CK180" s="88">
        <v>84000</v>
      </c>
      <c r="CL180" s="88">
        <v>84000</v>
      </c>
      <c r="CM180" s="88">
        <v>84000</v>
      </c>
      <c r="CN180" s="88">
        <v>84000</v>
      </c>
      <c r="CO180" s="88">
        <v>84000</v>
      </c>
      <c r="CP180" s="88">
        <v>84000</v>
      </c>
      <c r="CQ180" s="88">
        <v>84000</v>
      </c>
      <c r="CR180" s="88">
        <v>84000</v>
      </c>
      <c r="CS180" s="88">
        <v>84000</v>
      </c>
      <c r="CT180" s="88">
        <v>84000</v>
      </c>
      <c r="CU180" s="88">
        <v>0</v>
      </c>
      <c r="CV180" s="88">
        <v>0</v>
      </c>
      <c r="CW180" s="88">
        <v>0</v>
      </c>
      <c r="CX180" s="88">
        <v>0</v>
      </c>
      <c r="CY180" s="88">
        <v>0</v>
      </c>
      <c r="CZ180" s="88">
        <v>0</v>
      </c>
      <c r="DA180" s="88">
        <v>0</v>
      </c>
      <c r="DB180" s="88">
        <v>0</v>
      </c>
      <c r="DC180" s="88">
        <v>0</v>
      </c>
      <c r="DD180" s="88">
        <v>0</v>
      </c>
      <c r="DE180" s="88">
        <v>0</v>
      </c>
      <c r="DF180" s="88">
        <v>0</v>
      </c>
      <c r="DG180" s="93">
        <v>46143</v>
      </c>
      <c r="DH180" s="91">
        <v>0.04</v>
      </c>
      <c r="DI180" t="s">
        <v>301</v>
      </c>
      <c r="DJ180" s="93"/>
      <c r="DK180" s="91"/>
      <c r="DM180" s="93"/>
      <c r="DN180" s="91"/>
      <c r="DP180" s="93"/>
      <c r="DQ180" s="91"/>
    </row>
    <row r="181" spans="1:121" x14ac:dyDescent="0.3">
      <c r="A181" t="s">
        <v>26</v>
      </c>
      <c r="B181" t="s">
        <v>47</v>
      </c>
      <c r="C181" t="s">
        <v>80</v>
      </c>
      <c r="D181" t="s">
        <v>408</v>
      </c>
      <c r="E181" t="s">
        <v>544</v>
      </c>
      <c r="F181" s="86">
        <v>68000</v>
      </c>
      <c r="G181" s="87">
        <v>12</v>
      </c>
      <c r="H181" s="88">
        <v>1</v>
      </c>
      <c r="I181" s="88">
        <v>1.01125</v>
      </c>
      <c r="J181" s="89">
        <v>0.99299370897155337</v>
      </c>
      <c r="K181" s="88">
        <v>0.9888751545117429</v>
      </c>
      <c r="L181" s="88">
        <v>1.007055725494679</v>
      </c>
      <c r="M181" s="88">
        <v>1</v>
      </c>
      <c r="N181" s="90">
        <v>0.69199999999999995</v>
      </c>
      <c r="O181" s="90">
        <v>0.68912985121613646</v>
      </c>
      <c r="P181" s="90">
        <v>0.66420298214111995</v>
      </c>
      <c r="Q181" s="91">
        <v>0</v>
      </c>
      <c r="R181" s="88">
        <v>0.96269554753309261</v>
      </c>
      <c r="S181" s="88">
        <v>0.99702434638596604</v>
      </c>
      <c r="T181" s="91">
        <v>1.1249999999999981E-2</v>
      </c>
      <c r="U181" s="91">
        <v>2.7194066749073102E-2</v>
      </c>
      <c r="V181" s="87">
        <v>0</v>
      </c>
      <c r="W181" s="91">
        <v>0</v>
      </c>
      <c r="X181" s="87">
        <v>1</v>
      </c>
      <c r="Y181" s="90">
        <v>0.68912985121613646</v>
      </c>
      <c r="Z181" s="90">
        <v>0.66420298214111995</v>
      </c>
      <c r="AA181" s="92">
        <v>0</v>
      </c>
      <c r="AB181" s="88">
        <v>0</v>
      </c>
      <c r="AC181" s="87">
        <v>0</v>
      </c>
      <c r="AD181" s="87">
        <v>1</v>
      </c>
      <c r="AE181" s="88">
        <v>1.03</v>
      </c>
      <c r="AF181" s="88">
        <v>1.012138206284618</v>
      </c>
      <c r="AG181" s="88">
        <v>1.042501799533555</v>
      </c>
      <c r="AH181" s="88">
        <v>68000</v>
      </c>
      <c r="AI181" s="88">
        <v>68765</v>
      </c>
      <c r="AJ181" s="88">
        <v>67523.572210065628</v>
      </c>
      <c r="AK181" s="88">
        <v>67243.510506798513</v>
      </c>
      <c r="AL181" s="88">
        <v>68479.789333638182</v>
      </c>
      <c r="AM181" s="88">
        <v>68000</v>
      </c>
      <c r="AN181" s="88">
        <v>47056</v>
      </c>
      <c r="AO181" s="88">
        <v>46860.829882697282</v>
      </c>
      <c r="AP181" s="88">
        <v>45165.802785596163</v>
      </c>
      <c r="AQ181" s="88">
        <v>0</v>
      </c>
      <c r="AR181" s="88">
        <v>65463.297232250297</v>
      </c>
      <c r="AS181" s="88">
        <v>67797.655554245692</v>
      </c>
      <c r="AT181" s="88">
        <v>46860.829882697282</v>
      </c>
      <c r="AU181" s="88">
        <v>45165.802785596163</v>
      </c>
      <c r="AV181" s="88">
        <v>68000</v>
      </c>
      <c r="AW181" s="88">
        <v>67320</v>
      </c>
      <c r="AX181" s="88">
        <v>68340</v>
      </c>
      <c r="AY181" s="88">
        <v>68000</v>
      </c>
      <c r="AZ181" s="88">
        <v>68000</v>
      </c>
      <c r="BA181" s="88">
        <v>68000</v>
      </c>
      <c r="BB181" s="88">
        <v>68000</v>
      </c>
      <c r="BC181" s="88">
        <v>68000</v>
      </c>
      <c r="BD181" s="88">
        <v>68000</v>
      </c>
      <c r="BE181" s="88">
        <v>68000</v>
      </c>
      <c r="BF181" s="88">
        <v>68000</v>
      </c>
      <c r="BG181" s="88">
        <v>68000</v>
      </c>
      <c r="BH181" s="88">
        <v>68000</v>
      </c>
      <c r="BI181" s="88">
        <v>68000</v>
      </c>
      <c r="BJ181" s="88">
        <v>68000</v>
      </c>
      <c r="BK181" s="88">
        <v>829.97542175927117</v>
      </c>
      <c r="BL181" s="88">
        <v>829.15747978887214</v>
      </c>
      <c r="BM181" s="88">
        <v>828.34114839720212</v>
      </c>
      <c r="BN181" s="88">
        <v>3580.598786423946</v>
      </c>
      <c r="BO181" s="88">
        <v>3579.724558277419</v>
      </c>
      <c r="BP181" s="88">
        <v>3578.8521044751378</v>
      </c>
      <c r="BQ181" s="88">
        <v>3577.9814196207399</v>
      </c>
      <c r="BR181" s="88">
        <v>3577.098268391082</v>
      </c>
      <c r="BS181" s="88">
        <v>3576.231134109521</v>
      </c>
      <c r="BT181" s="88">
        <v>3575.3657526302809</v>
      </c>
      <c r="BU181" s="88">
        <v>3574.5021186440581</v>
      </c>
      <c r="BV181" s="88">
        <v>3573.64022686311</v>
      </c>
      <c r="BW181" s="88">
        <v>0</v>
      </c>
      <c r="BX181" s="88">
        <v>0</v>
      </c>
      <c r="BY181" s="88">
        <v>0</v>
      </c>
      <c r="BZ181" s="88">
        <v>2720.0000000000018</v>
      </c>
      <c r="CA181" s="88">
        <v>2720.0000000000018</v>
      </c>
      <c r="CB181" s="88">
        <v>2720.0000000000018</v>
      </c>
      <c r="CC181" s="88">
        <v>2720.0000000000018</v>
      </c>
      <c r="CD181" s="88">
        <v>2720.0000000000018</v>
      </c>
      <c r="CE181" s="88">
        <v>2720.0000000000018</v>
      </c>
      <c r="CF181" s="88">
        <v>2720.0000000000018</v>
      </c>
      <c r="CG181" s="88">
        <v>2720.0000000000018</v>
      </c>
      <c r="CH181" s="88">
        <v>2720.0000000000018</v>
      </c>
      <c r="CI181" s="88">
        <v>68000</v>
      </c>
      <c r="CJ181" s="88">
        <v>68000</v>
      </c>
      <c r="CK181" s="88">
        <v>68000</v>
      </c>
      <c r="CL181" s="88">
        <v>68000</v>
      </c>
      <c r="CM181" s="88">
        <v>68000</v>
      </c>
      <c r="CN181" s="88">
        <v>68000</v>
      </c>
      <c r="CO181" s="88">
        <v>68000</v>
      </c>
      <c r="CP181" s="88">
        <v>68000</v>
      </c>
      <c r="CQ181" s="88">
        <v>68000</v>
      </c>
      <c r="CR181" s="88">
        <v>68000</v>
      </c>
      <c r="CS181" s="88">
        <v>68000</v>
      </c>
      <c r="CT181" s="88">
        <v>68000</v>
      </c>
      <c r="CU181" s="88">
        <v>829.97542175927117</v>
      </c>
      <c r="CV181" s="88">
        <v>829.15747978887214</v>
      </c>
      <c r="CW181" s="88">
        <v>828.34114839720212</v>
      </c>
      <c r="CX181" s="88">
        <v>827.49883309994493</v>
      </c>
      <c r="CY181" s="88">
        <v>826.65822911289501</v>
      </c>
      <c r="CZ181" s="88">
        <v>825.81933122608575</v>
      </c>
      <c r="DA181" s="88">
        <v>824.98213425070423</v>
      </c>
      <c r="DB181" s="88">
        <v>824.1329503760353</v>
      </c>
      <c r="DC181" s="88">
        <v>823.29916741300394</v>
      </c>
      <c r="DD181" s="88">
        <v>822.46706983680087</v>
      </c>
      <c r="DE181" s="88">
        <v>821.63665254236753</v>
      </c>
      <c r="DF181" s="88">
        <v>820.80791044530076</v>
      </c>
      <c r="DG181" s="93">
        <v>46478</v>
      </c>
      <c r="DH181" s="91">
        <v>0.04</v>
      </c>
      <c r="DI181" t="s">
        <v>302</v>
      </c>
      <c r="DJ181" s="93"/>
      <c r="DK181" s="91"/>
      <c r="DM181" s="93"/>
      <c r="DN181" s="91"/>
      <c r="DP181" s="93"/>
      <c r="DQ181" s="91"/>
    </row>
    <row r="182" spans="1:121" x14ac:dyDescent="0.3">
      <c r="A182" t="s">
        <v>26</v>
      </c>
      <c r="B182" t="s">
        <v>47</v>
      </c>
      <c r="C182" t="s">
        <v>82</v>
      </c>
      <c r="D182" t="s">
        <v>410</v>
      </c>
      <c r="E182" t="s">
        <v>545</v>
      </c>
      <c r="F182" s="86">
        <v>52000</v>
      </c>
      <c r="G182" s="87">
        <v>12</v>
      </c>
      <c r="H182" s="88">
        <v>1.06</v>
      </c>
      <c r="I182" s="88">
        <v>1.0525</v>
      </c>
      <c r="J182" s="89">
        <v>0.98900209700948194</v>
      </c>
      <c r="K182" s="88">
        <v>1.0071258907363421</v>
      </c>
      <c r="L182" s="88">
        <v>1.011120201892163</v>
      </c>
      <c r="M182" s="88">
        <v>1</v>
      </c>
      <c r="N182" s="90">
        <v>0.67600000000000005</v>
      </c>
      <c r="O182" s="90">
        <v>0.68838792576517649</v>
      </c>
      <c r="P182" s="90">
        <v>0.68582664639356372</v>
      </c>
      <c r="Q182" s="91">
        <v>0</v>
      </c>
      <c r="R182" s="88">
        <v>0.99999999999999978</v>
      </c>
      <c r="S182" s="88">
        <v>1.0145364591620769</v>
      </c>
      <c r="T182" s="91">
        <v>-7.0754716981130672E-3</v>
      </c>
      <c r="U182" s="91">
        <v>7.1258907363420656E-3</v>
      </c>
      <c r="V182" s="87">
        <v>0</v>
      </c>
      <c r="W182" s="91">
        <v>0</v>
      </c>
      <c r="X182" s="87">
        <v>1</v>
      </c>
      <c r="Y182" s="90">
        <v>0.68838792576517649</v>
      </c>
      <c r="Z182" s="90">
        <v>0.68582664639356372</v>
      </c>
      <c r="AA182" s="92">
        <v>0</v>
      </c>
      <c r="AB182" s="88">
        <v>0</v>
      </c>
      <c r="AC182" s="87">
        <v>1</v>
      </c>
      <c r="AD182" s="87">
        <v>0</v>
      </c>
      <c r="AE182" s="88">
        <v>1.03</v>
      </c>
      <c r="AF182" s="88">
        <v>0.99597028697853884</v>
      </c>
      <c r="AG182" s="88">
        <v>1.0258495176558471</v>
      </c>
      <c r="AH182" s="88">
        <v>55120</v>
      </c>
      <c r="AI182" s="88">
        <v>54730.000000000007</v>
      </c>
      <c r="AJ182" s="88">
        <v>51428.10904449306</v>
      </c>
      <c r="AK182" s="88">
        <v>52370.546318289773</v>
      </c>
      <c r="AL182" s="88">
        <v>52578.250498392466</v>
      </c>
      <c r="AM182" s="88">
        <v>52000</v>
      </c>
      <c r="AN182" s="88">
        <v>35152</v>
      </c>
      <c r="AO182" s="88">
        <v>35796.172139789167</v>
      </c>
      <c r="AP182" s="88">
        <v>35662.985612465323</v>
      </c>
      <c r="AQ182" s="88">
        <v>0</v>
      </c>
      <c r="AR182" s="88">
        <v>51999.999999999993</v>
      </c>
      <c r="AS182" s="88">
        <v>52755.895876427989</v>
      </c>
      <c r="AT182" s="88">
        <v>35796.172139789167</v>
      </c>
      <c r="AU182" s="88">
        <v>35662.985612465323</v>
      </c>
      <c r="AV182" s="88">
        <v>52000</v>
      </c>
      <c r="AW182" s="88">
        <v>51480</v>
      </c>
      <c r="AX182" s="88">
        <v>51220</v>
      </c>
      <c r="AY182" s="88">
        <v>52000</v>
      </c>
      <c r="AZ182" s="88">
        <v>52000</v>
      </c>
      <c r="BA182" s="88">
        <v>52000</v>
      </c>
      <c r="BB182" s="88">
        <v>52000</v>
      </c>
      <c r="BC182" s="88">
        <v>52000</v>
      </c>
      <c r="BD182" s="88">
        <v>52000</v>
      </c>
      <c r="BE182" s="88">
        <v>52000</v>
      </c>
      <c r="BF182" s="88">
        <v>52000</v>
      </c>
      <c r="BG182" s="88">
        <v>52000</v>
      </c>
      <c r="BH182" s="88">
        <v>52000</v>
      </c>
      <c r="BI182" s="88">
        <v>52000</v>
      </c>
      <c r="BJ182" s="88">
        <v>52000</v>
      </c>
      <c r="BK182" s="88">
        <v>2898.2893540584141</v>
      </c>
      <c r="BL182" s="88">
        <v>2898.2172542275762</v>
      </c>
      <c r="BM182" s="88">
        <v>2898.1451074880479</v>
      </c>
      <c r="BN182" s="88">
        <v>2898.0704657268302</v>
      </c>
      <c r="BO182" s="88">
        <v>2897.9957737231539</v>
      </c>
      <c r="BP182" s="88">
        <v>2897.9210314262732</v>
      </c>
      <c r="BQ182" s="88">
        <v>-209.5790200138037</v>
      </c>
      <c r="BR182" s="88">
        <v>-209.65078453356111</v>
      </c>
      <c r="BS182" s="88">
        <v>-209.72143954210901</v>
      </c>
      <c r="BT182" s="88">
        <v>-209.79214218999729</v>
      </c>
      <c r="BU182" s="88">
        <v>-209.86289252543199</v>
      </c>
      <c r="BV182" s="88">
        <v>-209.93369059667091</v>
      </c>
      <c r="BW182" s="88">
        <v>3120.0000000000032</v>
      </c>
      <c r="BX182" s="88">
        <v>3120.0000000000032</v>
      </c>
      <c r="BY182" s="88">
        <v>3120.0000000000032</v>
      </c>
      <c r="BZ182" s="88">
        <v>3120.0000000000032</v>
      </c>
      <c r="CA182" s="88">
        <v>3120.0000000000032</v>
      </c>
      <c r="CB182" s="88">
        <v>3120.0000000000032</v>
      </c>
      <c r="CC182" s="88">
        <v>0</v>
      </c>
      <c r="CD182" s="88">
        <v>0</v>
      </c>
      <c r="CE182" s="88">
        <v>0</v>
      </c>
      <c r="CF182" s="88">
        <v>0</v>
      </c>
      <c r="CG182" s="88">
        <v>0</v>
      </c>
      <c r="CH182" s="88">
        <v>0</v>
      </c>
      <c r="CI182" s="88">
        <v>52000</v>
      </c>
      <c r="CJ182" s="88">
        <v>52000</v>
      </c>
      <c r="CK182" s="88">
        <v>52000</v>
      </c>
      <c r="CL182" s="88">
        <v>52000</v>
      </c>
      <c r="CM182" s="88">
        <v>52000</v>
      </c>
      <c r="CN182" s="88">
        <v>52000</v>
      </c>
      <c r="CO182" s="88">
        <v>52000</v>
      </c>
      <c r="CP182" s="88">
        <v>52000</v>
      </c>
      <c r="CQ182" s="88">
        <v>52000</v>
      </c>
      <c r="CR182" s="88">
        <v>52000</v>
      </c>
      <c r="CS182" s="88">
        <v>52000</v>
      </c>
      <c r="CT182" s="88">
        <v>52000</v>
      </c>
      <c r="CU182" s="88">
        <v>-209.16098673734271</v>
      </c>
      <c r="CV182" s="88">
        <v>-209.22900544568671</v>
      </c>
      <c r="CW182" s="88">
        <v>-209.29706840749949</v>
      </c>
      <c r="CX182" s="88">
        <v>-209.36748516336851</v>
      </c>
      <c r="CY182" s="88">
        <v>-209.43794931777941</v>
      </c>
      <c r="CZ182" s="88">
        <v>-209.50846091861479</v>
      </c>
      <c r="DA182" s="88">
        <v>-209.5790200138037</v>
      </c>
      <c r="DB182" s="88">
        <v>-209.65078453356111</v>
      </c>
      <c r="DC182" s="88">
        <v>-209.72143954210901</v>
      </c>
      <c r="DD182" s="88">
        <v>-209.79214218999729</v>
      </c>
      <c r="DE182" s="88">
        <v>-209.86289252543199</v>
      </c>
      <c r="DF182" s="88">
        <v>-209.93369059667091</v>
      </c>
      <c r="DG182" s="93">
        <v>46204</v>
      </c>
      <c r="DH182" s="91">
        <v>0.06</v>
      </c>
      <c r="DI182" t="s">
        <v>301</v>
      </c>
      <c r="DJ182" s="93"/>
      <c r="DK182" s="91"/>
      <c r="DM182" s="93"/>
      <c r="DN182" s="91"/>
      <c r="DP182" s="93"/>
      <c r="DQ182" s="91"/>
    </row>
    <row r="183" spans="1:121" x14ac:dyDescent="0.3">
      <c r="A183" t="s">
        <v>26</v>
      </c>
      <c r="B183" t="s">
        <v>47</v>
      </c>
      <c r="C183" t="s">
        <v>85</v>
      </c>
      <c r="D183" t="s">
        <v>412</v>
      </c>
      <c r="E183" t="s">
        <v>546</v>
      </c>
      <c r="F183" s="86">
        <v>36000</v>
      </c>
      <c r="G183" s="87">
        <v>12</v>
      </c>
      <c r="H183" s="88">
        <v>1.02</v>
      </c>
      <c r="I183" s="88">
        <v>1.0165972222222219</v>
      </c>
      <c r="J183" s="89">
        <v>0.99199580598103554</v>
      </c>
      <c r="K183" s="88">
        <v>1.0033472231709819</v>
      </c>
      <c r="L183" s="88">
        <v>1.008068778084247</v>
      </c>
      <c r="M183" s="88">
        <v>1</v>
      </c>
      <c r="N183" s="90">
        <v>0.66</v>
      </c>
      <c r="O183" s="90">
        <v>0.66755238610908785</v>
      </c>
      <c r="P183" s="90">
        <v>0.66088799794855668</v>
      </c>
      <c r="Q183" s="91">
        <v>0</v>
      </c>
      <c r="R183" s="88">
        <v>1</v>
      </c>
      <c r="S183" s="88">
        <v>1.0013454514372071</v>
      </c>
      <c r="T183" s="91">
        <v>-3.336056644880236E-3</v>
      </c>
      <c r="U183" s="91">
        <v>3.3472231709814611E-3</v>
      </c>
      <c r="V183" s="87">
        <v>0</v>
      </c>
      <c r="W183" s="91">
        <v>0</v>
      </c>
      <c r="X183" s="87">
        <v>1</v>
      </c>
      <c r="Y183" s="90">
        <v>0.66755238610908785</v>
      </c>
      <c r="Z183" s="90">
        <v>0.66088799794855668</v>
      </c>
      <c r="AA183" s="92">
        <v>0</v>
      </c>
      <c r="AB183" s="88">
        <v>0</v>
      </c>
      <c r="AC183" s="87">
        <v>1</v>
      </c>
      <c r="AD183" s="87">
        <v>0</v>
      </c>
      <c r="AE183" s="88">
        <v>1.011666666666666</v>
      </c>
      <c r="AF183" s="88">
        <v>1.0080839018517109</v>
      </c>
      <c r="AG183" s="88">
        <v>1.019845039965944</v>
      </c>
      <c r="AH183" s="88">
        <v>36720</v>
      </c>
      <c r="AI183" s="88">
        <v>36597.5</v>
      </c>
      <c r="AJ183" s="88">
        <v>35711.849015317282</v>
      </c>
      <c r="AK183" s="88">
        <v>36120.500034155339</v>
      </c>
      <c r="AL183" s="88">
        <v>36290.476011032893</v>
      </c>
      <c r="AM183" s="88">
        <v>36000</v>
      </c>
      <c r="AN183" s="88">
        <v>23760</v>
      </c>
      <c r="AO183" s="88">
        <v>24031.885899927162</v>
      </c>
      <c r="AP183" s="88">
        <v>23791.967926148041</v>
      </c>
      <c r="AQ183" s="88">
        <v>0</v>
      </c>
      <c r="AR183" s="88">
        <v>36000.000000000007</v>
      </c>
      <c r="AS183" s="88">
        <v>36048.436251739447</v>
      </c>
      <c r="AT183" s="88">
        <v>24031.885899927162</v>
      </c>
      <c r="AU183" s="88">
        <v>23791.967926148041</v>
      </c>
      <c r="AV183" s="88">
        <v>36000</v>
      </c>
      <c r="AW183" s="88">
        <v>35640</v>
      </c>
      <c r="AX183" s="88">
        <v>36000</v>
      </c>
      <c r="AY183" s="88">
        <v>36000</v>
      </c>
      <c r="AZ183" s="88">
        <v>36000</v>
      </c>
      <c r="BA183" s="88">
        <v>36000</v>
      </c>
      <c r="BB183" s="88">
        <v>36000</v>
      </c>
      <c r="BC183" s="88">
        <v>36000</v>
      </c>
      <c r="BD183" s="88">
        <v>36000</v>
      </c>
      <c r="BE183" s="88">
        <v>36000</v>
      </c>
      <c r="BF183" s="88">
        <v>36000</v>
      </c>
      <c r="BG183" s="88">
        <v>36000</v>
      </c>
      <c r="BH183" s="88">
        <v>36000</v>
      </c>
      <c r="BI183" s="88">
        <v>36000</v>
      </c>
      <c r="BJ183" s="88">
        <v>36000</v>
      </c>
      <c r="BK183" s="88">
        <v>1017.936001600519</v>
      </c>
      <c r="BL183" s="88">
        <v>1017.740753082301</v>
      </c>
      <c r="BM183" s="88">
        <v>1017.545760303698</v>
      </c>
      <c r="BN183" s="88">
        <v>1017.344425956735</v>
      </c>
      <c r="BO183" s="88">
        <v>1017.143363891322</v>
      </c>
      <c r="BP183" s="88">
        <v>1016.942573555476</v>
      </c>
      <c r="BQ183" s="88">
        <v>1016.742054398725</v>
      </c>
      <c r="BR183" s="88">
        <v>290.72404447148779</v>
      </c>
      <c r="BS183" s="88">
        <v>290.52799150968679</v>
      </c>
      <c r="BT183" s="88">
        <v>290.33220279064142</v>
      </c>
      <c r="BU183" s="88">
        <v>290.13667778047483</v>
      </c>
      <c r="BV183" s="88">
        <v>289.94141594678081</v>
      </c>
      <c r="BW183" s="88">
        <v>720.00000000000068</v>
      </c>
      <c r="BX183" s="88">
        <v>720.00000000000068</v>
      </c>
      <c r="BY183" s="88">
        <v>720.00000000000068</v>
      </c>
      <c r="BZ183" s="88">
        <v>720.00000000000068</v>
      </c>
      <c r="CA183" s="88">
        <v>720.00000000000068</v>
      </c>
      <c r="CB183" s="88">
        <v>720.00000000000068</v>
      </c>
      <c r="CC183" s="88">
        <v>720.00000000000068</v>
      </c>
      <c r="CD183" s="88">
        <v>0</v>
      </c>
      <c r="CE183" s="88">
        <v>0</v>
      </c>
      <c r="CF183" s="88">
        <v>0</v>
      </c>
      <c r="CG183" s="88">
        <v>0</v>
      </c>
      <c r="CH183" s="88">
        <v>0</v>
      </c>
      <c r="CI183" s="88">
        <v>36000</v>
      </c>
      <c r="CJ183" s="88">
        <v>36000</v>
      </c>
      <c r="CK183" s="88">
        <v>36000</v>
      </c>
      <c r="CL183" s="88">
        <v>36000</v>
      </c>
      <c r="CM183" s="88">
        <v>36000</v>
      </c>
      <c r="CN183" s="88">
        <v>36000</v>
      </c>
      <c r="CO183" s="88">
        <v>36000</v>
      </c>
      <c r="CP183" s="88">
        <v>36000</v>
      </c>
      <c r="CQ183" s="88">
        <v>36000</v>
      </c>
      <c r="CR183" s="88">
        <v>36000</v>
      </c>
      <c r="CS183" s="88">
        <v>36000</v>
      </c>
      <c r="CT183" s="88">
        <v>36000</v>
      </c>
      <c r="CU183" s="88">
        <v>292.09411921619119</v>
      </c>
      <c r="CV183" s="88">
        <v>291.90269910029713</v>
      </c>
      <c r="CW183" s="88">
        <v>291.71152970950772</v>
      </c>
      <c r="CX183" s="88">
        <v>291.51414309483852</v>
      </c>
      <c r="CY183" s="88">
        <v>291.31702342286133</v>
      </c>
      <c r="CZ183" s="88">
        <v>291.12017015242492</v>
      </c>
      <c r="DA183" s="88">
        <v>290.92358274384901</v>
      </c>
      <c r="DB183" s="88">
        <v>290.72404447148779</v>
      </c>
      <c r="DC183" s="88">
        <v>290.52799150968679</v>
      </c>
      <c r="DD183" s="88">
        <v>290.33220279064142</v>
      </c>
      <c r="DE183" s="88">
        <v>290.13667778047483</v>
      </c>
      <c r="DF183" s="88">
        <v>289.94141594678081</v>
      </c>
      <c r="DG183" s="93">
        <v>46235</v>
      </c>
      <c r="DH183" s="91">
        <v>0.02</v>
      </c>
      <c r="DI183" t="s">
        <v>301</v>
      </c>
      <c r="DJ183" s="93"/>
      <c r="DK183" s="91"/>
      <c r="DM183" s="93"/>
      <c r="DN183" s="91"/>
      <c r="DP183" s="93"/>
      <c r="DQ183" s="91"/>
    </row>
    <row r="184" spans="1:121" x14ac:dyDescent="0.3">
      <c r="A184" t="s">
        <v>26</v>
      </c>
      <c r="B184" t="s">
        <v>47</v>
      </c>
      <c r="C184" t="s">
        <v>87</v>
      </c>
      <c r="D184" t="s">
        <v>414</v>
      </c>
      <c r="E184" t="s">
        <v>547</v>
      </c>
      <c r="F184" s="86">
        <v>88000</v>
      </c>
      <c r="G184" s="87">
        <v>12</v>
      </c>
      <c r="H184" s="88">
        <v>1</v>
      </c>
      <c r="I184" s="88">
        <v>1</v>
      </c>
      <c r="J184" s="89">
        <v>0.98800419401896411</v>
      </c>
      <c r="K184" s="88">
        <v>1</v>
      </c>
      <c r="L184" s="88">
        <v>1.012141452489427</v>
      </c>
      <c r="M184" s="88">
        <v>1</v>
      </c>
      <c r="N184" s="90">
        <v>0.68799999999999994</v>
      </c>
      <c r="O184" s="90">
        <v>0.6963533193127257</v>
      </c>
      <c r="P184" s="90">
        <v>0.70107959068763448</v>
      </c>
      <c r="Q184" s="91">
        <v>0</v>
      </c>
      <c r="R184" s="88">
        <v>1</v>
      </c>
      <c r="S184" s="88">
        <v>1.019011032976213</v>
      </c>
      <c r="T184" s="91">
        <v>0</v>
      </c>
      <c r="U184" s="91">
        <v>0</v>
      </c>
      <c r="V184" s="87">
        <v>0</v>
      </c>
      <c r="W184" s="91">
        <v>0</v>
      </c>
      <c r="X184" s="87">
        <v>1</v>
      </c>
      <c r="Y184" s="90">
        <v>0.6963533193127257</v>
      </c>
      <c r="Z184" s="90">
        <v>0.70107959068763448</v>
      </c>
      <c r="AA184" s="92">
        <v>0</v>
      </c>
      <c r="AB184" s="88">
        <v>0</v>
      </c>
      <c r="AC184" s="87">
        <v>0</v>
      </c>
      <c r="AD184" s="87">
        <v>0</v>
      </c>
      <c r="AE184" s="88">
        <v>1</v>
      </c>
      <c r="AF184" s="88">
        <v>0.99194865631796525</v>
      </c>
      <c r="AG184" s="88">
        <v>0.99194865631796525</v>
      </c>
      <c r="AH184" s="88">
        <v>88000</v>
      </c>
      <c r="AI184" s="88">
        <v>88000</v>
      </c>
      <c r="AJ184" s="88">
        <v>86944.369073668844</v>
      </c>
      <c r="AK184" s="88">
        <v>88000</v>
      </c>
      <c r="AL184" s="88">
        <v>89068.447819069581</v>
      </c>
      <c r="AM184" s="88">
        <v>88000</v>
      </c>
      <c r="AN184" s="88">
        <v>60543.999999999993</v>
      </c>
      <c r="AO184" s="88">
        <v>61279.092099519861</v>
      </c>
      <c r="AP184" s="88">
        <v>61695.003980511843</v>
      </c>
      <c r="AQ184" s="88">
        <v>0</v>
      </c>
      <c r="AR184" s="88">
        <v>88000</v>
      </c>
      <c r="AS184" s="88">
        <v>89672.970901906738</v>
      </c>
      <c r="AT184" s="88">
        <v>61279.092099519861</v>
      </c>
      <c r="AU184" s="88">
        <v>61695.003980511843</v>
      </c>
      <c r="AV184" s="88">
        <v>88000</v>
      </c>
      <c r="AW184" s="88">
        <v>87120</v>
      </c>
      <c r="AX184" s="88">
        <v>86240</v>
      </c>
      <c r="AY184" s="88">
        <v>88000</v>
      </c>
      <c r="AZ184" s="88">
        <v>88000</v>
      </c>
      <c r="BA184" s="88">
        <v>88000</v>
      </c>
      <c r="BB184" s="88">
        <v>88000</v>
      </c>
      <c r="BC184" s="88">
        <v>88000</v>
      </c>
      <c r="BD184" s="88">
        <v>88000</v>
      </c>
      <c r="BE184" s="88">
        <v>88000</v>
      </c>
      <c r="BF184" s="88">
        <v>88000</v>
      </c>
      <c r="BG184" s="88">
        <v>88000</v>
      </c>
      <c r="BH184" s="88">
        <v>88000</v>
      </c>
      <c r="BI184" s="88">
        <v>88000</v>
      </c>
      <c r="BJ184" s="88">
        <v>88000</v>
      </c>
      <c r="BK184" s="88">
        <v>-705.92630850210014</v>
      </c>
      <c r="BL184" s="88">
        <v>-706.38428888742055</v>
      </c>
      <c r="BM184" s="88">
        <v>-706.84286390193665</v>
      </c>
      <c r="BN184" s="88">
        <v>-707.31761027063737</v>
      </c>
      <c r="BO184" s="88">
        <v>-707.79299478850976</v>
      </c>
      <c r="BP184" s="88">
        <v>-708.26901874310795</v>
      </c>
      <c r="BQ184" s="88">
        <v>-708.74568342545444</v>
      </c>
      <c r="BR184" s="88">
        <v>-709.23082018614286</v>
      </c>
      <c r="BS184" s="88">
        <v>-709.70878076803513</v>
      </c>
      <c r="BT184" s="88">
        <v>-710.18738599304675</v>
      </c>
      <c r="BU184" s="88">
        <v>-710.66663716618098</v>
      </c>
      <c r="BV184" s="88">
        <v>-711.1465355960753</v>
      </c>
      <c r="BW184" s="88">
        <v>0</v>
      </c>
      <c r="BX184" s="88">
        <v>0</v>
      </c>
      <c r="BY184" s="88">
        <v>0</v>
      </c>
      <c r="BZ184" s="88">
        <v>0</v>
      </c>
      <c r="CA184" s="88">
        <v>0</v>
      </c>
      <c r="CB184" s="88">
        <v>0</v>
      </c>
      <c r="CC184" s="88">
        <v>0</v>
      </c>
      <c r="CD184" s="88">
        <v>0</v>
      </c>
      <c r="CE184" s="88">
        <v>0</v>
      </c>
      <c r="CF184" s="88">
        <v>0</v>
      </c>
      <c r="CG184" s="88">
        <v>0</v>
      </c>
      <c r="CH184" s="88">
        <v>0</v>
      </c>
      <c r="CI184" s="88">
        <v>88000</v>
      </c>
      <c r="CJ184" s="88">
        <v>88000</v>
      </c>
      <c r="CK184" s="88">
        <v>88000</v>
      </c>
      <c r="CL184" s="88">
        <v>88000</v>
      </c>
      <c r="CM184" s="88">
        <v>88000</v>
      </c>
      <c r="CN184" s="88">
        <v>88000</v>
      </c>
      <c r="CO184" s="88">
        <v>88000</v>
      </c>
      <c r="CP184" s="88">
        <v>88000</v>
      </c>
      <c r="CQ184" s="88">
        <v>88000</v>
      </c>
      <c r="CR184" s="88">
        <v>88000</v>
      </c>
      <c r="CS184" s="88">
        <v>88000</v>
      </c>
      <c r="CT184" s="88">
        <v>88000</v>
      </c>
      <c r="CU184" s="88">
        <v>-705.92630850210014</v>
      </c>
      <c r="CV184" s="88">
        <v>-706.38428888742055</v>
      </c>
      <c r="CW184" s="88">
        <v>-706.84286390193665</v>
      </c>
      <c r="CX184" s="88">
        <v>-707.31761027063737</v>
      </c>
      <c r="CY184" s="88">
        <v>-707.79299478850976</v>
      </c>
      <c r="CZ184" s="88">
        <v>-708.26901874310795</v>
      </c>
      <c r="DA184" s="88">
        <v>-708.74568342545444</v>
      </c>
      <c r="DB184" s="88">
        <v>-709.23082018614286</v>
      </c>
      <c r="DC184" s="88">
        <v>-709.70878076803513</v>
      </c>
      <c r="DD184" s="88">
        <v>-710.18738599304675</v>
      </c>
      <c r="DE184" s="88">
        <v>-710.66663716618098</v>
      </c>
      <c r="DF184" s="88">
        <v>-711.1465355960753</v>
      </c>
      <c r="DG184" s="93"/>
      <c r="DH184" s="91"/>
      <c r="DJ184" s="93"/>
      <c r="DK184" s="91"/>
      <c r="DM184" s="93"/>
      <c r="DN184" s="91"/>
      <c r="DP184" s="93"/>
      <c r="DQ184" s="91"/>
    </row>
    <row r="185" spans="1:121" x14ac:dyDescent="0.3">
      <c r="A185" t="s">
        <v>26</v>
      </c>
      <c r="B185" t="s">
        <v>47</v>
      </c>
      <c r="C185" t="s">
        <v>89</v>
      </c>
      <c r="D185" t="s">
        <v>416</v>
      </c>
      <c r="E185" t="s">
        <v>548</v>
      </c>
      <c r="F185" s="86">
        <v>72000</v>
      </c>
      <c r="G185" s="87">
        <v>12</v>
      </c>
      <c r="H185" s="88">
        <v>1.04</v>
      </c>
      <c r="I185" s="88">
        <v>1.0323611111111111</v>
      </c>
      <c r="J185" s="89">
        <v>0.99099790299051793</v>
      </c>
      <c r="K185" s="88">
        <v>1.0073994349522399</v>
      </c>
      <c r="L185" s="88">
        <v>1.009083870896514</v>
      </c>
      <c r="M185" s="88">
        <v>1</v>
      </c>
      <c r="N185" s="90">
        <v>0.67200000000000004</v>
      </c>
      <c r="O185" s="90">
        <v>0.68312195035430145</v>
      </c>
      <c r="P185" s="90">
        <v>0.65412005373465265</v>
      </c>
      <c r="Q185" s="91">
        <v>0</v>
      </c>
      <c r="R185" s="88">
        <v>0.96787202580992038</v>
      </c>
      <c r="S185" s="88">
        <v>1.005704174878489</v>
      </c>
      <c r="T185" s="91">
        <v>-7.3450854700855004E-3</v>
      </c>
      <c r="U185" s="91">
        <v>4.0839499529127243E-2</v>
      </c>
      <c r="V185" s="87">
        <v>0</v>
      </c>
      <c r="W185" s="91">
        <v>0</v>
      </c>
      <c r="X185" s="87">
        <v>1</v>
      </c>
      <c r="Y185" s="90">
        <v>0.68312195035430145</v>
      </c>
      <c r="Z185" s="90">
        <v>0.65412005373465265</v>
      </c>
      <c r="AA185" s="92">
        <v>0</v>
      </c>
      <c r="AB185" s="88">
        <v>0</v>
      </c>
      <c r="AC185" s="87">
        <v>1</v>
      </c>
      <c r="AD185" s="87">
        <v>1</v>
      </c>
      <c r="AE185" s="88">
        <v>1.046933333333333</v>
      </c>
      <c r="AF185" s="88">
        <v>1.004037852440528</v>
      </c>
      <c r="AG185" s="88">
        <v>1.0511606767191519</v>
      </c>
      <c r="AH185" s="88">
        <v>74880</v>
      </c>
      <c r="AI185" s="88">
        <v>74330</v>
      </c>
      <c r="AJ185" s="88">
        <v>71351.84901531729</v>
      </c>
      <c r="AK185" s="88">
        <v>72532.759316561293</v>
      </c>
      <c r="AL185" s="88">
        <v>72654.038704549021</v>
      </c>
      <c r="AM185" s="88">
        <v>72000</v>
      </c>
      <c r="AN185" s="88">
        <v>48384</v>
      </c>
      <c r="AO185" s="88">
        <v>49184.780425509707</v>
      </c>
      <c r="AP185" s="88">
        <v>47096.643868894993</v>
      </c>
      <c r="AQ185" s="88">
        <v>0</v>
      </c>
      <c r="AR185" s="88">
        <v>69686.785858314266</v>
      </c>
      <c r="AS185" s="88">
        <v>72410.700591251225</v>
      </c>
      <c r="AT185" s="88">
        <v>49184.780425509707</v>
      </c>
      <c r="AU185" s="88">
        <v>47096.643868894993</v>
      </c>
      <c r="AV185" s="88">
        <v>72000</v>
      </c>
      <c r="AW185" s="88">
        <v>71280</v>
      </c>
      <c r="AX185" s="88">
        <v>71640</v>
      </c>
      <c r="AY185" s="88">
        <v>72000</v>
      </c>
      <c r="AZ185" s="88">
        <v>72000</v>
      </c>
      <c r="BA185" s="88">
        <v>72000</v>
      </c>
      <c r="BB185" s="88">
        <v>72000</v>
      </c>
      <c r="BC185" s="88">
        <v>72000</v>
      </c>
      <c r="BD185" s="88">
        <v>72000</v>
      </c>
      <c r="BE185" s="88">
        <v>72000</v>
      </c>
      <c r="BF185" s="88">
        <v>72000</v>
      </c>
      <c r="BG185" s="88">
        <v>72000</v>
      </c>
      <c r="BH185" s="88">
        <v>72000</v>
      </c>
      <c r="BI185" s="88">
        <v>72000</v>
      </c>
      <c r="BJ185" s="88">
        <v>72000</v>
      </c>
      <c r="BK185" s="88">
        <v>3182.9109427730682</v>
      </c>
      <c r="BL185" s="88">
        <v>3182.8119391078822</v>
      </c>
      <c r="BM185" s="88">
        <v>3182.7130001384489</v>
      </c>
      <c r="BN185" s="88">
        <v>3182.61077526075</v>
      </c>
      <c r="BO185" s="88">
        <v>3182.508619401538</v>
      </c>
      <c r="BP185" s="88">
        <v>3182.4065324909488</v>
      </c>
      <c r="BQ185" s="88">
        <v>3182.3045144592152</v>
      </c>
      <c r="BR185" s="88">
        <v>6189.4889302911997</v>
      </c>
      <c r="BS185" s="88">
        <v>6189.3829757601943</v>
      </c>
      <c r="BT185" s="88">
        <v>3181.9972044662259</v>
      </c>
      <c r="BU185" s="88">
        <v>3181.8954623779359</v>
      </c>
      <c r="BV185" s="88">
        <v>3181.793788819883</v>
      </c>
      <c r="BW185" s="88">
        <v>2880.0000000000032</v>
      </c>
      <c r="BX185" s="88">
        <v>2880.0000000000032</v>
      </c>
      <c r="BY185" s="88">
        <v>2880.0000000000032</v>
      </c>
      <c r="BZ185" s="88">
        <v>2880.0000000000032</v>
      </c>
      <c r="CA185" s="88">
        <v>2880.0000000000032</v>
      </c>
      <c r="CB185" s="88">
        <v>2880.0000000000032</v>
      </c>
      <c r="CC185" s="88">
        <v>2880.0000000000032</v>
      </c>
      <c r="CD185" s="88">
        <v>5875.200000000008</v>
      </c>
      <c r="CE185" s="88">
        <v>5875.200000000008</v>
      </c>
      <c r="CF185" s="88">
        <v>2880.0000000000032</v>
      </c>
      <c r="CG185" s="88">
        <v>2880.0000000000032</v>
      </c>
      <c r="CH185" s="88">
        <v>2880.0000000000032</v>
      </c>
      <c r="CI185" s="88">
        <v>72000</v>
      </c>
      <c r="CJ185" s="88">
        <v>72000</v>
      </c>
      <c r="CK185" s="88">
        <v>72000</v>
      </c>
      <c r="CL185" s="88">
        <v>72000</v>
      </c>
      <c r="CM185" s="88">
        <v>72000</v>
      </c>
      <c r="CN185" s="88">
        <v>72000</v>
      </c>
      <c r="CO185" s="88">
        <v>72000</v>
      </c>
      <c r="CP185" s="88">
        <v>72000</v>
      </c>
      <c r="CQ185" s="88">
        <v>72000</v>
      </c>
      <c r="CR185" s="88">
        <v>72000</v>
      </c>
      <c r="CS185" s="88">
        <v>72000</v>
      </c>
      <c r="CT185" s="88">
        <v>72000</v>
      </c>
      <c r="CU185" s="88">
        <v>291.2605218971791</v>
      </c>
      <c r="CV185" s="88">
        <v>291.1653260652738</v>
      </c>
      <c r="CW185" s="88">
        <v>291.07019244080772</v>
      </c>
      <c r="CX185" s="88">
        <v>290.97189928917368</v>
      </c>
      <c r="CY185" s="88">
        <v>290.87367250147798</v>
      </c>
      <c r="CZ185" s="88">
        <v>290.77551201052643</v>
      </c>
      <c r="DA185" s="88">
        <v>290.67741774923661</v>
      </c>
      <c r="DB185" s="88">
        <v>290.57778318342292</v>
      </c>
      <c r="DC185" s="88">
        <v>290.47982226348699</v>
      </c>
      <c r="DD185" s="88">
        <v>290.38192737137427</v>
      </c>
      <c r="DE185" s="88">
        <v>290.28409844032228</v>
      </c>
      <c r="DF185" s="88">
        <v>290.18633540372821</v>
      </c>
      <c r="DG185" s="93">
        <v>46296</v>
      </c>
      <c r="DH185" s="91">
        <v>0.04</v>
      </c>
      <c r="DI185" t="s">
        <v>301</v>
      </c>
      <c r="DJ185" s="93">
        <v>46600</v>
      </c>
      <c r="DK185" s="91">
        <v>0.04</v>
      </c>
      <c r="DL185" t="s">
        <v>302</v>
      </c>
      <c r="DM185" s="93"/>
      <c r="DN185" s="91"/>
      <c r="DP185" s="93"/>
      <c r="DQ185" s="91"/>
    </row>
    <row r="186" spans="1:121" x14ac:dyDescent="0.3">
      <c r="A186" t="s">
        <v>26</v>
      </c>
      <c r="B186" t="s">
        <v>47</v>
      </c>
      <c r="C186" t="s">
        <v>91</v>
      </c>
      <c r="D186" t="s">
        <v>418</v>
      </c>
      <c r="E186" t="s">
        <v>549</v>
      </c>
      <c r="F186" s="86">
        <v>56000</v>
      </c>
      <c r="G186" s="87">
        <v>12</v>
      </c>
      <c r="H186" s="88">
        <v>1.05</v>
      </c>
      <c r="I186" s="88">
        <v>1.0326388888888891</v>
      </c>
      <c r="J186" s="89">
        <v>0.99399161196207142</v>
      </c>
      <c r="K186" s="88">
        <v>1.0168123739071959</v>
      </c>
      <c r="L186" s="88">
        <v>1.006044706983058</v>
      </c>
      <c r="M186" s="88">
        <v>1</v>
      </c>
      <c r="N186" s="90">
        <v>0.7</v>
      </c>
      <c r="O186" s="90">
        <v>0.7160710947349489</v>
      </c>
      <c r="P186" s="90">
        <v>0.69491826236944798</v>
      </c>
      <c r="Q186" s="91">
        <v>0</v>
      </c>
      <c r="R186" s="88">
        <v>1</v>
      </c>
      <c r="S186" s="88">
        <v>0.9927403748134972</v>
      </c>
      <c r="T186" s="91">
        <v>-1.653439153439162E-2</v>
      </c>
      <c r="U186" s="91">
        <v>1.6812373907195699E-2</v>
      </c>
      <c r="V186" s="87">
        <v>0</v>
      </c>
      <c r="W186" s="91">
        <v>0</v>
      </c>
      <c r="X186" s="87">
        <v>1</v>
      </c>
      <c r="Y186" s="90">
        <v>0.7160710947349489</v>
      </c>
      <c r="Z186" s="90">
        <v>0.69491826236944798</v>
      </c>
      <c r="AA186" s="92">
        <v>0</v>
      </c>
      <c r="AB186" s="88">
        <v>0</v>
      </c>
      <c r="AC186" s="87">
        <v>1</v>
      </c>
      <c r="AD186" s="87">
        <v>0</v>
      </c>
      <c r="AE186" s="88">
        <v>1.041666666666667</v>
      </c>
      <c r="AF186" s="88">
        <v>1.016200824295963</v>
      </c>
      <c r="AG186" s="88">
        <v>1.058543436089364</v>
      </c>
      <c r="AH186" s="88">
        <v>58800</v>
      </c>
      <c r="AI186" s="88">
        <v>57827.777777777781</v>
      </c>
      <c r="AJ186" s="88">
        <v>55663.530269875999</v>
      </c>
      <c r="AK186" s="88">
        <v>56941.492938802963</v>
      </c>
      <c r="AL186" s="88">
        <v>56338.503591051267</v>
      </c>
      <c r="AM186" s="88">
        <v>56000</v>
      </c>
      <c r="AN186" s="88">
        <v>39200</v>
      </c>
      <c r="AO186" s="88">
        <v>40099.98130515714</v>
      </c>
      <c r="AP186" s="88">
        <v>38915.422692689077</v>
      </c>
      <c r="AQ186" s="88">
        <v>0</v>
      </c>
      <c r="AR186" s="88">
        <v>56000</v>
      </c>
      <c r="AS186" s="88">
        <v>55593.460989555853</v>
      </c>
      <c r="AT186" s="88">
        <v>40099.98130515714</v>
      </c>
      <c r="AU186" s="88">
        <v>38915.422692689077</v>
      </c>
      <c r="AV186" s="88">
        <v>56000</v>
      </c>
      <c r="AW186" s="88">
        <v>55440</v>
      </c>
      <c r="AX186" s="88">
        <v>56560</v>
      </c>
      <c r="AY186" s="88">
        <v>56000</v>
      </c>
      <c r="AZ186" s="88">
        <v>56000</v>
      </c>
      <c r="BA186" s="88">
        <v>56000</v>
      </c>
      <c r="BB186" s="88">
        <v>56000</v>
      </c>
      <c r="BC186" s="88">
        <v>56000</v>
      </c>
      <c r="BD186" s="88">
        <v>56000</v>
      </c>
      <c r="BE186" s="88">
        <v>56000</v>
      </c>
      <c r="BF186" s="88">
        <v>56000</v>
      </c>
      <c r="BG186" s="88">
        <v>56000</v>
      </c>
      <c r="BH186" s="88">
        <v>56000</v>
      </c>
      <c r="BI186" s="88">
        <v>56000</v>
      </c>
      <c r="BJ186" s="88">
        <v>56000</v>
      </c>
      <c r="BK186" s="88">
        <v>3759.6673224825672</v>
      </c>
      <c r="BL186" s="88">
        <v>3758.4031080447462</v>
      </c>
      <c r="BM186" s="88">
        <v>3757.1422200419302</v>
      </c>
      <c r="BN186" s="88">
        <v>3755.84207361881</v>
      </c>
      <c r="BO186" s="88">
        <v>3754.5454545454718</v>
      </c>
      <c r="BP186" s="88">
        <v>3753.2523484865301</v>
      </c>
      <c r="BQ186" s="88">
        <v>3751.9627411843039</v>
      </c>
      <c r="BR186" s="88">
        <v>3750.6555634301972</v>
      </c>
      <c r="BS186" s="88">
        <v>3749.3729679516932</v>
      </c>
      <c r="BT186" s="88">
        <v>3748.093828687558</v>
      </c>
      <c r="BU186" s="88">
        <v>901.73155398698236</v>
      </c>
      <c r="BV186" s="88">
        <v>900.51986959203134</v>
      </c>
      <c r="BW186" s="88">
        <v>2800.0000000000018</v>
      </c>
      <c r="BX186" s="88">
        <v>2800.0000000000018</v>
      </c>
      <c r="BY186" s="88">
        <v>2800.0000000000018</v>
      </c>
      <c r="BZ186" s="88">
        <v>2800.0000000000018</v>
      </c>
      <c r="CA186" s="88">
        <v>2800.0000000000018</v>
      </c>
      <c r="CB186" s="88">
        <v>2800.0000000000018</v>
      </c>
      <c r="CC186" s="88">
        <v>2800.0000000000018</v>
      </c>
      <c r="CD186" s="88">
        <v>2800.0000000000018</v>
      </c>
      <c r="CE186" s="88">
        <v>2800.0000000000018</v>
      </c>
      <c r="CF186" s="88">
        <v>2800.0000000000018</v>
      </c>
      <c r="CG186" s="88">
        <v>0</v>
      </c>
      <c r="CH186" s="88">
        <v>0</v>
      </c>
      <c r="CI186" s="88">
        <v>56000</v>
      </c>
      <c r="CJ186" s="88">
        <v>56000</v>
      </c>
      <c r="CK186" s="88">
        <v>56000</v>
      </c>
      <c r="CL186" s="88">
        <v>56000</v>
      </c>
      <c r="CM186" s="88">
        <v>56000</v>
      </c>
      <c r="CN186" s="88">
        <v>56000</v>
      </c>
      <c r="CO186" s="88">
        <v>56000</v>
      </c>
      <c r="CP186" s="88">
        <v>56000</v>
      </c>
      <c r="CQ186" s="88">
        <v>56000</v>
      </c>
      <c r="CR186" s="88">
        <v>56000</v>
      </c>
      <c r="CS186" s="88">
        <v>56000</v>
      </c>
      <c r="CT186" s="88">
        <v>56000</v>
      </c>
      <c r="CU186" s="88">
        <v>913.96887855482771</v>
      </c>
      <c r="CV186" s="88">
        <v>912.76486480451706</v>
      </c>
      <c r="CW186" s="88">
        <v>911.56401908754776</v>
      </c>
      <c r="CX186" s="88">
        <v>910.32578439886788</v>
      </c>
      <c r="CY186" s="88">
        <v>909.09090909091719</v>
      </c>
      <c r="CZ186" s="88">
        <v>907.85937951097753</v>
      </c>
      <c r="DA186" s="88">
        <v>906.6311820802913</v>
      </c>
      <c r="DB186" s="88">
        <v>905.38625088590231</v>
      </c>
      <c r="DC186" s="88">
        <v>904.16473138256674</v>
      </c>
      <c r="DD186" s="88">
        <v>902.94650351195389</v>
      </c>
      <c r="DE186" s="88">
        <v>901.73155398698236</v>
      </c>
      <c r="DF186" s="88">
        <v>900.51986959203134</v>
      </c>
      <c r="DG186" s="93">
        <v>46327</v>
      </c>
      <c r="DH186" s="91">
        <v>0.05</v>
      </c>
      <c r="DI186" t="s">
        <v>301</v>
      </c>
      <c r="DJ186" s="93"/>
      <c r="DK186" s="91"/>
      <c r="DM186" s="93"/>
      <c r="DN186" s="91"/>
      <c r="DP186" s="93"/>
      <c r="DQ186" s="91"/>
    </row>
    <row r="187" spans="1:121" x14ac:dyDescent="0.3">
      <c r="A187" t="s">
        <v>26</v>
      </c>
      <c r="B187" t="s">
        <v>47</v>
      </c>
      <c r="C187" t="s">
        <v>92</v>
      </c>
      <c r="D187" t="s">
        <v>420</v>
      </c>
      <c r="E187" t="s">
        <v>550</v>
      </c>
      <c r="F187" s="86">
        <v>40000</v>
      </c>
      <c r="G187" s="87">
        <v>12</v>
      </c>
      <c r="H187" s="88">
        <v>1</v>
      </c>
      <c r="I187" s="88">
        <v>1</v>
      </c>
      <c r="J187" s="89">
        <v>0.9900000000000001</v>
      </c>
      <c r="K187" s="88">
        <v>1</v>
      </c>
      <c r="L187" s="88">
        <v>1.0101010101010099</v>
      </c>
      <c r="M187" s="88">
        <v>1</v>
      </c>
      <c r="N187" s="90">
        <v>0.68400000000000005</v>
      </c>
      <c r="O187" s="90">
        <v>0.69090909090909081</v>
      </c>
      <c r="P187" s="90">
        <v>0.69090909090909081</v>
      </c>
      <c r="Q187" s="91">
        <v>0</v>
      </c>
      <c r="R187" s="88">
        <v>1</v>
      </c>
      <c r="S187" s="88">
        <v>1.0101010101010099</v>
      </c>
      <c r="T187" s="91">
        <v>0</v>
      </c>
      <c r="U187" s="91">
        <v>0</v>
      </c>
      <c r="V187" s="87">
        <v>0</v>
      </c>
      <c r="W187" s="91">
        <v>0</v>
      </c>
      <c r="X187" s="87">
        <v>1</v>
      </c>
      <c r="Y187" s="90">
        <v>0.69090909090909081</v>
      </c>
      <c r="Z187" s="90">
        <v>0.69090909090909081</v>
      </c>
      <c r="AA187" s="92">
        <v>0</v>
      </c>
      <c r="AB187" s="88">
        <v>0</v>
      </c>
      <c r="AC187" s="87">
        <v>0</v>
      </c>
      <c r="AD187" s="87">
        <v>0</v>
      </c>
      <c r="AE187" s="88">
        <v>1</v>
      </c>
      <c r="AF187" s="88">
        <v>1</v>
      </c>
      <c r="AG187" s="88">
        <v>1</v>
      </c>
      <c r="AH187" s="88">
        <v>40000</v>
      </c>
      <c r="AI187" s="88">
        <v>40000</v>
      </c>
      <c r="AJ187" s="88">
        <v>39600.000000000007</v>
      </c>
      <c r="AK187" s="88">
        <v>40000</v>
      </c>
      <c r="AL187" s="88">
        <v>40404.040404040403</v>
      </c>
      <c r="AM187" s="88">
        <v>40000</v>
      </c>
      <c r="AN187" s="88">
        <v>27360</v>
      </c>
      <c r="AO187" s="88">
        <v>27636.363636363629</v>
      </c>
      <c r="AP187" s="88">
        <v>27636.363636363629</v>
      </c>
      <c r="AQ187" s="88">
        <v>0</v>
      </c>
      <c r="AR187" s="88">
        <v>40000</v>
      </c>
      <c r="AS187" s="88">
        <v>40404.040404040403</v>
      </c>
      <c r="AT187" s="88">
        <v>27636.363636363629</v>
      </c>
      <c r="AU187" s="88">
        <v>27636.363636363629</v>
      </c>
      <c r="AV187" s="88">
        <v>40000</v>
      </c>
      <c r="AW187" s="88">
        <v>39600</v>
      </c>
      <c r="AX187" s="88">
        <v>39600</v>
      </c>
      <c r="AY187" s="88">
        <v>40000</v>
      </c>
      <c r="AZ187" s="88">
        <v>40000</v>
      </c>
      <c r="BA187" s="88">
        <v>40000</v>
      </c>
      <c r="BB187" s="88">
        <v>40000</v>
      </c>
      <c r="BC187" s="88">
        <v>40000</v>
      </c>
      <c r="BD187" s="88">
        <v>40000</v>
      </c>
      <c r="BE187" s="88">
        <v>40000</v>
      </c>
      <c r="BF187" s="88">
        <v>40000</v>
      </c>
      <c r="BG187" s="88">
        <v>40000</v>
      </c>
      <c r="BH187" s="88">
        <v>40000</v>
      </c>
      <c r="BI187" s="88">
        <v>40000</v>
      </c>
      <c r="BJ187" s="88">
        <v>40000</v>
      </c>
      <c r="BK187" s="88">
        <v>0</v>
      </c>
      <c r="BL187" s="88">
        <v>0</v>
      </c>
      <c r="BM187" s="88">
        <v>0</v>
      </c>
      <c r="BN187" s="88">
        <v>0</v>
      </c>
      <c r="BO187" s="88">
        <v>0</v>
      </c>
      <c r="BP187" s="88">
        <v>0</v>
      </c>
      <c r="BQ187" s="88">
        <v>0</v>
      </c>
      <c r="BR187" s="88">
        <v>0</v>
      </c>
      <c r="BS187" s="88">
        <v>0</v>
      </c>
      <c r="BT187" s="88">
        <v>0</v>
      </c>
      <c r="BU187" s="88">
        <v>0</v>
      </c>
      <c r="BV187" s="88">
        <v>0</v>
      </c>
      <c r="BW187" s="88">
        <v>0</v>
      </c>
      <c r="BX187" s="88">
        <v>0</v>
      </c>
      <c r="BY187" s="88">
        <v>0</v>
      </c>
      <c r="BZ187" s="88">
        <v>0</v>
      </c>
      <c r="CA187" s="88">
        <v>0</v>
      </c>
      <c r="CB187" s="88">
        <v>0</v>
      </c>
      <c r="CC187" s="88">
        <v>0</v>
      </c>
      <c r="CD187" s="88">
        <v>0</v>
      </c>
      <c r="CE187" s="88">
        <v>0</v>
      </c>
      <c r="CF187" s="88">
        <v>0</v>
      </c>
      <c r="CG187" s="88">
        <v>0</v>
      </c>
      <c r="CH187" s="88">
        <v>0</v>
      </c>
      <c r="CI187" s="88">
        <v>40000</v>
      </c>
      <c r="CJ187" s="88">
        <v>40000</v>
      </c>
      <c r="CK187" s="88">
        <v>40000</v>
      </c>
      <c r="CL187" s="88">
        <v>40000</v>
      </c>
      <c r="CM187" s="88">
        <v>40000</v>
      </c>
      <c r="CN187" s="88">
        <v>40000</v>
      </c>
      <c r="CO187" s="88">
        <v>40000</v>
      </c>
      <c r="CP187" s="88">
        <v>40000</v>
      </c>
      <c r="CQ187" s="88">
        <v>40000</v>
      </c>
      <c r="CR187" s="88">
        <v>40000</v>
      </c>
      <c r="CS187" s="88">
        <v>40000</v>
      </c>
      <c r="CT187" s="88">
        <v>40000</v>
      </c>
      <c r="CU187" s="88">
        <v>0</v>
      </c>
      <c r="CV187" s="88">
        <v>0</v>
      </c>
      <c r="CW187" s="88">
        <v>0</v>
      </c>
      <c r="CX187" s="88">
        <v>0</v>
      </c>
      <c r="CY187" s="88">
        <v>0</v>
      </c>
      <c r="CZ187" s="88">
        <v>0</v>
      </c>
      <c r="DA187" s="88">
        <v>0</v>
      </c>
      <c r="DB187" s="88">
        <v>0</v>
      </c>
      <c r="DC187" s="88">
        <v>0</v>
      </c>
      <c r="DD187" s="88">
        <v>0</v>
      </c>
      <c r="DE187" s="88">
        <v>0</v>
      </c>
      <c r="DF187" s="88">
        <v>0</v>
      </c>
      <c r="DG187" s="93"/>
      <c r="DH187" s="91"/>
      <c r="DJ187" s="93"/>
      <c r="DK187" s="91"/>
      <c r="DM187" s="93"/>
      <c r="DN187" s="91"/>
      <c r="DP187" s="93"/>
      <c r="DQ187" s="91"/>
    </row>
    <row r="188" spans="1:121" x14ac:dyDescent="0.3">
      <c r="A188" t="s">
        <v>26</v>
      </c>
      <c r="B188" t="s">
        <v>47</v>
      </c>
      <c r="C188" t="s">
        <v>94</v>
      </c>
      <c r="D188" t="s">
        <v>422</v>
      </c>
      <c r="E188" t="s">
        <v>551</v>
      </c>
      <c r="F188" s="86">
        <v>92000</v>
      </c>
      <c r="G188" s="87">
        <v>12</v>
      </c>
      <c r="H188" s="88">
        <v>1.02</v>
      </c>
      <c r="I188" s="88">
        <v>1.02</v>
      </c>
      <c r="J188" s="89">
        <v>0.99299370897155337</v>
      </c>
      <c r="K188" s="88">
        <v>1</v>
      </c>
      <c r="L188" s="88">
        <v>1.007055725494679</v>
      </c>
      <c r="M188" s="88">
        <v>1</v>
      </c>
      <c r="N188" s="90">
        <v>0.66800000000000004</v>
      </c>
      <c r="O188" s="90">
        <v>0.67271322463044592</v>
      </c>
      <c r="P188" s="90">
        <v>0.66601226338582542</v>
      </c>
      <c r="Q188" s="91">
        <v>0</v>
      </c>
      <c r="R188" s="88">
        <v>1</v>
      </c>
      <c r="S188" s="88">
        <v>0.99702434638596604</v>
      </c>
      <c r="T188" s="91">
        <v>0</v>
      </c>
      <c r="U188" s="91">
        <v>0</v>
      </c>
      <c r="V188" s="87">
        <v>0</v>
      </c>
      <c r="W188" s="91">
        <v>0</v>
      </c>
      <c r="X188" s="87">
        <v>1</v>
      </c>
      <c r="Y188" s="90">
        <v>0.67271322463044592</v>
      </c>
      <c r="Z188" s="90">
        <v>0.66601226338582542</v>
      </c>
      <c r="AA188" s="92">
        <v>0</v>
      </c>
      <c r="AB188" s="88">
        <v>0</v>
      </c>
      <c r="AC188" s="87">
        <v>1</v>
      </c>
      <c r="AD188" s="87">
        <v>0</v>
      </c>
      <c r="AE188" s="88">
        <v>1</v>
      </c>
      <c r="AF188" s="88">
        <v>1.012138206284618</v>
      </c>
      <c r="AG188" s="88">
        <v>1.012138206284618</v>
      </c>
      <c r="AH188" s="88">
        <v>93840</v>
      </c>
      <c r="AI188" s="88">
        <v>93839.999999999985</v>
      </c>
      <c r="AJ188" s="88">
        <v>91355.421225382903</v>
      </c>
      <c r="AK188" s="88">
        <v>92000.000000000015</v>
      </c>
      <c r="AL188" s="88">
        <v>92649.126745510497</v>
      </c>
      <c r="AM188" s="88">
        <v>92000</v>
      </c>
      <c r="AN188" s="88">
        <v>61456</v>
      </c>
      <c r="AO188" s="88">
        <v>61889.616666001028</v>
      </c>
      <c r="AP188" s="88">
        <v>61273.128231495939</v>
      </c>
      <c r="AQ188" s="88">
        <v>0</v>
      </c>
      <c r="AR188" s="88">
        <v>92000.000000000015</v>
      </c>
      <c r="AS188" s="88">
        <v>91726.239867508877</v>
      </c>
      <c r="AT188" s="88">
        <v>61889.616666001028</v>
      </c>
      <c r="AU188" s="88">
        <v>61273.128231495939</v>
      </c>
      <c r="AV188" s="88">
        <v>92000</v>
      </c>
      <c r="AW188" s="88">
        <v>91080</v>
      </c>
      <c r="AX188" s="88">
        <v>92459.999999999985</v>
      </c>
      <c r="AY188" s="88">
        <v>92000</v>
      </c>
      <c r="AZ188" s="88">
        <v>92000</v>
      </c>
      <c r="BA188" s="88">
        <v>92000</v>
      </c>
      <c r="BB188" s="88">
        <v>92000</v>
      </c>
      <c r="BC188" s="88">
        <v>92000</v>
      </c>
      <c r="BD188" s="88">
        <v>92000</v>
      </c>
      <c r="BE188" s="88">
        <v>92000</v>
      </c>
      <c r="BF188" s="88">
        <v>92000</v>
      </c>
      <c r="BG188" s="88">
        <v>92000</v>
      </c>
      <c r="BH188" s="88">
        <v>92000</v>
      </c>
      <c r="BI188" s="88">
        <v>92000</v>
      </c>
      <c r="BJ188" s="88">
        <v>92000</v>
      </c>
      <c r="BK188" s="88">
        <v>1122.907923556661</v>
      </c>
      <c r="BL188" s="88">
        <v>1121.8012961849449</v>
      </c>
      <c r="BM188" s="88">
        <v>1120.6968478315091</v>
      </c>
      <c r="BN188" s="88">
        <v>1119.5572447822781</v>
      </c>
      <c r="BO188" s="88">
        <v>1118.4199570350929</v>
      </c>
      <c r="BP188" s="88">
        <v>1117.2849775411751</v>
      </c>
      <c r="BQ188" s="88">
        <v>1116.152299280365</v>
      </c>
      <c r="BR188" s="88">
        <v>1115.0034034499299</v>
      </c>
      <c r="BS188" s="88">
        <v>1113.8753441470051</v>
      </c>
      <c r="BT188" s="88">
        <v>1112.749565073319</v>
      </c>
      <c r="BU188" s="88">
        <v>1111.626059322027</v>
      </c>
      <c r="BV188" s="88">
        <v>1110.504820014231</v>
      </c>
      <c r="BW188" s="88">
        <v>0</v>
      </c>
      <c r="BX188" s="88">
        <v>0</v>
      </c>
      <c r="BY188" s="88">
        <v>0</v>
      </c>
      <c r="BZ188" s="88">
        <v>0</v>
      </c>
      <c r="CA188" s="88">
        <v>0</v>
      </c>
      <c r="CB188" s="88">
        <v>0</v>
      </c>
      <c r="CC188" s="88">
        <v>0</v>
      </c>
      <c r="CD188" s="88">
        <v>0</v>
      </c>
      <c r="CE188" s="88">
        <v>0</v>
      </c>
      <c r="CF188" s="88">
        <v>0</v>
      </c>
      <c r="CG188" s="88">
        <v>0</v>
      </c>
      <c r="CH188" s="88">
        <v>0</v>
      </c>
      <c r="CI188" s="88">
        <v>92000</v>
      </c>
      <c r="CJ188" s="88">
        <v>92000</v>
      </c>
      <c r="CK188" s="88">
        <v>92000</v>
      </c>
      <c r="CL188" s="88">
        <v>92000</v>
      </c>
      <c r="CM188" s="88">
        <v>92000</v>
      </c>
      <c r="CN188" s="88">
        <v>92000</v>
      </c>
      <c r="CO188" s="88">
        <v>92000</v>
      </c>
      <c r="CP188" s="88">
        <v>92000</v>
      </c>
      <c r="CQ188" s="88">
        <v>92000</v>
      </c>
      <c r="CR188" s="88">
        <v>92000</v>
      </c>
      <c r="CS188" s="88">
        <v>92000</v>
      </c>
      <c r="CT188" s="88">
        <v>92000</v>
      </c>
      <c r="CU188" s="88">
        <v>1122.907923556661</v>
      </c>
      <c r="CV188" s="88">
        <v>1121.8012961849449</v>
      </c>
      <c r="CW188" s="88">
        <v>1120.6968478315091</v>
      </c>
      <c r="CX188" s="88">
        <v>1119.5572447822781</v>
      </c>
      <c r="CY188" s="88">
        <v>1118.4199570350929</v>
      </c>
      <c r="CZ188" s="88">
        <v>1117.2849775411751</v>
      </c>
      <c r="DA188" s="88">
        <v>1116.152299280365</v>
      </c>
      <c r="DB188" s="88">
        <v>1115.0034034499299</v>
      </c>
      <c r="DC188" s="88">
        <v>1113.8753441470051</v>
      </c>
      <c r="DD188" s="88">
        <v>1112.749565073319</v>
      </c>
      <c r="DE188" s="88">
        <v>1111.626059322027</v>
      </c>
      <c r="DF188" s="88">
        <v>1110.504820014231</v>
      </c>
      <c r="DG188" s="93">
        <v>46023</v>
      </c>
      <c r="DH188" s="91">
        <v>0.02</v>
      </c>
      <c r="DI188" t="s">
        <v>301</v>
      </c>
      <c r="DJ188" s="93"/>
      <c r="DK188" s="91"/>
      <c r="DM188" s="93"/>
      <c r="DN188" s="91"/>
      <c r="DP188" s="93"/>
      <c r="DQ188" s="91"/>
    </row>
    <row r="189" spans="1:121" x14ac:dyDescent="0.3">
      <c r="A189" t="s">
        <v>26</v>
      </c>
      <c r="B189" t="s">
        <v>47</v>
      </c>
      <c r="C189" t="s">
        <v>95</v>
      </c>
      <c r="D189" t="s">
        <v>424</v>
      </c>
      <c r="E189" t="s">
        <v>552</v>
      </c>
      <c r="F189" s="86">
        <v>76000</v>
      </c>
      <c r="G189" s="87">
        <v>12</v>
      </c>
      <c r="H189" s="88">
        <v>1.03</v>
      </c>
      <c r="I189" s="88">
        <v>1.0472055555555559</v>
      </c>
      <c r="J189" s="89">
        <v>0.98900209700948194</v>
      </c>
      <c r="K189" s="88">
        <v>0.98357003029225942</v>
      </c>
      <c r="L189" s="88">
        <v>1.011120201892163</v>
      </c>
      <c r="M189" s="88">
        <v>1</v>
      </c>
      <c r="N189" s="90">
        <v>0.69599999999999995</v>
      </c>
      <c r="O189" s="90">
        <v>0.69217723921251628</v>
      </c>
      <c r="P189" s="90">
        <v>0.67904970003379161</v>
      </c>
      <c r="Q189" s="91">
        <v>0</v>
      </c>
      <c r="R189" s="88">
        <v>0.96166688927474275</v>
      </c>
      <c r="S189" s="88">
        <v>1.0145364591620769</v>
      </c>
      <c r="T189" s="91">
        <v>1.6704422869471269E-2</v>
      </c>
      <c r="U189" s="91">
        <v>2.277622455529826E-2</v>
      </c>
      <c r="V189" s="87">
        <v>0</v>
      </c>
      <c r="W189" s="91">
        <v>0</v>
      </c>
      <c r="X189" s="87">
        <v>1</v>
      </c>
      <c r="Y189" s="90">
        <v>0.69217723921251628</v>
      </c>
      <c r="Z189" s="90">
        <v>0.67904970003379161</v>
      </c>
      <c r="AA189" s="92">
        <v>0</v>
      </c>
      <c r="AB189" s="88">
        <v>0</v>
      </c>
      <c r="AC189" s="87">
        <v>1</v>
      </c>
      <c r="AD189" s="87">
        <v>1</v>
      </c>
      <c r="AE189" s="88">
        <v>1.039166666666667</v>
      </c>
      <c r="AF189" s="88">
        <v>0.99597028697853884</v>
      </c>
      <c r="AG189" s="88">
        <v>1.034979117063237</v>
      </c>
      <c r="AH189" s="88">
        <v>78280</v>
      </c>
      <c r="AI189" s="88">
        <v>79587.622222222213</v>
      </c>
      <c r="AJ189" s="88">
        <v>75164.159372720635</v>
      </c>
      <c r="AK189" s="88">
        <v>74751.322302211716</v>
      </c>
      <c r="AL189" s="88">
        <v>76845.135343804388</v>
      </c>
      <c r="AM189" s="88">
        <v>76000</v>
      </c>
      <c r="AN189" s="88">
        <v>52895.999999999993</v>
      </c>
      <c r="AO189" s="88">
        <v>52605.470180151227</v>
      </c>
      <c r="AP189" s="88">
        <v>51607.777202568162</v>
      </c>
      <c r="AQ189" s="88">
        <v>0</v>
      </c>
      <c r="AR189" s="88">
        <v>73086.683584880448</v>
      </c>
      <c r="AS189" s="88">
        <v>77104.77089631783</v>
      </c>
      <c r="AT189" s="88">
        <v>52605.470180151227</v>
      </c>
      <c r="AU189" s="88">
        <v>51607.777202568162</v>
      </c>
      <c r="AV189" s="88">
        <v>76000</v>
      </c>
      <c r="AW189" s="88">
        <v>75240</v>
      </c>
      <c r="AX189" s="88">
        <v>74860</v>
      </c>
      <c r="AY189" s="88">
        <v>76000</v>
      </c>
      <c r="AZ189" s="88">
        <v>76000</v>
      </c>
      <c r="BA189" s="88">
        <v>76000</v>
      </c>
      <c r="BB189" s="88">
        <v>76000</v>
      </c>
      <c r="BC189" s="88">
        <v>76000</v>
      </c>
      <c r="BD189" s="88">
        <v>76000</v>
      </c>
      <c r="BE189" s="88">
        <v>76000</v>
      </c>
      <c r="BF189" s="88">
        <v>76000</v>
      </c>
      <c r="BG189" s="88">
        <v>76000</v>
      </c>
      <c r="BH189" s="88">
        <v>76000</v>
      </c>
      <c r="BI189" s="88">
        <v>76000</v>
      </c>
      <c r="BJ189" s="88">
        <v>76000</v>
      </c>
      <c r="BK189" s="88">
        <v>1965.132268426941</v>
      </c>
      <c r="BL189" s="88">
        <v>2721.9719117225568</v>
      </c>
      <c r="BM189" s="88">
        <v>2721.8684560206038</v>
      </c>
      <c r="BN189" s="88">
        <v>2721.76142255168</v>
      </c>
      <c r="BO189" s="88">
        <v>2721.654317036975</v>
      </c>
      <c r="BP189" s="88">
        <v>2721.5471394037049</v>
      </c>
      <c r="BQ189" s="88">
        <v>2721.4398895790182</v>
      </c>
      <c r="BR189" s="88">
        <v>2721.3308075089822</v>
      </c>
      <c r="BS189" s="88">
        <v>2721.2234118959959</v>
      </c>
      <c r="BT189" s="88">
        <v>2721.1159438712002</v>
      </c>
      <c r="BU189" s="88">
        <v>2721.0084033613389</v>
      </c>
      <c r="BV189" s="88">
        <v>2720.9007902930562</v>
      </c>
      <c r="BW189" s="88">
        <v>2280.0000000000018</v>
      </c>
      <c r="BX189" s="88">
        <v>3040.0000000000032</v>
      </c>
      <c r="BY189" s="88">
        <v>3040.0000000000032</v>
      </c>
      <c r="BZ189" s="88">
        <v>3040.0000000000032</v>
      </c>
      <c r="CA189" s="88">
        <v>3040.0000000000032</v>
      </c>
      <c r="CB189" s="88">
        <v>3040.0000000000032</v>
      </c>
      <c r="CC189" s="88">
        <v>3040.0000000000032</v>
      </c>
      <c r="CD189" s="88">
        <v>3040.0000000000032</v>
      </c>
      <c r="CE189" s="88">
        <v>3040.0000000000032</v>
      </c>
      <c r="CF189" s="88">
        <v>3040.0000000000032</v>
      </c>
      <c r="CG189" s="88">
        <v>3040.0000000000032</v>
      </c>
      <c r="CH189" s="88">
        <v>3040.0000000000032</v>
      </c>
      <c r="CI189" s="88">
        <v>76000</v>
      </c>
      <c r="CJ189" s="88">
        <v>76000</v>
      </c>
      <c r="CK189" s="88">
        <v>76000</v>
      </c>
      <c r="CL189" s="88">
        <v>76000</v>
      </c>
      <c r="CM189" s="88">
        <v>76000</v>
      </c>
      <c r="CN189" s="88">
        <v>76000</v>
      </c>
      <c r="CO189" s="88">
        <v>76000</v>
      </c>
      <c r="CP189" s="88">
        <v>76000</v>
      </c>
      <c r="CQ189" s="88">
        <v>76000</v>
      </c>
      <c r="CR189" s="88">
        <v>76000</v>
      </c>
      <c r="CS189" s="88">
        <v>76000</v>
      </c>
      <c r="CT189" s="88">
        <v>76000</v>
      </c>
      <c r="CU189" s="88">
        <v>-305.69682676996251</v>
      </c>
      <c r="CV189" s="88">
        <v>-305.79623872831132</v>
      </c>
      <c r="CW189" s="88">
        <v>-305.89571536480702</v>
      </c>
      <c r="CX189" s="88">
        <v>-305.99863216184622</v>
      </c>
      <c r="CY189" s="88">
        <v>-306.10161823367753</v>
      </c>
      <c r="CZ189" s="88">
        <v>-306.20467365028333</v>
      </c>
      <c r="DA189" s="88">
        <v>-306.30779848171312</v>
      </c>
      <c r="DB189" s="88">
        <v>-306.41268508751239</v>
      </c>
      <c r="DC189" s="88">
        <v>-306.51595010000551</v>
      </c>
      <c r="DD189" s="88">
        <v>-306.61928473922683</v>
      </c>
      <c r="DE189" s="88">
        <v>-306.72268907563142</v>
      </c>
      <c r="DF189" s="88">
        <v>-306.82616317974981</v>
      </c>
      <c r="DG189" s="93">
        <v>46054</v>
      </c>
      <c r="DH189" s="91">
        <v>0.03</v>
      </c>
      <c r="DI189" t="s">
        <v>301</v>
      </c>
      <c r="DJ189" s="93">
        <v>46419</v>
      </c>
      <c r="DK189" s="91">
        <v>0.04</v>
      </c>
      <c r="DL189" t="s">
        <v>302</v>
      </c>
      <c r="DM189" s="93"/>
      <c r="DN189" s="91"/>
      <c r="DP189" s="93"/>
      <c r="DQ189" s="91"/>
    </row>
    <row r="190" spans="1:121" x14ac:dyDescent="0.3">
      <c r="A190" t="s">
        <v>26</v>
      </c>
      <c r="B190" t="s">
        <v>47</v>
      </c>
      <c r="C190" t="s">
        <v>96</v>
      </c>
      <c r="D190" t="s">
        <v>426</v>
      </c>
      <c r="E190" t="s">
        <v>553</v>
      </c>
      <c r="F190" s="86">
        <v>60000</v>
      </c>
      <c r="G190" s="87">
        <v>12</v>
      </c>
      <c r="H190" s="88">
        <v>1</v>
      </c>
      <c r="I190" s="88">
        <v>1</v>
      </c>
      <c r="J190" s="89">
        <v>0.99199580598103554</v>
      </c>
      <c r="K190" s="88">
        <v>1</v>
      </c>
      <c r="L190" s="88">
        <v>1.008068778084247</v>
      </c>
      <c r="M190" s="88">
        <v>1</v>
      </c>
      <c r="N190" s="90">
        <v>0.68</v>
      </c>
      <c r="O190" s="90">
        <v>0.6854867690972879</v>
      </c>
      <c r="P190" s="90">
        <v>0.68091490697730073</v>
      </c>
      <c r="Q190" s="91">
        <v>0</v>
      </c>
      <c r="R190" s="88">
        <v>1</v>
      </c>
      <c r="S190" s="88">
        <v>1.0013454514372071</v>
      </c>
      <c r="T190" s="91">
        <v>0</v>
      </c>
      <c r="U190" s="91">
        <v>0</v>
      </c>
      <c r="V190" s="87">
        <v>0</v>
      </c>
      <c r="W190" s="91">
        <v>0</v>
      </c>
      <c r="X190" s="87">
        <v>1</v>
      </c>
      <c r="Y190" s="90">
        <v>0.6854867690972879</v>
      </c>
      <c r="Z190" s="90">
        <v>0.68091490697730073</v>
      </c>
      <c r="AA190" s="92">
        <v>0</v>
      </c>
      <c r="AB190" s="88">
        <v>0</v>
      </c>
      <c r="AC190" s="87">
        <v>0</v>
      </c>
      <c r="AD190" s="87">
        <v>0</v>
      </c>
      <c r="AE190" s="88">
        <v>1</v>
      </c>
      <c r="AF190" s="88">
        <v>1.0080839018517109</v>
      </c>
      <c r="AG190" s="88">
        <v>1.0080839018517109</v>
      </c>
      <c r="AH190" s="88">
        <v>60000</v>
      </c>
      <c r="AI190" s="88">
        <v>60000</v>
      </c>
      <c r="AJ190" s="88">
        <v>59519.748358862133</v>
      </c>
      <c r="AK190" s="88">
        <v>60000</v>
      </c>
      <c r="AL190" s="88">
        <v>60484.126685054813</v>
      </c>
      <c r="AM190" s="88">
        <v>60000</v>
      </c>
      <c r="AN190" s="88">
        <v>40800</v>
      </c>
      <c r="AO190" s="88">
        <v>41129.206145837277</v>
      </c>
      <c r="AP190" s="88">
        <v>40854.894418638047</v>
      </c>
      <c r="AQ190" s="88">
        <v>0</v>
      </c>
      <c r="AR190" s="88">
        <v>60000</v>
      </c>
      <c r="AS190" s="88">
        <v>60080.727086232408</v>
      </c>
      <c r="AT190" s="88">
        <v>41129.206145837277</v>
      </c>
      <c r="AU190" s="88">
        <v>40854.894418638047</v>
      </c>
      <c r="AV190" s="88">
        <v>60000</v>
      </c>
      <c r="AW190" s="88">
        <v>59400</v>
      </c>
      <c r="AX190" s="88">
        <v>60000</v>
      </c>
      <c r="AY190" s="88">
        <v>60000</v>
      </c>
      <c r="AZ190" s="88">
        <v>60000</v>
      </c>
      <c r="BA190" s="88">
        <v>60000</v>
      </c>
      <c r="BB190" s="88">
        <v>60000</v>
      </c>
      <c r="BC190" s="88">
        <v>60000</v>
      </c>
      <c r="BD190" s="88">
        <v>60000</v>
      </c>
      <c r="BE190" s="88">
        <v>60000</v>
      </c>
      <c r="BF190" s="88">
        <v>60000</v>
      </c>
      <c r="BG190" s="88">
        <v>60000</v>
      </c>
      <c r="BH190" s="88">
        <v>60000</v>
      </c>
      <c r="BI190" s="88">
        <v>60000</v>
      </c>
      <c r="BJ190" s="88">
        <v>60000</v>
      </c>
      <c r="BK190" s="88">
        <v>486.82353202698539</v>
      </c>
      <c r="BL190" s="88">
        <v>486.50449850049517</v>
      </c>
      <c r="BM190" s="88">
        <v>486.18588284917939</v>
      </c>
      <c r="BN190" s="88">
        <v>485.85690515806408</v>
      </c>
      <c r="BO190" s="88">
        <v>485.52837237143541</v>
      </c>
      <c r="BP190" s="88">
        <v>485.20028358737483</v>
      </c>
      <c r="BQ190" s="88">
        <v>484.87263790641498</v>
      </c>
      <c r="BR190" s="88">
        <v>484.54007411914642</v>
      </c>
      <c r="BS190" s="88">
        <v>484.21331918281129</v>
      </c>
      <c r="BT190" s="88">
        <v>483.88700465106899</v>
      </c>
      <c r="BU190" s="88">
        <v>483.56112963412471</v>
      </c>
      <c r="BV190" s="88">
        <v>483.23569324463472</v>
      </c>
      <c r="BW190" s="88">
        <v>0</v>
      </c>
      <c r="BX190" s="88">
        <v>0</v>
      </c>
      <c r="BY190" s="88">
        <v>0</v>
      </c>
      <c r="BZ190" s="88">
        <v>0</v>
      </c>
      <c r="CA190" s="88">
        <v>0</v>
      </c>
      <c r="CB190" s="88">
        <v>0</v>
      </c>
      <c r="CC190" s="88">
        <v>0</v>
      </c>
      <c r="CD190" s="88">
        <v>0</v>
      </c>
      <c r="CE190" s="88">
        <v>0</v>
      </c>
      <c r="CF190" s="88">
        <v>0</v>
      </c>
      <c r="CG190" s="88">
        <v>0</v>
      </c>
      <c r="CH190" s="88">
        <v>0</v>
      </c>
      <c r="CI190" s="88">
        <v>60000</v>
      </c>
      <c r="CJ190" s="88">
        <v>60000</v>
      </c>
      <c r="CK190" s="88">
        <v>60000</v>
      </c>
      <c r="CL190" s="88">
        <v>60000</v>
      </c>
      <c r="CM190" s="88">
        <v>60000</v>
      </c>
      <c r="CN190" s="88">
        <v>60000</v>
      </c>
      <c r="CO190" s="88">
        <v>60000</v>
      </c>
      <c r="CP190" s="88">
        <v>60000</v>
      </c>
      <c r="CQ190" s="88">
        <v>60000</v>
      </c>
      <c r="CR190" s="88">
        <v>60000</v>
      </c>
      <c r="CS190" s="88">
        <v>60000</v>
      </c>
      <c r="CT190" s="88">
        <v>60000</v>
      </c>
      <c r="CU190" s="88">
        <v>486.82353202698539</v>
      </c>
      <c r="CV190" s="88">
        <v>486.50449850049517</v>
      </c>
      <c r="CW190" s="88">
        <v>486.18588284917939</v>
      </c>
      <c r="CX190" s="88">
        <v>485.85690515806408</v>
      </c>
      <c r="CY190" s="88">
        <v>485.52837237143541</v>
      </c>
      <c r="CZ190" s="88">
        <v>485.20028358737483</v>
      </c>
      <c r="DA190" s="88">
        <v>484.87263790641498</v>
      </c>
      <c r="DB190" s="88">
        <v>484.54007411914642</v>
      </c>
      <c r="DC190" s="88">
        <v>484.21331918281129</v>
      </c>
      <c r="DD190" s="88">
        <v>483.88700465106899</v>
      </c>
      <c r="DE190" s="88">
        <v>483.56112963412471</v>
      </c>
      <c r="DF190" s="88">
        <v>483.23569324463472</v>
      </c>
      <c r="DG190" s="93"/>
      <c r="DH190" s="91"/>
      <c r="DJ190" s="93"/>
      <c r="DK190" s="91"/>
      <c r="DM190" s="93"/>
      <c r="DN190" s="91"/>
      <c r="DP190" s="93"/>
      <c r="DQ190" s="91"/>
    </row>
    <row r="191" spans="1:121" x14ac:dyDescent="0.3">
      <c r="A191" t="s">
        <v>28</v>
      </c>
      <c r="B191" t="s">
        <v>42</v>
      </c>
      <c r="C191" t="s">
        <v>43</v>
      </c>
      <c r="D191" t="s">
        <v>299</v>
      </c>
      <c r="E191" t="s">
        <v>554</v>
      </c>
      <c r="F191" s="86">
        <v>24000</v>
      </c>
      <c r="G191" s="87">
        <v>12</v>
      </c>
      <c r="H191" s="88">
        <v>1.1024</v>
      </c>
      <c r="I191" s="88">
        <v>1.1101025</v>
      </c>
      <c r="J191" s="89">
        <v>0.8659874179431073</v>
      </c>
      <c r="K191" s="88">
        <v>0.99306145153262859</v>
      </c>
      <c r="L191" s="88">
        <v>0.98153851013092008</v>
      </c>
      <c r="M191" s="88">
        <v>1</v>
      </c>
      <c r="N191" s="90">
        <v>0.65</v>
      </c>
      <c r="O191" s="90">
        <v>0.63357323744376037</v>
      </c>
      <c r="P191" s="90">
        <v>0.59480029614224839</v>
      </c>
      <c r="Q191" s="91">
        <v>0</v>
      </c>
      <c r="R191" s="88">
        <v>0.95380029806259314</v>
      </c>
      <c r="S191" s="88">
        <v>0.95940143921021315</v>
      </c>
      <c r="T191" s="91">
        <v>6.9870283018869106E-3</v>
      </c>
      <c r="U191" s="91">
        <v>4.1162865591240383E-2</v>
      </c>
      <c r="V191" s="87">
        <v>0</v>
      </c>
      <c r="W191" s="91">
        <v>0</v>
      </c>
      <c r="X191" s="87">
        <v>1</v>
      </c>
      <c r="Y191" s="90">
        <v>0.63357323744376037</v>
      </c>
      <c r="Z191" s="90">
        <v>0.59480029614224839</v>
      </c>
      <c r="AA191" s="92">
        <v>0</v>
      </c>
      <c r="AB191" s="88">
        <v>0</v>
      </c>
      <c r="AC191" s="87">
        <v>2</v>
      </c>
      <c r="AD191" s="87">
        <v>1</v>
      </c>
      <c r="AE191" s="88">
        <v>1.0682499999999999</v>
      </c>
      <c r="AF191" s="88">
        <v>1.028058522028005</v>
      </c>
      <c r="AG191" s="88">
        <v>1.098225804678618</v>
      </c>
      <c r="AH191" s="88">
        <v>26457.599999999999</v>
      </c>
      <c r="AI191" s="88">
        <v>26642.46000000001</v>
      </c>
      <c r="AJ191" s="88">
        <v>20783.698030634579</v>
      </c>
      <c r="AK191" s="88">
        <v>23833.474836783091</v>
      </c>
      <c r="AL191" s="88">
        <v>23556.924243142079</v>
      </c>
      <c r="AM191" s="88">
        <v>24000</v>
      </c>
      <c r="AN191" s="88">
        <v>15600</v>
      </c>
      <c r="AO191" s="88">
        <v>15205.75769865025</v>
      </c>
      <c r="AP191" s="88">
        <v>14275.20710741396</v>
      </c>
      <c r="AQ191" s="88">
        <v>0</v>
      </c>
      <c r="AR191" s="88">
        <v>22891.207153502241</v>
      </c>
      <c r="AS191" s="88">
        <v>23025.63454104511</v>
      </c>
      <c r="AT191" s="88">
        <v>15205.75769865025</v>
      </c>
      <c r="AU191" s="88">
        <v>14275.20710741396</v>
      </c>
      <c r="AV191" s="88">
        <v>20400</v>
      </c>
      <c r="AW191" s="88">
        <v>20640</v>
      </c>
      <c r="AX191" s="88">
        <v>21360</v>
      </c>
      <c r="AY191" s="88">
        <v>24000</v>
      </c>
      <c r="AZ191" s="88">
        <v>24000</v>
      </c>
      <c r="BA191" s="88">
        <v>24000</v>
      </c>
      <c r="BB191" s="88">
        <v>24000</v>
      </c>
      <c r="BC191" s="88">
        <v>24000</v>
      </c>
      <c r="BD191" s="88">
        <v>24000</v>
      </c>
      <c r="BE191" s="88">
        <v>24000</v>
      </c>
      <c r="BF191" s="88">
        <v>24000</v>
      </c>
      <c r="BG191" s="88">
        <v>24000</v>
      </c>
      <c r="BH191" s="88">
        <v>24000</v>
      </c>
      <c r="BI191" s="88">
        <v>24000</v>
      </c>
      <c r="BJ191" s="88">
        <v>24000</v>
      </c>
      <c r="BK191" s="88">
        <v>2162.9992603070432</v>
      </c>
      <c r="BL191" s="88">
        <v>2161.3423792014091</v>
      </c>
      <c r="BM191" s="88">
        <v>2159.6930748065602</v>
      </c>
      <c r="BN191" s="88">
        <v>3465.8955616268868</v>
      </c>
      <c r="BO191" s="88">
        <v>3464.1217809434438</v>
      </c>
      <c r="BP191" s="88">
        <v>3462.3563274415742</v>
      </c>
      <c r="BQ191" s="88">
        <v>1906.2256062448009</v>
      </c>
      <c r="BR191" s="88">
        <v>1904.548646129891</v>
      </c>
      <c r="BS191" s="88">
        <v>1902.906488014876</v>
      </c>
      <c r="BT191" s="88">
        <v>1901.2719671652039</v>
      </c>
      <c r="BU191" s="88">
        <v>1899.6450304259711</v>
      </c>
      <c r="BV191" s="88">
        <v>1898.025625134389</v>
      </c>
      <c r="BW191" s="88">
        <v>1440.0000000000009</v>
      </c>
      <c r="BX191" s="88">
        <v>1440.0000000000009</v>
      </c>
      <c r="BY191" s="88">
        <v>1440.0000000000009</v>
      </c>
      <c r="BZ191" s="88">
        <v>2712</v>
      </c>
      <c r="CA191" s="88">
        <v>2712</v>
      </c>
      <c r="CB191" s="88">
        <v>2712</v>
      </c>
      <c r="CC191" s="88">
        <v>1200.0000000000009</v>
      </c>
      <c r="CD191" s="88">
        <v>1200.0000000000009</v>
      </c>
      <c r="CE191" s="88">
        <v>1200.0000000000009</v>
      </c>
      <c r="CF191" s="88">
        <v>1200.0000000000009</v>
      </c>
      <c r="CG191" s="88">
        <v>1200.0000000000009</v>
      </c>
      <c r="CH191" s="88">
        <v>1200.0000000000009</v>
      </c>
      <c r="CI191" s="88">
        <v>24000</v>
      </c>
      <c r="CJ191" s="88">
        <v>24000</v>
      </c>
      <c r="CK191" s="88">
        <v>24000</v>
      </c>
      <c r="CL191" s="88">
        <v>24000</v>
      </c>
      <c r="CM191" s="88">
        <v>24000</v>
      </c>
      <c r="CN191" s="88">
        <v>24000</v>
      </c>
      <c r="CO191" s="88">
        <v>24000</v>
      </c>
      <c r="CP191" s="88">
        <v>24000</v>
      </c>
      <c r="CQ191" s="88">
        <v>24000</v>
      </c>
      <c r="CR191" s="88">
        <v>24000</v>
      </c>
      <c r="CS191" s="88">
        <v>24000</v>
      </c>
      <c r="CT191" s="88">
        <v>24000</v>
      </c>
      <c r="CU191" s="88">
        <v>682.07477387456629</v>
      </c>
      <c r="CV191" s="88">
        <v>680.51167849189653</v>
      </c>
      <c r="CW191" s="88">
        <v>678.95573094958377</v>
      </c>
      <c r="CX191" s="88">
        <v>677.35450280942371</v>
      </c>
      <c r="CY191" s="88">
        <v>675.76080947299386</v>
      </c>
      <c r="CZ191" s="88">
        <v>674.17459788102008</v>
      </c>
      <c r="DA191" s="88">
        <v>672.59581547123832</v>
      </c>
      <c r="DB191" s="88">
        <v>670.99871059989266</v>
      </c>
      <c r="DC191" s="88">
        <v>669.43475049035681</v>
      </c>
      <c r="DD191" s="88">
        <v>667.87806396685846</v>
      </c>
      <c r="DE191" s="88">
        <v>666.32860040568426</v>
      </c>
      <c r="DF191" s="88">
        <v>664.78630965179696</v>
      </c>
      <c r="DG191" s="93">
        <v>45839</v>
      </c>
      <c r="DH191" s="91">
        <v>0.04</v>
      </c>
      <c r="DI191" t="s">
        <v>301</v>
      </c>
      <c r="DJ191" s="93">
        <v>46204</v>
      </c>
      <c r="DK191" s="91">
        <v>0.06</v>
      </c>
      <c r="DL191" t="s">
        <v>301</v>
      </c>
      <c r="DM191" s="93">
        <v>46478</v>
      </c>
      <c r="DN191" s="91">
        <v>0.05</v>
      </c>
      <c r="DO191" t="s">
        <v>302</v>
      </c>
      <c r="DP191" s="93"/>
      <c r="DQ191" s="91"/>
    </row>
    <row r="192" spans="1:121" x14ac:dyDescent="0.3">
      <c r="A192" t="s">
        <v>28</v>
      </c>
      <c r="B192" t="s">
        <v>42</v>
      </c>
      <c r="C192" t="s">
        <v>46</v>
      </c>
      <c r="D192" t="s">
        <v>303</v>
      </c>
      <c r="E192" t="s">
        <v>555</v>
      </c>
      <c r="F192" s="86">
        <v>63000</v>
      </c>
      <c r="G192" s="87">
        <v>12</v>
      </c>
      <c r="H192" s="88">
        <v>1.03</v>
      </c>
      <c r="I192" s="88">
        <v>1.0472055555555559</v>
      </c>
      <c r="J192" s="89">
        <v>0.89099790299051795</v>
      </c>
      <c r="K192" s="88">
        <v>0.98357003029225942</v>
      </c>
      <c r="L192" s="88">
        <v>1.010103387425793</v>
      </c>
      <c r="M192" s="88">
        <v>1</v>
      </c>
      <c r="N192" s="90">
        <v>0.60799999999999998</v>
      </c>
      <c r="O192" s="90">
        <v>0.60405251097617008</v>
      </c>
      <c r="P192" s="90">
        <v>0.5884015897598962</v>
      </c>
      <c r="Q192" s="91">
        <v>0</v>
      </c>
      <c r="R192" s="88">
        <v>0.96166688927474275</v>
      </c>
      <c r="S192" s="88">
        <v>1.006341991623799</v>
      </c>
      <c r="T192" s="91">
        <v>1.6704422869471269E-2</v>
      </c>
      <c r="U192" s="91">
        <v>2.277622455529826E-2</v>
      </c>
      <c r="V192" s="87">
        <v>0</v>
      </c>
      <c r="W192" s="91">
        <v>0</v>
      </c>
      <c r="X192" s="87">
        <v>1</v>
      </c>
      <c r="Y192" s="90">
        <v>0.60405251097617008</v>
      </c>
      <c r="Z192" s="90">
        <v>0.5884015897598962</v>
      </c>
      <c r="AA192" s="92">
        <v>0</v>
      </c>
      <c r="AB192" s="88">
        <v>0</v>
      </c>
      <c r="AC192" s="87">
        <v>1</v>
      </c>
      <c r="AD192" s="87">
        <v>1</v>
      </c>
      <c r="AE192" s="88">
        <v>1.039166666666667</v>
      </c>
      <c r="AF192" s="88">
        <v>1.004492054902975</v>
      </c>
      <c r="AG192" s="88">
        <v>1.043834652720093</v>
      </c>
      <c r="AH192" s="88">
        <v>64890</v>
      </c>
      <c r="AI192" s="88">
        <v>65973.95</v>
      </c>
      <c r="AJ192" s="88">
        <v>56132.86788840263</v>
      </c>
      <c r="AK192" s="88">
        <v>61964.911908412338</v>
      </c>
      <c r="AL192" s="88">
        <v>63636.513407824947</v>
      </c>
      <c r="AM192" s="88">
        <v>63000</v>
      </c>
      <c r="AN192" s="88">
        <v>38304</v>
      </c>
      <c r="AO192" s="88">
        <v>38055.308191498712</v>
      </c>
      <c r="AP192" s="88">
        <v>37069.300154873461</v>
      </c>
      <c r="AQ192" s="88">
        <v>0</v>
      </c>
      <c r="AR192" s="88">
        <v>60585.014024308803</v>
      </c>
      <c r="AS192" s="88">
        <v>63399.545472299353</v>
      </c>
      <c r="AT192" s="88">
        <v>38055.308191498712</v>
      </c>
      <c r="AU192" s="88">
        <v>37069.300154873461</v>
      </c>
      <c r="AV192" s="88">
        <v>56700</v>
      </c>
      <c r="AW192" s="88">
        <v>56070</v>
      </c>
      <c r="AX192" s="88">
        <v>56385</v>
      </c>
      <c r="AY192" s="88">
        <v>63000</v>
      </c>
      <c r="AZ192" s="88">
        <v>63000</v>
      </c>
      <c r="BA192" s="88">
        <v>63000</v>
      </c>
      <c r="BB192" s="88">
        <v>63000</v>
      </c>
      <c r="BC192" s="88">
        <v>63000</v>
      </c>
      <c r="BD192" s="88">
        <v>63000</v>
      </c>
      <c r="BE192" s="88">
        <v>63000</v>
      </c>
      <c r="BF192" s="88">
        <v>63000</v>
      </c>
      <c r="BG192" s="88">
        <v>63000</v>
      </c>
      <c r="BH192" s="88">
        <v>63000</v>
      </c>
      <c r="BI192" s="88">
        <v>63000</v>
      </c>
      <c r="BJ192" s="88">
        <v>63000</v>
      </c>
      <c r="BK192" s="88">
        <v>2182.0864240922069</v>
      </c>
      <c r="BL192" s="88">
        <v>2814.8149609211191</v>
      </c>
      <c r="BM192" s="88">
        <v>2814.7077852059638</v>
      </c>
      <c r="BN192" s="88">
        <v>2814.5970583162912</v>
      </c>
      <c r="BO192" s="88">
        <v>2814.486414599452</v>
      </c>
      <c r="BP192" s="88">
        <v>2814.3758539617661</v>
      </c>
      <c r="BQ192" s="88">
        <v>2814.2653763096869</v>
      </c>
      <c r="BR192" s="88">
        <v>2814.15317248971</v>
      </c>
      <c r="BS192" s="88">
        <v>2814.0428618853989</v>
      </c>
      <c r="BT192" s="88">
        <v>2813.9326339853669</v>
      </c>
      <c r="BU192" s="88">
        <v>2813.8224886966732</v>
      </c>
      <c r="BV192" s="88">
        <v>2813.712425926487</v>
      </c>
      <c r="BW192" s="88">
        <v>1890.000000000002</v>
      </c>
      <c r="BX192" s="88">
        <v>2520.0000000000018</v>
      </c>
      <c r="BY192" s="88">
        <v>2520.0000000000018</v>
      </c>
      <c r="BZ192" s="88">
        <v>2520.0000000000018</v>
      </c>
      <c r="CA192" s="88">
        <v>2520.0000000000018</v>
      </c>
      <c r="CB192" s="88">
        <v>2520.0000000000018</v>
      </c>
      <c r="CC192" s="88">
        <v>2520.0000000000018</v>
      </c>
      <c r="CD192" s="88">
        <v>2520.0000000000018</v>
      </c>
      <c r="CE192" s="88">
        <v>2520.0000000000018</v>
      </c>
      <c r="CF192" s="88">
        <v>2520.0000000000018</v>
      </c>
      <c r="CG192" s="88">
        <v>2520.0000000000018</v>
      </c>
      <c r="CH192" s="88">
        <v>2520.0000000000018</v>
      </c>
      <c r="CI192" s="88">
        <v>63000</v>
      </c>
      <c r="CJ192" s="88">
        <v>63000</v>
      </c>
      <c r="CK192" s="88">
        <v>63000</v>
      </c>
      <c r="CL192" s="88">
        <v>63000</v>
      </c>
      <c r="CM192" s="88">
        <v>63000</v>
      </c>
      <c r="CN192" s="88">
        <v>63000</v>
      </c>
      <c r="CO192" s="88">
        <v>63000</v>
      </c>
      <c r="CP192" s="88">
        <v>63000</v>
      </c>
      <c r="CQ192" s="88">
        <v>63000</v>
      </c>
      <c r="CR192" s="88">
        <v>63000</v>
      </c>
      <c r="CS192" s="88">
        <v>63000</v>
      </c>
      <c r="CT192" s="88">
        <v>63000</v>
      </c>
      <c r="CU192" s="88">
        <v>283.57905251669939</v>
      </c>
      <c r="CV192" s="88">
        <v>283.47592396261501</v>
      </c>
      <c r="CW192" s="88">
        <v>283.37287039034328</v>
      </c>
      <c r="CX192" s="88">
        <v>283.26640222720363</v>
      </c>
      <c r="CY192" s="88">
        <v>283.16001403793729</v>
      </c>
      <c r="CZ192" s="88">
        <v>283.05370573247069</v>
      </c>
      <c r="DA192" s="88">
        <v>282.94747722085549</v>
      </c>
      <c r="DB192" s="88">
        <v>282.83958893241652</v>
      </c>
      <c r="DC192" s="88">
        <v>282.73352104364841</v>
      </c>
      <c r="DD192" s="88">
        <v>282.62753267823018</v>
      </c>
      <c r="DE192" s="88">
        <v>282.52162374680142</v>
      </c>
      <c r="DF192" s="88">
        <v>282.41579416008528</v>
      </c>
      <c r="DG192" s="93">
        <v>46054</v>
      </c>
      <c r="DH192" s="91">
        <v>0.03</v>
      </c>
      <c r="DI192" t="s">
        <v>301</v>
      </c>
      <c r="DJ192" s="93">
        <v>46419</v>
      </c>
      <c r="DK192" s="91">
        <v>0.04</v>
      </c>
      <c r="DL192" t="s">
        <v>302</v>
      </c>
      <c r="DM192" s="93"/>
      <c r="DN192" s="91"/>
      <c r="DP192" s="93"/>
      <c r="DQ192" s="91"/>
    </row>
    <row r="193" spans="1:121" x14ac:dyDescent="0.3">
      <c r="A193" t="s">
        <v>28</v>
      </c>
      <c r="B193" t="s">
        <v>42</v>
      </c>
      <c r="C193" t="s">
        <v>48</v>
      </c>
      <c r="D193" t="s">
        <v>305</v>
      </c>
      <c r="E193" t="s">
        <v>556</v>
      </c>
      <c r="F193" s="86">
        <v>51000</v>
      </c>
      <c r="G193" s="87">
        <v>12</v>
      </c>
      <c r="H193" s="88">
        <v>1</v>
      </c>
      <c r="I193" s="88">
        <v>1</v>
      </c>
      <c r="J193" s="89">
        <v>0.89399161196207155</v>
      </c>
      <c r="K193" s="88">
        <v>1</v>
      </c>
      <c r="L193" s="88">
        <v>1.00672085504778</v>
      </c>
      <c r="M193" s="88">
        <v>1</v>
      </c>
      <c r="N193" s="90">
        <v>0.59199999999999997</v>
      </c>
      <c r="O193" s="90">
        <v>0.59597874618828584</v>
      </c>
      <c r="P193" s="90">
        <v>0.58722862858488922</v>
      </c>
      <c r="Q193" s="91">
        <v>0</v>
      </c>
      <c r="R193" s="88">
        <v>1</v>
      </c>
      <c r="S193" s="88">
        <v>0.99194025098798855</v>
      </c>
      <c r="T193" s="91">
        <v>0</v>
      </c>
      <c r="U193" s="91">
        <v>0</v>
      </c>
      <c r="V193" s="87">
        <v>0</v>
      </c>
      <c r="W193" s="91">
        <v>0</v>
      </c>
      <c r="X193" s="87">
        <v>1</v>
      </c>
      <c r="Y193" s="90">
        <v>0.59597874618828584</v>
      </c>
      <c r="Z193" s="90">
        <v>0.58722862858488922</v>
      </c>
      <c r="AA193" s="92">
        <v>0</v>
      </c>
      <c r="AB193" s="88">
        <v>0</v>
      </c>
      <c r="AC193" s="87">
        <v>0</v>
      </c>
      <c r="AD193" s="87">
        <v>0</v>
      </c>
      <c r="AE193" s="88">
        <v>1</v>
      </c>
      <c r="AF193" s="88">
        <v>1.0180294435905091</v>
      </c>
      <c r="AG193" s="88">
        <v>1.0180294435905091</v>
      </c>
      <c r="AH193" s="88">
        <v>51000</v>
      </c>
      <c r="AI193" s="88">
        <v>51000</v>
      </c>
      <c r="AJ193" s="88">
        <v>45593.572210065649</v>
      </c>
      <c r="AK193" s="88">
        <v>51000</v>
      </c>
      <c r="AL193" s="88">
        <v>51342.763607436791</v>
      </c>
      <c r="AM193" s="88">
        <v>51000</v>
      </c>
      <c r="AN193" s="88">
        <v>30192</v>
      </c>
      <c r="AO193" s="88">
        <v>30394.916055602582</v>
      </c>
      <c r="AP193" s="88">
        <v>29948.660057829351</v>
      </c>
      <c r="AQ193" s="88">
        <v>0</v>
      </c>
      <c r="AR193" s="88">
        <v>51000</v>
      </c>
      <c r="AS193" s="88">
        <v>50588.952800387407</v>
      </c>
      <c r="AT193" s="88">
        <v>30394.916055602582</v>
      </c>
      <c r="AU193" s="88">
        <v>29948.660057829351</v>
      </c>
      <c r="AV193" s="88">
        <v>45900</v>
      </c>
      <c r="AW193" s="88">
        <v>45390</v>
      </c>
      <c r="AX193" s="88">
        <v>46410</v>
      </c>
      <c r="AY193" s="88">
        <v>51000</v>
      </c>
      <c r="AZ193" s="88">
        <v>51000</v>
      </c>
      <c r="BA193" s="88">
        <v>51000</v>
      </c>
      <c r="BB193" s="88">
        <v>51000</v>
      </c>
      <c r="BC193" s="88">
        <v>51000</v>
      </c>
      <c r="BD193" s="88">
        <v>51000</v>
      </c>
      <c r="BE193" s="88">
        <v>51000</v>
      </c>
      <c r="BF193" s="88">
        <v>51000</v>
      </c>
      <c r="BG193" s="88">
        <v>51000</v>
      </c>
      <c r="BH193" s="88">
        <v>51000</v>
      </c>
      <c r="BI193" s="88">
        <v>51000</v>
      </c>
      <c r="BJ193" s="88">
        <v>51000</v>
      </c>
      <c r="BK193" s="88">
        <v>927.08800239056188</v>
      </c>
      <c r="BL193" s="88">
        <v>925.72792600144521</v>
      </c>
      <c r="BM193" s="88">
        <v>924.37183434303677</v>
      </c>
      <c r="BN193" s="88">
        <v>922.97394451743878</v>
      </c>
      <c r="BO193" s="88">
        <v>921.58027625129876</v>
      </c>
      <c r="BP193" s="88">
        <v>920.19081045008886</v>
      </c>
      <c r="BQ193" s="88">
        <v>918.80552813425641</v>
      </c>
      <c r="BR193" s="88">
        <v>917.4018037553659</v>
      </c>
      <c r="BS193" s="88">
        <v>916.02489973673755</v>
      </c>
      <c r="BT193" s="88">
        <v>914.65212264150807</v>
      </c>
      <c r="BU193" s="88">
        <v>913.28345394333383</v>
      </c>
      <c r="BV193" s="88">
        <v>911.91887522656589</v>
      </c>
      <c r="BW193" s="88">
        <v>0</v>
      </c>
      <c r="BX193" s="88">
        <v>0</v>
      </c>
      <c r="BY193" s="88">
        <v>0</v>
      </c>
      <c r="BZ193" s="88">
        <v>0</v>
      </c>
      <c r="CA193" s="88">
        <v>0</v>
      </c>
      <c r="CB193" s="88">
        <v>0</v>
      </c>
      <c r="CC193" s="88">
        <v>0</v>
      </c>
      <c r="CD193" s="88">
        <v>0</v>
      </c>
      <c r="CE193" s="88">
        <v>0</v>
      </c>
      <c r="CF193" s="88">
        <v>0</v>
      </c>
      <c r="CG193" s="88">
        <v>0</v>
      </c>
      <c r="CH193" s="88">
        <v>0</v>
      </c>
      <c r="CI193" s="88">
        <v>51000</v>
      </c>
      <c r="CJ193" s="88">
        <v>51000</v>
      </c>
      <c r="CK193" s="88">
        <v>51000</v>
      </c>
      <c r="CL193" s="88">
        <v>51000</v>
      </c>
      <c r="CM193" s="88">
        <v>51000</v>
      </c>
      <c r="CN193" s="88">
        <v>51000</v>
      </c>
      <c r="CO193" s="88">
        <v>51000</v>
      </c>
      <c r="CP193" s="88">
        <v>51000</v>
      </c>
      <c r="CQ193" s="88">
        <v>51000</v>
      </c>
      <c r="CR193" s="88">
        <v>51000</v>
      </c>
      <c r="CS193" s="88">
        <v>51000</v>
      </c>
      <c r="CT193" s="88">
        <v>51000</v>
      </c>
      <c r="CU193" s="88">
        <v>927.08800239056188</v>
      </c>
      <c r="CV193" s="88">
        <v>925.72792600144521</v>
      </c>
      <c r="CW193" s="88">
        <v>924.37183434303677</v>
      </c>
      <c r="CX193" s="88">
        <v>922.97394451743878</v>
      </c>
      <c r="CY193" s="88">
        <v>921.58027625129876</v>
      </c>
      <c r="CZ193" s="88">
        <v>920.19081045008886</v>
      </c>
      <c r="DA193" s="88">
        <v>918.80552813425641</v>
      </c>
      <c r="DB193" s="88">
        <v>917.4018037553659</v>
      </c>
      <c r="DC193" s="88">
        <v>916.02489973673755</v>
      </c>
      <c r="DD193" s="88">
        <v>914.65212264150807</v>
      </c>
      <c r="DE193" s="88">
        <v>913.28345394333383</v>
      </c>
      <c r="DF193" s="88">
        <v>911.91887522656589</v>
      </c>
      <c r="DG193" s="93"/>
      <c r="DH193" s="91"/>
      <c r="DJ193" s="93"/>
      <c r="DK193" s="91"/>
      <c r="DM193" s="93"/>
      <c r="DN193" s="91"/>
      <c r="DP193" s="93"/>
      <c r="DQ193" s="91"/>
    </row>
    <row r="194" spans="1:121" x14ac:dyDescent="0.3">
      <c r="A194" t="s">
        <v>28</v>
      </c>
      <c r="B194" t="s">
        <v>42</v>
      </c>
      <c r="C194" t="s">
        <v>50</v>
      </c>
      <c r="D194" t="s">
        <v>307</v>
      </c>
      <c r="E194" t="s">
        <v>557</v>
      </c>
      <c r="F194" s="86">
        <v>39000</v>
      </c>
      <c r="G194" s="87">
        <v>12</v>
      </c>
      <c r="H194" s="88">
        <v>1.05</v>
      </c>
      <c r="I194" s="88">
        <v>1.0484374999999999</v>
      </c>
      <c r="J194" s="89">
        <v>0.9</v>
      </c>
      <c r="K194" s="88">
        <v>1.0014903129657231</v>
      </c>
      <c r="L194" s="88">
        <v>1</v>
      </c>
      <c r="M194" s="88">
        <v>1</v>
      </c>
      <c r="N194" s="90">
        <v>0.62</v>
      </c>
      <c r="O194" s="90">
        <v>0.62092399403874821</v>
      </c>
      <c r="P194" s="90">
        <v>0.62</v>
      </c>
      <c r="Q194" s="91">
        <v>0</v>
      </c>
      <c r="R194" s="88">
        <v>1</v>
      </c>
      <c r="S194" s="88">
        <v>1</v>
      </c>
      <c r="T194" s="91">
        <v>-1.488095238095344E-3</v>
      </c>
      <c r="U194" s="91">
        <v>1.490312965722884E-3</v>
      </c>
      <c r="V194" s="87">
        <v>0</v>
      </c>
      <c r="W194" s="91">
        <v>0</v>
      </c>
      <c r="X194" s="87">
        <v>0</v>
      </c>
      <c r="Y194" s="90">
        <v>0.62092399403874821</v>
      </c>
      <c r="Z194" s="90">
        <v>0.62</v>
      </c>
      <c r="AA194" s="92">
        <v>0</v>
      </c>
      <c r="AB194" s="88">
        <v>0</v>
      </c>
      <c r="AC194" s="87">
        <v>1</v>
      </c>
      <c r="AD194" s="87">
        <v>0</v>
      </c>
      <c r="AE194" s="88">
        <v>1.0125</v>
      </c>
      <c r="AF194" s="88">
        <v>1</v>
      </c>
      <c r="AG194" s="88">
        <v>1.0125</v>
      </c>
      <c r="AH194" s="88">
        <v>40950</v>
      </c>
      <c r="AI194" s="88">
        <v>40889.0625</v>
      </c>
      <c r="AJ194" s="88">
        <v>35100</v>
      </c>
      <c r="AK194" s="88">
        <v>39058.122205663203</v>
      </c>
      <c r="AL194" s="88">
        <v>39000</v>
      </c>
      <c r="AM194" s="88">
        <v>39000</v>
      </c>
      <c r="AN194" s="88">
        <v>24180</v>
      </c>
      <c r="AO194" s="88">
        <v>24216.035767511181</v>
      </c>
      <c r="AP194" s="88">
        <v>24180</v>
      </c>
      <c r="AQ194" s="88">
        <v>0</v>
      </c>
      <c r="AR194" s="88">
        <v>39000</v>
      </c>
      <c r="AS194" s="88">
        <v>39000</v>
      </c>
      <c r="AT194" s="88">
        <v>24216.035767511181</v>
      </c>
      <c r="AU194" s="88">
        <v>24180</v>
      </c>
      <c r="AV194" s="88">
        <v>35100</v>
      </c>
      <c r="AW194" s="88">
        <v>35100</v>
      </c>
      <c r="AX194" s="88">
        <v>35100</v>
      </c>
      <c r="AY194" s="88">
        <v>39000</v>
      </c>
      <c r="AZ194" s="88">
        <v>39000</v>
      </c>
      <c r="BA194" s="88">
        <v>39000</v>
      </c>
      <c r="BB194" s="88">
        <v>39000</v>
      </c>
      <c r="BC194" s="88">
        <v>39000</v>
      </c>
      <c r="BD194" s="88">
        <v>39000</v>
      </c>
      <c r="BE194" s="88">
        <v>39000</v>
      </c>
      <c r="BF194" s="88">
        <v>39000</v>
      </c>
      <c r="BG194" s="88">
        <v>39000</v>
      </c>
      <c r="BH194" s="88">
        <v>39000</v>
      </c>
      <c r="BI194" s="88">
        <v>39000</v>
      </c>
      <c r="BJ194" s="88">
        <v>39000</v>
      </c>
      <c r="BK194" s="88">
        <v>1950.000000000002</v>
      </c>
      <c r="BL194" s="88">
        <v>1950.000000000002</v>
      </c>
      <c r="BM194" s="88">
        <v>1950.000000000002</v>
      </c>
      <c r="BN194" s="88">
        <v>0</v>
      </c>
      <c r="BO194" s="88">
        <v>0</v>
      </c>
      <c r="BP194" s="88">
        <v>0</v>
      </c>
      <c r="BQ194" s="88">
        <v>0</v>
      </c>
      <c r="BR194" s="88">
        <v>0</v>
      </c>
      <c r="BS194" s="88">
        <v>0</v>
      </c>
      <c r="BT194" s="88">
        <v>0</v>
      </c>
      <c r="BU194" s="88">
        <v>0</v>
      </c>
      <c r="BV194" s="88">
        <v>0</v>
      </c>
      <c r="BW194" s="88">
        <v>1950.000000000002</v>
      </c>
      <c r="BX194" s="88">
        <v>1950.000000000002</v>
      </c>
      <c r="BY194" s="88">
        <v>1950.000000000002</v>
      </c>
      <c r="BZ194" s="88">
        <v>0</v>
      </c>
      <c r="CA194" s="88">
        <v>0</v>
      </c>
      <c r="CB194" s="88">
        <v>0</v>
      </c>
      <c r="CC194" s="88">
        <v>0</v>
      </c>
      <c r="CD194" s="88">
        <v>0</v>
      </c>
      <c r="CE194" s="88">
        <v>0</v>
      </c>
      <c r="CF194" s="88">
        <v>0</v>
      </c>
      <c r="CG194" s="88">
        <v>0</v>
      </c>
      <c r="CH194" s="88">
        <v>0</v>
      </c>
      <c r="CI194" s="88">
        <v>0</v>
      </c>
      <c r="CJ194" s="88">
        <v>0</v>
      </c>
      <c r="CK194" s="88">
        <v>0</v>
      </c>
      <c r="CL194" s="88">
        <v>0</v>
      </c>
      <c r="CM194" s="88">
        <v>0</v>
      </c>
      <c r="CN194" s="88">
        <v>0</v>
      </c>
      <c r="CO194" s="88">
        <v>0</v>
      </c>
      <c r="CP194" s="88">
        <v>0</v>
      </c>
      <c r="CQ194" s="88">
        <v>0</v>
      </c>
      <c r="CR194" s="88">
        <v>0</v>
      </c>
      <c r="CS194" s="88">
        <v>0</v>
      </c>
      <c r="CT194" s="88">
        <v>0</v>
      </c>
      <c r="CU194" s="88">
        <v>0</v>
      </c>
      <c r="CV194" s="88">
        <v>0</v>
      </c>
      <c r="CW194" s="88">
        <v>0</v>
      </c>
      <c r="CX194" s="88">
        <v>0</v>
      </c>
      <c r="CY194" s="88">
        <v>0</v>
      </c>
      <c r="CZ194" s="88">
        <v>0</v>
      </c>
      <c r="DA194" s="88">
        <v>0</v>
      </c>
      <c r="DB194" s="88">
        <v>0</v>
      </c>
      <c r="DC194" s="88">
        <v>0</v>
      </c>
      <c r="DD194" s="88">
        <v>0</v>
      </c>
      <c r="DE194" s="88">
        <v>0</v>
      </c>
      <c r="DF194" s="88">
        <v>0</v>
      </c>
      <c r="DG194" s="93">
        <v>46113</v>
      </c>
      <c r="DH194" s="91">
        <v>0.05</v>
      </c>
      <c r="DI194" t="s">
        <v>301</v>
      </c>
      <c r="DJ194" s="93"/>
      <c r="DK194" s="91"/>
      <c r="DM194" s="93"/>
      <c r="DN194" s="91"/>
      <c r="DP194" s="93"/>
      <c r="DQ194" s="91"/>
    </row>
    <row r="195" spans="1:121" x14ac:dyDescent="0.3">
      <c r="A195" t="s">
        <v>28</v>
      </c>
      <c r="B195" t="s">
        <v>42</v>
      </c>
      <c r="C195" t="s">
        <v>57</v>
      </c>
      <c r="D195" t="s">
        <v>309</v>
      </c>
      <c r="E195" t="s">
        <v>558</v>
      </c>
      <c r="F195" s="86">
        <v>27000</v>
      </c>
      <c r="G195" s="87">
        <v>12</v>
      </c>
      <c r="H195" s="88">
        <v>1.06</v>
      </c>
      <c r="I195" s="88">
        <v>1.0566666666666671</v>
      </c>
      <c r="J195" s="89">
        <v>0.89299370897155361</v>
      </c>
      <c r="K195" s="88">
        <v>1.0031545741324921</v>
      </c>
      <c r="L195" s="88">
        <v>1.0078458458979691</v>
      </c>
      <c r="M195" s="88">
        <v>1</v>
      </c>
      <c r="N195" s="90">
        <v>0.60399999999999998</v>
      </c>
      <c r="O195" s="90">
        <v>0.61065920288111863</v>
      </c>
      <c r="P195" s="90">
        <v>0.60200366584113174</v>
      </c>
      <c r="Q195" s="91">
        <v>0</v>
      </c>
      <c r="R195" s="88">
        <v>0.99999999999999978</v>
      </c>
      <c r="S195" s="88">
        <v>0.99669481099525148</v>
      </c>
      <c r="T195" s="91">
        <v>-3.1446540880502032E-3</v>
      </c>
      <c r="U195" s="91">
        <v>3.154574132492094E-3</v>
      </c>
      <c r="V195" s="87">
        <v>0</v>
      </c>
      <c r="W195" s="91">
        <v>0</v>
      </c>
      <c r="X195" s="87">
        <v>1</v>
      </c>
      <c r="Y195" s="90">
        <v>0.61065920288111863</v>
      </c>
      <c r="Z195" s="90">
        <v>0.60200366584113174</v>
      </c>
      <c r="AA195" s="92">
        <v>0</v>
      </c>
      <c r="AB195" s="88">
        <v>0</v>
      </c>
      <c r="AC195" s="87">
        <v>1</v>
      </c>
      <c r="AD195" s="87">
        <v>0</v>
      </c>
      <c r="AE195" s="88">
        <v>1.02</v>
      </c>
      <c r="AF195" s="88">
        <v>1.0135066962933139</v>
      </c>
      <c r="AG195" s="88">
        <v>1.03377804863687</v>
      </c>
      <c r="AH195" s="88">
        <v>28620</v>
      </c>
      <c r="AI195" s="88">
        <v>28530</v>
      </c>
      <c r="AJ195" s="88">
        <v>24110.830142231949</v>
      </c>
      <c r="AK195" s="88">
        <v>27085.173501577279</v>
      </c>
      <c r="AL195" s="88">
        <v>27211.83783924516</v>
      </c>
      <c r="AM195" s="88">
        <v>27000</v>
      </c>
      <c r="AN195" s="88">
        <v>16308</v>
      </c>
      <c r="AO195" s="88">
        <v>16487.798477790198</v>
      </c>
      <c r="AP195" s="88">
        <v>16254.098977710561</v>
      </c>
      <c r="AQ195" s="88">
        <v>0</v>
      </c>
      <c r="AR195" s="88">
        <v>26999.999999999989</v>
      </c>
      <c r="AS195" s="88">
        <v>26910.75989687179</v>
      </c>
      <c r="AT195" s="88">
        <v>16487.798477790198</v>
      </c>
      <c r="AU195" s="88">
        <v>16254.098977710561</v>
      </c>
      <c r="AV195" s="88">
        <v>24300</v>
      </c>
      <c r="AW195" s="88">
        <v>24030</v>
      </c>
      <c r="AX195" s="88">
        <v>24435</v>
      </c>
      <c r="AY195" s="88">
        <v>27000</v>
      </c>
      <c r="AZ195" s="88">
        <v>27000</v>
      </c>
      <c r="BA195" s="88">
        <v>27000</v>
      </c>
      <c r="BB195" s="88">
        <v>27000</v>
      </c>
      <c r="BC195" s="88">
        <v>27000</v>
      </c>
      <c r="BD195" s="88">
        <v>27000</v>
      </c>
      <c r="BE195" s="88">
        <v>27000</v>
      </c>
      <c r="BF195" s="88">
        <v>27000</v>
      </c>
      <c r="BG195" s="88">
        <v>27000</v>
      </c>
      <c r="BH195" s="88">
        <v>27000</v>
      </c>
      <c r="BI195" s="88">
        <v>27000</v>
      </c>
      <c r="BJ195" s="88">
        <v>27000</v>
      </c>
      <c r="BK195" s="88">
        <v>2008.9479791742949</v>
      </c>
      <c r="BL195" s="88">
        <v>2008.5212367657671</v>
      </c>
      <c r="BM195" s="88">
        <v>2008.0954297496601</v>
      </c>
      <c r="BN195" s="88">
        <v>2007.6561688231409</v>
      </c>
      <c r="BO195" s="88">
        <v>365.29990671353647</v>
      </c>
      <c r="BP195" s="88">
        <v>364.88738043813288</v>
      </c>
      <c r="BQ195" s="88">
        <v>364.47578482799832</v>
      </c>
      <c r="BR195" s="88">
        <v>364.05839218318118</v>
      </c>
      <c r="BS195" s="88">
        <v>363.64866360807508</v>
      </c>
      <c r="BT195" s="88">
        <v>363.23985625210997</v>
      </c>
      <c r="BU195" s="88">
        <v>362.83196701192821</v>
      </c>
      <c r="BV195" s="88">
        <v>362.42499279808118</v>
      </c>
      <c r="BW195" s="88">
        <v>1620.0000000000009</v>
      </c>
      <c r="BX195" s="88">
        <v>1620.0000000000009</v>
      </c>
      <c r="BY195" s="88">
        <v>1620.0000000000009</v>
      </c>
      <c r="BZ195" s="88">
        <v>1620.0000000000009</v>
      </c>
      <c r="CA195" s="88">
        <v>0</v>
      </c>
      <c r="CB195" s="88">
        <v>0</v>
      </c>
      <c r="CC195" s="88">
        <v>0</v>
      </c>
      <c r="CD195" s="88">
        <v>0</v>
      </c>
      <c r="CE195" s="88">
        <v>0</v>
      </c>
      <c r="CF195" s="88">
        <v>0</v>
      </c>
      <c r="CG195" s="88">
        <v>0</v>
      </c>
      <c r="CH195" s="88">
        <v>0</v>
      </c>
      <c r="CI195" s="88">
        <v>27000</v>
      </c>
      <c r="CJ195" s="88">
        <v>27000</v>
      </c>
      <c r="CK195" s="88">
        <v>27000</v>
      </c>
      <c r="CL195" s="88">
        <v>27000</v>
      </c>
      <c r="CM195" s="88">
        <v>27000</v>
      </c>
      <c r="CN195" s="88">
        <v>27000</v>
      </c>
      <c r="CO195" s="88">
        <v>27000</v>
      </c>
      <c r="CP195" s="88">
        <v>27000</v>
      </c>
      <c r="CQ195" s="88">
        <v>27000</v>
      </c>
      <c r="CR195" s="88">
        <v>27000</v>
      </c>
      <c r="CS195" s="88">
        <v>27000</v>
      </c>
      <c r="CT195" s="88">
        <v>27000</v>
      </c>
      <c r="CU195" s="88">
        <v>366.93205582480408</v>
      </c>
      <c r="CV195" s="88">
        <v>366.52946864694962</v>
      </c>
      <c r="CW195" s="88">
        <v>366.12776391477348</v>
      </c>
      <c r="CX195" s="88">
        <v>365.71336681428107</v>
      </c>
      <c r="CY195" s="88">
        <v>365.29990671353647</v>
      </c>
      <c r="CZ195" s="88">
        <v>364.88738043813288</v>
      </c>
      <c r="DA195" s="88">
        <v>364.47578482799832</v>
      </c>
      <c r="DB195" s="88">
        <v>364.05839218318118</v>
      </c>
      <c r="DC195" s="88">
        <v>363.64866360807508</v>
      </c>
      <c r="DD195" s="88">
        <v>363.23985625210997</v>
      </c>
      <c r="DE195" s="88">
        <v>362.83196701192821</v>
      </c>
      <c r="DF195" s="88">
        <v>362.42499279808118</v>
      </c>
      <c r="DG195" s="93">
        <v>46143</v>
      </c>
      <c r="DH195" s="91">
        <v>0.06</v>
      </c>
      <c r="DI195" t="s">
        <v>301</v>
      </c>
      <c r="DJ195" s="93"/>
      <c r="DK195" s="91"/>
      <c r="DM195" s="93"/>
      <c r="DN195" s="91"/>
      <c r="DP195" s="93"/>
      <c r="DQ195" s="91"/>
    </row>
    <row r="196" spans="1:121" x14ac:dyDescent="0.3">
      <c r="A196" t="s">
        <v>28</v>
      </c>
      <c r="B196" t="s">
        <v>42</v>
      </c>
      <c r="C196" t="s">
        <v>58</v>
      </c>
      <c r="D196" t="s">
        <v>311</v>
      </c>
      <c r="E196" t="s">
        <v>559</v>
      </c>
      <c r="F196" s="86">
        <v>66000</v>
      </c>
      <c r="G196" s="87">
        <v>12</v>
      </c>
      <c r="H196" s="88">
        <v>1.0449999999999999</v>
      </c>
      <c r="I196" s="88">
        <v>1.0482055555555549</v>
      </c>
      <c r="J196" s="89">
        <v>0.88800949758575387</v>
      </c>
      <c r="K196" s="88">
        <v>0.99694186360817705</v>
      </c>
      <c r="L196" s="88">
        <v>1.0135026736164929</v>
      </c>
      <c r="M196" s="88">
        <v>1</v>
      </c>
      <c r="N196" s="90">
        <v>0.58799999999999997</v>
      </c>
      <c r="O196" s="90">
        <v>0.59411710759377256</v>
      </c>
      <c r="P196" s="90">
        <v>0.57591401609255544</v>
      </c>
      <c r="Q196" s="91">
        <v>0</v>
      </c>
      <c r="R196" s="88">
        <v>0.96475948010183565</v>
      </c>
      <c r="S196" s="88">
        <v>1.015222577026347</v>
      </c>
      <c r="T196" s="91">
        <v>3.0675172780434412E-3</v>
      </c>
      <c r="U196" s="91">
        <v>3.3357934459420369E-2</v>
      </c>
      <c r="V196" s="87">
        <v>0</v>
      </c>
      <c r="W196" s="91">
        <v>0</v>
      </c>
      <c r="X196" s="87">
        <v>1</v>
      </c>
      <c r="Y196" s="90">
        <v>0.59411710759377256</v>
      </c>
      <c r="Z196" s="90">
        <v>0.57591401609255544</v>
      </c>
      <c r="AA196" s="92">
        <v>0</v>
      </c>
      <c r="AB196" s="88">
        <v>0</v>
      </c>
      <c r="AC196" s="87">
        <v>1</v>
      </c>
      <c r="AD196" s="87">
        <v>1</v>
      </c>
      <c r="AE196" s="88">
        <v>1.042083333333333</v>
      </c>
      <c r="AF196" s="88">
        <v>0.99995095326933103</v>
      </c>
      <c r="AG196" s="88">
        <v>1.0420407935399569</v>
      </c>
      <c r="AH196" s="88">
        <v>68970</v>
      </c>
      <c r="AI196" s="88">
        <v>69181.566666666651</v>
      </c>
      <c r="AJ196" s="88">
        <v>58608.626840659752</v>
      </c>
      <c r="AK196" s="88">
        <v>65798.162998139684</v>
      </c>
      <c r="AL196" s="88">
        <v>66891.176458688526</v>
      </c>
      <c r="AM196" s="88">
        <v>66000</v>
      </c>
      <c r="AN196" s="88">
        <v>38808</v>
      </c>
      <c r="AO196" s="88">
        <v>39211.72910118899</v>
      </c>
      <c r="AP196" s="88">
        <v>38010.325062108663</v>
      </c>
      <c r="AQ196" s="88">
        <v>0</v>
      </c>
      <c r="AR196" s="88">
        <v>63674.125686721163</v>
      </c>
      <c r="AS196" s="88">
        <v>67004.690083738882</v>
      </c>
      <c r="AT196" s="88">
        <v>39211.72910118899</v>
      </c>
      <c r="AU196" s="88">
        <v>38010.325062108663</v>
      </c>
      <c r="AV196" s="88">
        <v>59400</v>
      </c>
      <c r="AW196" s="88">
        <v>58740</v>
      </c>
      <c r="AX196" s="88">
        <v>58410</v>
      </c>
      <c r="AY196" s="88">
        <v>66000</v>
      </c>
      <c r="AZ196" s="88">
        <v>66000</v>
      </c>
      <c r="BA196" s="88">
        <v>66000</v>
      </c>
      <c r="BB196" s="88">
        <v>66000</v>
      </c>
      <c r="BC196" s="88">
        <v>66000</v>
      </c>
      <c r="BD196" s="88">
        <v>66000</v>
      </c>
      <c r="BE196" s="88">
        <v>66000</v>
      </c>
      <c r="BF196" s="88">
        <v>66000</v>
      </c>
      <c r="BG196" s="88">
        <v>66000</v>
      </c>
      <c r="BH196" s="88">
        <v>66000</v>
      </c>
      <c r="BI196" s="88">
        <v>66000</v>
      </c>
      <c r="BJ196" s="88">
        <v>66000</v>
      </c>
      <c r="BK196" s="88">
        <v>3429.201990193139</v>
      </c>
      <c r="BL196" s="88">
        <v>3340.518237047113</v>
      </c>
      <c r="BM196" s="88">
        <v>3251.9965436299281</v>
      </c>
      <c r="BN196" s="88">
        <v>3160.6440361140758</v>
      </c>
      <c r="BO196" s="88">
        <v>3069.4637985714212</v>
      </c>
      <c r="BP196" s="88">
        <v>2648.4148879760469</v>
      </c>
      <c r="BQ196" s="88">
        <v>2558.0123592532182</v>
      </c>
      <c r="BR196" s="88">
        <v>2466.302019956157</v>
      </c>
      <c r="BS196" s="88">
        <v>2376.241782517297</v>
      </c>
      <c r="BT196" s="88">
        <v>2331.9532032878278</v>
      </c>
      <c r="BU196" s="88">
        <v>2331.8376383763912</v>
      </c>
      <c r="BV196" s="88">
        <v>2331.7219867231902</v>
      </c>
      <c r="BW196" s="88">
        <v>2969.999999999995</v>
      </c>
      <c r="BX196" s="88">
        <v>2969.999999999995</v>
      </c>
      <c r="BY196" s="88">
        <v>2969.999999999995</v>
      </c>
      <c r="BZ196" s="88">
        <v>2969.999999999995</v>
      </c>
      <c r="CA196" s="88">
        <v>2969.999999999995</v>
      </c>
      <c r="CB196" s="88">
        <v>2640.0000000000018</v>
      </c>
      <c r="CC196" s="88">
        <v>2640.0000000000018</v>
      </c>
      <c r="CD196" s="88">
        <v>2640.0000000000018</v>
      </c>
      <c r="CE196" s="88">
        <v>2640.0000000000018</v>
      </c>
      <c r="CF196" s="88">
        <v>2640.0000000000018</v>
      </c>
      <c r="CG196" s="88">
        <v>2640.0000000000018</v>
      </c>
      <c r="CH196" s="88">
        <v>2640.0000000000018</v>
      </c>
      <c r="CI196" s="88">
        <v>66000</v>
      </c>
      <c r="CJ196" s="88">
        <v>66000</v>
      </c>
      <c r="CK196" s="88">
        <v>66000</v>
      </c>
      <c r="CL196" s="88">
        <v>66000</v>
      </c>
      <c r="CM196" s="88">
        <v>66000</v>
      </c>
      <c r="CN196" s="88">
        <v>66000</v>
      </c>
      <c r="CO196" s="88">
        <v>66000</v>
      </c>
      <c r="CP196" s="88">
        <v>66000</v>
      </c>
      <c r="CQ196" s="88">
        <v>66000</v>
      </c>
      <c r="CR196" s="88">
        <v>66000</v>
      </c>
      <c r="CS196" s="88">
        <v>66000</v>
      </c>
      <c r="CT196" s="88">
        <v>66000</v>
      </c>
      <c r="CU196" s="88">
        <v>439.42774181161951</v>
      </c>
      <c r="CV196" s="88">
        <v>354.56290626518779</v>
      </c>
      <c r="CW196" s="88">
        <v>269.85315179898441</v>
      </c>
      <c r="CX196" s="88">
        <v>182.43448431969429</v>
      </c>
      <c r="CY196" s="88">
        <v>95.18066848939722</v>
      </c>
      <c r="CZ196" s="88">
        <v>8.0912384385047886</v>
      </c>
      <c r="DA196" s="88">
        <v>-78.834269948828691</v>
      </c>
      <c r="DB196" s="88">
        <v>-167.01728850369619</v>
      </c>
      <c r="DC196" s="88">
        <v>-253.61367065644029</v>
      </c>
      <c r="DD196" s="88">
        <v>-296.19884299247963</v>
      </c>
      <c r="DE196" s="88">
        <v>-296.30996309963058</v>
      </c>
      <c r="DF196" s="88">
        <v>-296.42116661231762</v>
      </c>
      <c r="DG196" s="93">
        <v>46174</v>
      </c>
      <c r="DH196" s="91">
        <v>4.4999999999999998E-2</v>
      </c>
      <c r="DI196" t="s">
        <v>301</v>
      </c>
      <c r="DJ196" s="93">
        <v>46539</v>
      </c>
      <c r="DK196" s="91">
        <v>0.04</v>
      </c>
      <c r="DL196" t="s">
        <v>302</v>
      </c>
      <c r="DM196" s="93"/>
      <c r="DN196" s="91"/>
      <c r="DP196" s="93"/>
      <c r="DQ196" s="91"/>
    </row>
    <row r="197" spans="1:121" x14ac:dyDescent="0.3">
      <c r="A197" t="s">
        <v>28</v>
      </c>
      <c r="B197" t="s">
        <v>42</v>
      </c>
      <c r="C197" t="s">
        <v>65</v>
      </c>
      <c r="D197" t="s">
        <v>313</v>
      </c>
      <c r="E197" t="s">
        <v>560</v>
      </c>
      <c r="F197" s="86">
        <v>54000</v>
      </c>
      <c r="G197" s="87">
        <v>12</v>
      </c>
      <c r="H197" s="88">
        <v>1.03</v>
      </c>
      <c r="I197" s="88">
        <v>1.0262500000000001</v>
      </c>
      <c r="J197" s="89">
        <v>0.89199580598103567</v>
      </c>
      <c r="K197" s="88">
        <v>1.003654080389768</v>
      </c>
      <c r="L197" s="88">
        <v>1.0089733538715031</v>
      </c>
      <c r="M197" s="88">
        <v>1</v>
      </c>
      <c r="N197" s="90">
        <v>0.61599999999999999</v>
      </c>
      <c r="O197" s="90">
        <v>0.62379869774849295</v>
      </c>
      <c r="P197" s="90">
        <v>0.61692102444965136</v>
      </c>
      <c r="Q197" s="91">
        <v>0</v>
      </c>
      <c r="R197" s="88">
        <v>0.99999999999999978</v>
      </c>
      <c r="S197" s="88">
        <v>1.0014951695611229</v>
      </c>
      <c r="T197" s="91">
        <v>-3.640776699028847E-3</v>
      </c>
      <c r="U197" s="91">
        <v>3.6540803897684442E-3</v>
      </c>
      <c r="V197" s="87">
        <v>0</v>
      </c>
      <c r="W197" s="91">
        <v>0</v>
      </c>
      <c r="X197" s="87">
        <v>1</v>
      </c>
      <c r="Y197" s="90">
        <v>0.62379869774849295</v>
      </c>
      <c r="Z197" s="90">
        <v>0.61692102444965136</v>
      </c>
      <c r="AA197" s="92">
        <v>0</v>
      </c>
      <c r="AB197" s="88">
        <v>0</v>
      </c>
      <c r="AC197" s="87">
        <v>1</v>
      </c>
      <c r="AD197" s="87">
        <v>0</v>
      </c>
      <c r="AE197" s="88">
        <v>1.0149999999999999</v>
      </c>
      <c r="AF197" s="88">
        <v>1.0089942603284909</v>
      </c>
      <c r="AG197" s="88">
        <v>1.0241294782844661</v>
      </c>
      <c r="AH197" s="88">
        <v>55620</v>
      </c>
      <c r="AI197" s="88">
        <v>55417.500000000007</v>
      </c>
      <c r="AJ197" s="88">
        <v>48167.773522975927</v>
      </c>
      <c r="AK197" s="88">
        <v>54197.320341047482</v>
      </c>
      <c r="AL197" s="88">
        <v>54484.561109061156</v>
      </c>
      <c r="AM197" s="88">
        <v>54000</v>
      </c>
      <c r="AN197" s="88">
        <v>33264</v>
      </c>
      <c r="AO197" s="88">
        <v>33685.12967841862</v>
      </c>
      <c r="AP197" s="88">
        <v>33313.735320281172</v>
      </c>
      <c r="AQ197" s="88">
        <v>0</v>
      </c>
      <c r="AR197" s="88">
        <v>53999.999999999993</v>
      </c>
      <c r="AS197" s="88">
        <v>54080.739156300617</v>
      </c>
      <c r="AT197" s="88">
        <v>33685.12967841862</v>
      </c>
      <c r="AU197" s="88">
        <v>33313.735320281172</v>
      </c>
      <c r="AV197" s="88">
        <v>48600</v>
      </c>
      <c r="AW197" s="88">
        <v>48060</v>
      </c>
      <c r="AX197" s="88">
        <v>48600</v>
      </c>
      <c r="AY197" s="88">
        <v>54000</v>
      </c>
      <c r="AZ197" s="88">
        <v>54000</v>
      </c>
      <c r="BA197" s="88">
        <v>54000</v>
      </c>
      <c r="BB197" s="88">
        <v>54000</v>
      </c>
      <c r="BC197" s="88">
        <v>54000</v>
      </c>
      <c r="BD197" s="88">
        <v>54000</v>
      </c>
      <c r="BE197" s="88">
        <v>54000</v>
      </c>
      <c r="BF197" s="88">
        <v>54000</v>
      </c>
      <c r="BG197" s="88">
        <v>54000</v>
      </c>
      <c r="BH197" s="88">
        <v>54000</v>
      </c>
      <c r="BI197" s="88">
        <v>54000</v>
      </c>
      <c r="BJ197" s="88">
        <v>54000</v>
      </c>
      <c r="BK197" s="88">
        <v>2122.3147059915109</v>
      </c>
      <c r="BL197" s="88">
        <v>2121.948324885645</v>
      </c>
      <c r="BM197" s="88">
        <v>2121.5824778564302</v>
      </c>
      <c r="BN197" s="88">
        <v>2121.204789532158</v>
      </c>
      <c r="BO197" s="88">
        <v>2120.8276695735808</v>
      </c>
      <c r="BP197" s="88">
        <v>2120.4511166987081</v>
      </c>
      <c r="BQ197" s="88">
        <v>485.50983459164422</v>
      </c>
      <c r="BR197" s="88">
        <v>485.13937603840242</v>
      </c>
      <c r="BS197" s="88">
        <v>484.77544394706752</v>
      </c>
      <c r="BT197" s="88">
        <v>484.41205746095761</v>
      </c>
      <c r="BU197" s="88">
        <v>484.04921535400553</v>
      </c>
      <c r="BV197" s="88">
        <v>483.68691640388482</v>
      </c>
      <c r="BW197" s="88">
        <v>1620.0000000000009</v>
      </c>
      <c r="BX197" s="88">
        <v>1620.0000000000009</v>
      </c>
      <c r="BY197" s="88">
        <v>1620.0000000000009</v>
      </c>
      <c r="BZ197" s="88">
        <v>1620.0000000000009</v>
      </c>
      <c r="CA197" s="88">
        <v>1620.0000000000009</v>
      </c>
      <c r="CB197" s="88">
        <v>1620.0000000000009</v>
      </c>
      <c r="CC197" s="88">
        <v>0</v>
      </c>
      <c r="CD197" s="88">
        <v>0</v>
      </c>
      <c r="CE197" s="88">
        <v>0</v>
      </c>
      <c r="CF197" s="88">
        <v>0</v>
      </c>
      <c r="CG197" s="88">
        <v>0</v>
      </c>
      <c r="CH197" s="88">
        <v>0</v>
      </c>
      <c r="CI197" s="88">
        <v>54000</v>
      </c>
      <c r="CJ197" s="88">
        <v>54000</v>
      </c>
      <c r="CK197" s="88">
        <v>54000</v>
      </c>
      <c r="CL197" s="88">
        <v>54000</v>
      </c>
      <c r="CM197" s="88">
        <v>54000</v>
      </c>
      <c r="CN197" s="88">
        <v>54000</v>
      </c>
      <c r="CO197" s="88">
        <v>54000</v>
      </c>
      <c r="CP197" s="88">
        <v>54000</v>
      </c>
      <c r="CQ197" s="88">
        <v>54000</v>
      </c>
      <c r="CR197" s="88">
        <v>54000</v>
      </c>
      <c r="CS197" s="88">
        <v>54000</v>
      </c>
      <c r="CT197" s="88">
        <v>54000</v>
      </c>
      <c r="CU197" s="88">
        <v>487.6841805742842</v>
      </c>
      <c r="CV197" s="88">
        <v>487.3284707627663</v>
      </c>
      <c r="CW197" s="88">
        <v>486.97327947226262</v>
      </c>
      <c r="CX197" s="88">
        <v>486.60659177879319</v>
      </c>
      <c r="CY197" s="88">
        <v>486.24045589667639</v>
      </c>
      <c r="CZ197" s="88">
        <v>485.87487058127192</v>
      </c>
      <c r="DA197" s="88">
        <v>485.50983459164422</v>
      </c>
      <c r="DB197" s="88">
        <v>485.13937603840242</v>
      </c>
      <c r="DC197" s="88">
        <v>484.77544394706752</v>
      </c>
      <c r="DD197" s="88">
        <v>484.41205746095761</v>
      </c>
      <c r="DE197" s="88">
        <v>484.04921535400553</v>
      </c>
      <c r="DF197" s="88">
        <v>483.68691640388482</v>
      </c>
      <c r="DG197" s="93">
        <v>46204</v>
      </c>
      <c r="DH197" s="91">
        <v>0.03</v>
      </c>
      <c r="DI197" t="s">
        <v>301</v>
      </c>
      <c r="DJ197" s="93"/>
      <c r="DK197" s="91"/>
      <c r="DM197" s="93"/>
      <c r="DN197" s="91"/>
      <c r="DP197" s="93"/>
      <c r="DQ197" s="91"/>
    </row>
    <row r="198" spans="1:121" x14ac:dyDescent="0.3">
      <c r="A198" t="s">
        <v>28</v>
      </c>
      <c r="B198" t="s">
        <v>42</v>
      </c>
      <c r="C198" t="s">
        <v>66</v>
      </c>
      <c r="D198" t="s">
        <v>315</v>
      </c>
      <c r="E198" t="s">
        <v>561</v>
      </c>
      <c r="F198" s="86">
        <v>42000</v>
      </c>
      <c r="G198" s="87">
        <v>12</v>
      </c>
      <c r="H198" s="88">
        <v>1.04</v>
      </c>
      <c r="I198" s="88">
        <v>1.033194444444445</v>
      </c>
      <c r="J198" s="89">
        <v>0.88800419401896435</v>
      </c>
      <c r="K198" s="88">
        <v>1.006586906842317</v>
      </c>
      <c r="L198" s="88">
        <v>1.0135087267175451</v>
      </c>
      <c r="M198" s="88">
        <v>1</v>
      </c>
      <c r="N198" s="90">
        <v>0.6</v>
      </c>
      <c r="O198" s="90">
        <v>0.61211076857058533</v>
      </c>
      <c r="P198" s="90">
        <v>0.61270085046046741</v>
      </c>
      <c r="Q198" s="91">
        <v>0</v>
      </c>
      <c r="R198" s="88">
        <v>0.99999999999999978</v>
      </c>
      <c r="S198" s="88">
        <v>1.0211680841007791</v>
      </c>
      <c r="T198" s="91">
        <v>-6.54380341880334E-3</v>
      </c>
      <c r="U198" s="91">
        <v>6.5869068423176644E-3</v>
      </c>
      <c r="V198" s="87">
        <v>0</v>
      </c>
      <c r="W198" s="91">
        <v>0</v>
      </c>
      <c r="X198" s="87">
        <v>1</v>
      </c>
      <c r="Y198" s="90">
        <v>0.61211076857058533</v>
      </c>
      <c r="Z198" s="90">
        <v>0.61270085046046741</v>
      </c>
      <c r="AA198" s="92">
        <v>0</v>
      </c>
      <c r="AB198" s="88">
        <v>0</v>
      </c>
      <c r="AC198" s="87">
        <v>1</v>
      </c>
      <c r="AD198" s="87">
        <v>0</v>
      </c>
      <c r="AE198" s="88">
        <v>1.023333333333333</v>
      </c>
      <c r="AF198" s="88">
        <v>0.99104602551311949</v>
      </c>
      <c r="AG198" s="88">
        <v>1.0141708239260121</v>
      </c>
      <c r="AH198" s="88">
        <v>43680</v>
      </c>
      <c r="AI198" s="88">
        <v>43394.166666666672</v>
      </c>
      <c r="AJ198" s="88">
        <v>37296.176148796512</v>
      </c>
      <c r="AK198" s="88">
        <v>42276.650087377333</v>
      </c>
      <c r="AL198" s="88">
        <v>42567.366522136879</v>
      </c>
      <c r="AM198" s="88">
        <v>42000</v>
      </c>
      <c r="AN198" s="88">
        <v>25200</v>
      </c>
      <c r="AO198" s="88">
        <v>25708.652279964579</v>
      </c>
      <c r="AP198" s="88">
        <v>25733.435719339632</v>
      </c>
      <c r="AQ198" s="88">
        <v>0</v>
      </c>
      <c r="AR198" s="88">
        <v>41999.999999999993</v>
      </c>
      <c r="AS198" s="88">
        <v>42889.059532232728</v>
      </c>
      <c r="AT198" s="88">
        <v>25708.652279964579</v>
      </c>
      <c r="AU198" s="88">
        <v>25733.435719339632</v>
      </c>
      <c r="AV198" s="88">
        <v>37800</v>
      </c>
      <c r="AW198" s="88">
        <v>37380</v>
      </c>
      <c r="AX198" s="88">
        <v>36960</v>
      </c>
      <c r="AY198" s="88">
        <v>42000</v>
      </c>
      <c r="AZ198" s="88">
        <v>42000</v>
      </c>
      <c r="BA198" s="88">
        <v>42000</v>
      </c>
      <c r="BB198" s="88">
        <v>42000</v>
      </c>
      <c r="BC198" s="88">
        <v>42000</v>
      </c>
      <c r="BD198" s="88">
        <v>42000</v>
      </c>
      <c r="BE198" s="88">
        <v>42000</v>
      </c>
      <c r="BF198" s="88">
        <v>42000</v>
      </c>
      <c r="BG198" s="88">
        <v>42000</v>
      </c>
      <c r="BH198" s="88">
        <v>42000</v>
      </c>
      <c r="BI198" s="88">
        <v>42000</v>
      </c>
      <c r="BJ198" s="88">
        <v>42000</v>
      </c>
      <c r="BK198" s="88">
        <v>1290.4811815150069</v>
      </c>
      <c r="BL198" s="88">
        <v>1290.200239602947</v>
      </c>
      <c r="BM198" s="88">
        <v>1289.9188921375539</v>
      </c>
      <c r="BN198" s="88">
        <v>1289.627580127813</v>
      </c>
      <c r="BO198" s="88">
        <v>1289.3358326901141</v>
      </c>
      <c r="BP198" s="88">
        <v>1289.0436488474779</v>
      </c>
      <c r="BQ198" s="88">
        <v>1288.7510276199721</v>
      </c>
      <c r="BR198" s="88">
        <v>-376.48734604664128</v>
      </c>
      <c r="BS198" s="88">
        <v>-376.76956350766602</v>
      </c>
      <c r="BT198" s="88">
        <v>-377.05220439033712</v>
      </c>
      <c r="BU198" s="88">
        <v>-377.33526964826228</v>
      </c>
      <c r="BV198" s="88">
        <v>-377.6187602379548</v>
      </c>
      <c r="BW198" s="88">
        <v>1680.000000000002</v>
      </c>
      <c r="BX198" s="88">
        <v>1680.000000000002</v>
      </c>
      <c r="BY198" s="88">
        <v>1680.000000000002</v>
      </c>
      <c r="BZ198" s="88">
        <v>1680.000000000002</v>
      </c>
      <c r="CA198" s="88">
        <v>1680.000000000002</v>
      </c>
      <c r="CB198" s="88">
        <v>1680.000000000002</v>
      </c>
      <c r="CC198" s="88">
        <v>1680.000000000002</v>
      </c>
      <c r="CD198" s="88">
        <v>0</v>
      </c>
      <c r="CE198" s="88">
        <v>0</v>
      </c>
      <c r="CF198" s="88">
        <v>0</v>
      </c>
      <c r="CG198" s="88">
        <v>0</v>
      </c>
      <c r="CH198" s="88">
        <v>0</v>
      </c>
      <c r="CI198" s="88">
        <v>42000</v>
      </c>
      <c r="CJ198" s="88">
        <v>42000</v>
      </c>
      <c r="CK198" s="88">
        <v>42000</v>
      </c>
      <c r="CL198" s="88">
        <v>42000</v>
      </c>
      <c r="CM198" s="88">
        <v>42000</v>
      </c>
      <c r="CN198" s="88">
        <v>42000</v>
      </c>
      <c r="CO198" s="88">
        <v>42000</v>
      </c>
      <c r="CP198" s="88">
        <v>42000</v>
      </c>
      <c r="CQ198" s="88">
        <v>42000</v>
      </c>
      <c r="CR198" s="88">
        <v>42000</v>
      </c>
      <c r="CS198" s="88">
        <v>42000</v>
      </c>
      <c r="CT198" s="88">
        <v>42000</v>
      </c>
      <c r="CU198" s="88">
        <v>-374.53732546633711</v>
      </c>
      <c r="CV198" s="88">
        <v>-374.80746192024372</v>
      </c>
      <c r="CW198" s="88">
        <v>-375.07798832927517</v>
      </c>
      <c r="CX198" s="88">
        <v>-375.3580960309493</v>
      </c>
      <c r="CY198" s="88">
        <v>-375.63862241335011</v>
      </c>
      <c r="CZ198" s="88">
        <v>-375.91956841588689</v>
      </c>
      <c r="DA198" s="88">
        <v>-376.20093498079473</v>
      </c>
      <c r="DB198" s="88">
        <v>-376.48734604664128</v>
      </c>
      <c r="DC198" s="88">
        <v>-376.76956350766602</v>
      </c>
      <c r="DD198" s="88">
        <v>-377.05220439033712</v>
      </c>
      <c r="DE198" s="88">
        <v>-377.33526964826228</v>
      </c>
      <c r="DF198" s="88">
        <v>-377.6187602379548</v>
      </c>
      <c r="DG198" s="93">
        <v>46235</v>
      </c>
      <c r="DH198" s="91">
        <v>0.04</v>
      </c>
      <c r="DI198" t="s">
        <v>301</v>
      </c>
      <c r="DJ198" s="93"/>
      <c r="DK198" s="91"/>
      <c r="DM198" s="93"/>
      <c r="DN198" s="91"/>
      <c r="DP198" s="93"/>
      <c r="DQ198" s="91"/>
    </row>
    <row r="199" spans="1:121" x14ac:dyDescent="0.3">
      <c r="A199" t="s">
        <v>28</v>
      </c>
      <c r="B199" t="s">
        <v>42</v>
      </c>
      <c r="C199" t="s">
        <v>67</v>
      </c>
      <c r="D199" t="s">
        <v>317</v>
      </c>
      <c r="E199" t="s">
        <v>562</v>
      </c>
      <c r="F199" s="86">
        <v>30000</v>
      </c>
      <c r="G199" s="87">
        <v>12</v>
      </c>
      <c r="H199" s="88">
        <v>1</v>
      </c>
      <c r="I199" s="88">
        <v>1</v>
      </c>
      <c r="J199" s="89">
        <v>0.89099790299051795</v>
      </c>
      <c r="K199" s="88">
        <v>1</v>
      </c>
      <c r="L199" s="88">
        <v>1.010103387425793</v>
      </c>
      <c r="M199" s="88">
        <v>1</v>
      </c>
      <c r="N199" s="90">
        <v>0.58399999999999996</v>
      </c>
      <c r="O199" s="90">
        <v>0.58990037825666297</v>
      </c>
      <c r="P199" s="90">
        <v>0.58770372310829866</v>
      </c>
      <c r="Q199" s="91">
        <v>0</v>
      </c>
      <c r="R199" s="88">
        <v>1</v>
      </c>
      <c r="S199" s="88">
        <v>1.006341991623799</v>
      </c>
      <c r="T199" s="91">
        <v>0</v>
      </c>
      <c r="U199" s="91">
        <v>0</v>
      </c>
      <c r="V199" s="87">
        <v>0</v>
      </c>
      <c r="W199" s="91">
        <v>0</v>
      </c>
      <c r="X199" s="87">
        <v>1</v>
      </c>
      <c r="Y199" s="90">
        <v>0.58990037825666297</v>
      </c>
      <c r="Z199" s="90">
        <v>0.58770372310829866</v>
      </c>
      <c r="AA199" s="92">
        <v>0</v>
      </c>
      <c r="AB199" s="88">
        <v>0</v>
      </c>
      <c r="AC199" s="87">
        <v>0</v>
      </c>
      <c r="AD199" s="87">
        <v>0</v>
      </c>
      <c r="AE199" s="88">
        <v>1</v>
      </c>
      <c r="AF199" s="88">
        <v>1.004492054902975</v>
      </c>
      <c r="AG199" s="88">
        <v>1.004492054902975</v>
      </c>
      <c r="AH199" s="88">
        <v>30000</v>
      </c>
      <c r="AI199" s="88">
        <v>30000</v>
      </c>
      <c r="AJ199" s="88">
        <v>26729.937089715539</v>
      </c>
      <c r="AK199" s="88">
        <v>30000</v>
      </c>
      <c r="AL199" s="88">
        <v>30303.101622773778</v>
      </c>
      <c r="AM199" s="88">
        <v>30000</v>
      </c>
      <c r="AN199" s="88">
        <v>17520</v>
      </c>
      <c r="AO199" s="88">
        <v>17697.011347699889</v>
      </c>
      <c r="AP199" s="88">
        <v>17631.11169324896</v>
      </c>
      <c r="AQ199" s="88">
        <v>0</v>
      </c>
      <c r="AR199" s="88">
        <v>30000</v>
      </c>
      <c r="AS199" s="88">
        <v>30190.259748713979</v>
      </c>
      <c r="AT199" s="88">
        <v>17697.011347699889</v>
      </c>
      <c r="AU199" s="88">
        <v>17631.11169324896</v>
      </c>
      <c r="AV199" s="88">
        <v>27000</v>
      </c>
      <c r="AW199" s="88">
        <v>26700</v>
      </c>
      <c r="AX199" s="88">
        <v>26850</v>
      </c>
      <c r="AY199" s="88">
        <v>30000</v>
      </c>
      <c r="AZ199" s="88">
        <v>30000</v>
      </c>
      <c r="BA199" s="88">
        <v>30000</v>
      </c>
      <c r="BB199" s="88">
        <v>30000</v>
      </c>
      <c r="BC199" s="88">
        <v>30000</v>
      </c>
      <c r="BD199" s="88">
        <v>30000</v>
      </c>
      <c r="BE199" s="88">
        <v>30000</v>
      </c>
      <c r="BF199" s="88">
        <v>30000</v>
      </c>
      <c r="BG199" s="88">
        <v>30000</v>
      </c>
      <c r="BH199" s="88">
        <v>30000</v>
      </c>
      <c r="BI199" s="88">
        <v>30000</v>
      </c>
      <c r="BJ199" s="88">
        <v>30000</v>
      </c>
      <c r="BK199" s="88">
        <v>135.03764405557121</v>
      </c>
      <c r="BL199" s="88">
        <v>134.9885352202929</v>
      </c>
      <c r="BM199" s="88">
        <v>134.93946209063969</v>
      </c>
      <c r="BN199" s="88">
        <v>134.88876296533499</v>
      </c>
      <c r="BO199" s="88">
        <v>134.83810192282729</v>
      </c>
      <c r="BP199" s="88">
        <v>134.78747892022409</v>
      </c>
      <c r="BQ199" s="88">
        <v>134.7368939146931</v>
      </c>
      <c r="BR199" s="88">
        <v>134.68551853924589</v>
      </c>
      <c r="BS199" s="88">
        <v>134.6350100207849</v>
      </c>
      <c r="BT199" s="88">
        <v>134.58453937058579</v>
      </c>
      <c r="BU199" s="88">
        <v>134.5341065460959</v>
      </c>
      <c r="BV199" s="88">
        <v>134.4837115048025</v>
      </c>
      <c r="BW199" s="88">
        <v>0</v>
      </c>
      <c r="BX199" s="88">
        <v>0</v>
      </c>
      <c r="BY199" s="88">
        <v>0</v>
      </c>
      <c r="BZ199" s="88">
        <v>0</v>
      </c>
      <c r="CA199" s="88">
        <v>0</v>
      </c>
      <c r="CB199" s="88">
        <v>0</v>
      </c>
      <c r="CC199" s="88">
        <v>0</v>
      </c>
      <c r="CD199" s="88">
        <v>0</v>
      </c>
      <c r="CE199" s="88">
        <v>0</v>
      </c>
      <c r="CF199" s="88">
        <v>0</v>
      </c>
      <c r="CG199" s="88">
        <v>0</v>
      </c>
      <c r="CH199" s="88">
        <v>0</v>
      </c>
      <c r="CI199" s="88">
        <v>30000</v>
      </c>
      <c r="CJ199" s="88">
        <v>30000</v>
      </c>
      <c r="CK199" s="88">
        <v>30000</v>
      </c>
      <c r="CL199" s="88">
        <v>30000</v>
      </c>
      <c r="CM199" s="88">
        <v>30000</v>
      </c>
      <c r="CN199" s="88">
        <v>30000</v>
      </c>
      <c r="CO199" s="88">
        <v>30000</v>
      </c>
      <c r="CP199" s="88">
        <v>30000</v>
      </c>
      <c r="CQ199" s="88">
        <v>30000</v>
      </c>
      <c r="CR199" s="88">
        <v>30000</v>
      </c>
      <c r="CS199" s="88">
        <v>30000</v>
      </c>
      <c r="CT199" s="88">
        <v>30000</v>
      </c>
      <c r="CU199" s="88">
        <v>135.03764405557121</v>
      </c>
      <c r="CV199" s="88">
        <v>134.9885352202929</v>
      </c>
      <c r="CW199" s="88">
        <v>134.93946209063969</v>
      </c>
      <c r="CX199" s="88">
        <v>134.88876296533499</v>
      </c>
      <c r="CY199" s="88">
        <v>134.83810192282729</v>
      </c>
      <c r="CZ199" s="88">
        <v>134.78747892022409</v>
      </c>
      <c r="DA199" s="88">
        <v>134.7368939146931</v>
      </c>
      <c r="DB199" s="88">
        <v>134.68551853924589</v>
      </c>
      <c r="DC199" s="88">
        <v>134.6350100207849</v>
      </c>
      <c r="DD199" s="88">
        <v>134.58453937058579</v>
      </c>
      <c r="DE199" s="88">
        <v>134.5341065460959</v>
      </c>
      <c r="DF199" s="88">
        <v>134.4837115048025</v>
      </c>
      <c r="DG199" s="93"/>
      <c r="DH199" s="91"/>
      <c r="DJ199" s="93"/>
      <c r="DK199" s="91"/>
      <c r="DM199" s="93"/>
      <c r="DN199" s="91"/>
      <c r="DP199" s="93"/>
      <c r="DQ199" s="91"/>
    </row>
    <row r="200" spans="1:121" x14ac:dyDescent="0.3">
      <c r="A200" t="s">
        <v>28</v>
      </c>
      <c r="B200" t="s">
        <v>42</v>
      </c>
      <c r="C200" t="s">
        <v>73</v>
      </c>
      <c r="D200" t="s">
        <v>319</v>
      </c>
      <c r="E200" t="s">
        <v>563</v>
      </c>
      <c r="F200" s="86">
        <v>69000</v>
      </c>
      <c r="G200" s="87">
        <v>12</v>
      </c>
      <c r="H200" s="88">
        <v>1.06</v>
      </c>
      <c r="I200" s="88">
        <v>1.0444500000000001</v>
      </c>
      <c r="J200" s="89">
        <v>0.89399161196207155</v>
      </c>
      <c r="K200" s="88">
        <v>1.0148882186796879</v>
      </c>
      <c r="L200" s="88">
        <v>1.00672085504778</v>
      </c>
      <c r="M200" s="88">
        <v>1</v>
      </c>
      <c r="N200" s="90">
        <v>0.61199999999999999</v>
      </c>
      <c r="O200" s="90">
        <v>0.625285990795726</v>
      </c>
      <c r="P200" s="90">
        <v>0.59010200107377775</v>
      </c>
      <c r="Q200" s="91">
        <v>0</v>
      </c>
      <c r="R200" s="88">
        <v>0.97205346294046147</v>
      </c>
      <c r="S200" s="88">
        <v>0.99194025098798855</v>
      </c>
      <c r="T200" s="91">
        <v>-1.466981132075462E-2</v>
      </c>
      <c r="U200" s="91">
        <v>4.4066254966729002E-2</v>
      </c>
      <c r="V200" s="87">
        <v>0</v>
      </c>
      <c r="W200" s="91">
        <v>0</v>
      </c>
      <c r="X200" s="87">
        <v>1</v>
      </c>
      <c r="Y200" s="90">
        <v>0.625285990795726</v>
      </c>
      <c r="Z200" s="90">
        <v>0.59010200107377775</v>
      </c>
      <c r="AA200" s="92">
        <v>0</v>
      </c>
      <c r="AB200" s="88">
        <v>0</v>
      </c>
      <c r="AC200" s="87">
        <v>1</v>
      </c>
      <c r="AD200" s="87">
        <v>1</v>
      </c>
      <c r="AE200" s="88">
        <v>1.0549999999999999</v>
      </c>
      <c r="AF200" s="88">
        <v>1.0180294435905091</v>
      </c>
      <c r="AG200" s="88">
        <v>1.074021672478757</v>
      </c>
      <c r="AH200" s="88">
        <v>73140</v>
      </c>
      <c r="AI200" s="88">
        <v>72067.05</v>
      </c>
      <c r="AJ200" s="88">
        <v>61685.421225382939</v>
      </c>
      <c r="AK200" s="88">
        <v>70027.287088898462</v>
      </c>
      <c r="AL200" s="88">
        <v>69463.738998296831</v>
      </c>
      <c r="AM200" s="88">
        <v>69000</v>
      </c>
      <c r="AN200" s="88">
        <v>42228</v>
      </c>
      <c r="AO200" s="88">
        <v>43144.733364905092</v>
      </c>
      <c r="AP200" s="88">
        <v>40717.038074090662</v>
      </c>
      <c r="AQ200" s="88">
        <v>0</v>
      </c>
      <c r="AR200" s="88">
        <v>67071.688942891837</v>
      </c>
      <c r="AS200" s="88">
        <v>68443.877318171217</v>
      </c>
      <c r="AT200" s="88">
        <v>43144.733364905092</v>
      </c>
      <c r="AU200" s="88">
        <v>40717.038074090662</v>
      </c>
      <c r="AV200" s="88">
        <v>62100</v>
      </c>
      <c r="AW200" s="88">
        <v>61410</v>
      </c>
      <c r="AX200" s="88">
        <v>62790</v>
      </c>
      <c r="AY200" s="88">
        <v>69000</v>
      </c>
      <c r="AZ200" s="88">
        <v>69000</v>
      </c>
      <c r="BA200" s="88">
        <v>69000</v>
      </c>
      <c r="BB200" s="88">
        <v>69000</v>
      </c>
      <c r="BC200" s="88">
        <v>69000</v>
      </c>
      <c r="BD200" s="88">
        <v>69000</v>
      </c>
      <c r="BE200" s="88">
        <v>69000</v>
      </c>
      <c r="BF200" s="88">
        <v>69000</v>
      </c>
      <c r="BG200" s="88">
        <v>69000</v>
      </c>
      <c r="BH200" s="88">
        <v>69000</v>
      </c>
      <c r="BI200" s="88">
        <v>69000</v>
      </c>
      <c r="BJ200" s="88">
        <v>69000</v>
      </c>
      <c r="BK200" s="88">
        <v>5469.5532646048287</v>
      </c>
      <c r="BL200" s="88">
        <v>5467.6027550538374</v>
      </c>
      <c r="BM200" s="88">
        <v>5465.6579600754894</v>
      </c>
      <c r="BN200" s="88">
        <v>5463.6532216079568</v>
      </c>
      <c r="BO200" s="88">
        <v>5461.654537353339</v>
      </c>
      <c r="BP200" s="88">
        <v>5459.6618799278449</v>
      </c>
      <c r="BQ200" s="88">
        <v>5457.675222112538</v>
      </c>
      <c r="BR200" s="88">
        <v>5455.662116209166</v>
      </c>
      <c r="BS200" s="88">
        <v>5453.687473857748</v>
      </c>
      <c r="BT200" s="88">
        <v>4046.9693396226389</v>
      </c>
      <c r="BU200" s="88">
        <v>4045.0435422543951</v>
      </c>
      <c r="BV200" s="88">
        <v>4043.1234997305528</v>
      </c>
      <c r="BW200" s="88">
        <v>4140.0000000000036</v>
      </c>
      <c r="BX200" s="88">
        <v>4140.0000000000036</v>
      </c>
      <c r="BY200" s="88">
        <v>4140.0000000000036</v>
      </c>
      <c r="BZ200" s="88">
        <v>4140.0000000000036</v>
      </c>
      <c r="CA200" s="88">
        <v>4140.0000000000036</v>
      </c>
      <c r="CB200" s="88">
        <v>4140.0000000000036</v>
      </c>
      <c r="CC200" s="88">
        <v>4140.0000000000036</v>
      </c>
      <c r="CD200" s="88">
        <v>4140.0000000000036</v>
      </c>
      <c r="CE200" s="88">
        <v>4140.0000000000036</v>
      </c>
      <c r="CF200" s="88">
        <v>2760.0000000000018</v>
      </c>
      <c r="CG200" s="88">
        <v>2760.0000000000018</v>
      </c>
      <c r="CH200" s="88">
        <v>2760.0000000000018</v>
      </c>
      <c r="CI200" s="88">
        <v>69000</v>
      </c>
      <c r="CJ200" s="88">
        <v>69000</v>
      </c>
      <c r="CK200" s="88">
        <v>69000</v>
      </c>
      <c r="CL200" s="88">
        <v>69000</v>
      </c>
      <c r="CM200" s="88">
        <v>69000</v>
      </c>
      <c r="CN200" s="88">
        <v>69000</v>
      </c>
      <c r="CO200" s="88">
        <v>69000</v>
      </c>
      <c r="CP200" s="88">
        <v>69000</v>
      </c>
      <c r="CQ200" s="88">
        <v>69000</v>
      </c>
      <c r="CR200" s="88">
        <v>69000</v>
      </c>
      <c r="CS200" s="88">
        <v>69000</v>
      </c>
      <c r="CT200" s="88">
        <v>69000</v>
      </c>
      <c r="CU200" s="88">
        <v>1254.295532646054</v>
      </c>
      <c r="CV200" s="88">
        <v>1252.4554292960729</v>
      </c>
      <c r="CW200" s="88">
        <v>1250.6207170523439</v>
      </c>
      <c r="CX200" s="88">
        <v>1248.729454347123</v>
      </c>
      <c r="CY200" s="88">
        <v>1246.8439031635221</v>
      </c>
      <c r="CZ200" s="88">
        <v>1244.9640376677669</v>
      </c>
      <c r="DA200" s="88">
        <v>1243.089832181641</v>
      </c>
      <c r="DB200" s="88">
        <v>1241.190675669025</v>
      </c>
      <c r="DC200" s="88">
        <v>1239.327805526174</v>
      </c>
      <c r="DD200" s="88">
        <v>1237.4705188679229</v>
      </c>
      <c r="DE200" s="88">
        <v>1235.6187906292159</v>
      </c>
      <c r="DF200" s="88">
        <v>1233.772595894766</v>
      </c>
      <c r="DG200" s="93">
        <v>46296</v>
      </c>
      <c r="DH200" s="91">
        <v>0.06</v>
      </c>
      <c r="DI200" t="s">
        <v>301</v>
      </c>
      <c r="DJ200" s="93">
        <v>46661</v>
      </c>
      <c r="DK200" s="91">
        <v>0.04</v>
      </c>
      <c r="DL200" t="s">
        <v>302</v>
      </c>
      <c r="DM200" s="93"/>
      <c r="DN200" s="91"/>
      <c r="DP200" s="93"/>
      <c r="DQ200" s="91"/>
    </row>
    <row r="201" spans="1:121" x14ac:dyDescent="0.3">
      <c r="A201" t="s">
        <v>28</v>
      </c>
      <c r="B201" t="s">
        <v>42</v>
      </c>
      <c r="C201" t="s">
        <v>78</v>
      </c>
      <c r="D201" t="s">
        <v>321</v>
      </c>
      <c r="E201" t="s">
        <v>564</v>
      </c>
      <c r="F201" s="86">
        <v>57000</v>
      </c>
      <c r="G201" s="87">
        <v>12</v>
      </c>
      <c r="H201" s="88">
        <v>1.02</v>
      </c>
      <c r="I201" s="88">
        <v>1.013055555555556</v>
      </c>
      <c r="J201" s="89">
        <v>0.89000000000000024</v>
      </c>
      <c r="K201" s="88">
        <v>1.0068549492733749</v>
      </c>
      <c r="L201" s="88">
        <v>1.01123595505618</v>
      </c>
      <c r="M201" s="88">
        <v>1</v>
      </c>
      <c r="N201" s="90">
        <v>0.59599999999999997</v>
      </c>
      <c r="O201" s="90">
        <v>0.60682808403397581</v>
      </c>
      <c r="P201" s="90">
        <v>0.6026966292134831</v>
      </c>
      <c r="Q201" s="91">
        <v>0</v>
      </c>
      <c r="R201" s="88">
        <v>1</v>
      </c>
      <c r="S201" s="88">
        <v>1.01123595505618</v>
      </c>
      <c r="T201" s="91">
        <v>-6.8082788671023353E-3</v>
      </c>
      <c r="U201" s="91">
        <v>6.8549492733751549E-3</v>
      </c>
      <c r="V201" s="87">
        <v>0</v>
      </c>
      <c r="W201" s="91">
        <v>0</v>
      </c>
      <c r="X201" s="87">
        <v>1</v>
      </c>
      <c r="Y201" s="90">
        <v>0.60682808403397581</v>
      </c>
      <c r="Z201" s="90">
        <v>0.6026966292134831</v>
      </c>
      <c r="AA201" s="92">
        <v>0</v>
      </c>
      <c r="AB201" s="88">
        <v>0</v>
      </c>
      <c r="AC201" s="87">
        <v>1</v>
      </c>
      <c r="AD201" s="87">
        <v>0</v>
      </c>
      <c r="AE201" s="88">
        <v>1.0166666666666659</v>
      </c>
      <c r="AF201" s="88">
        <v>1</v>
      </c>
      <c r="AG201" s="88">
        <v>1.0166666666666659</v>
      </c>
      <c r="AH201" s="88">
        <v>58140</v>
      </c>
      <c r="AI201" s="88">
        <v>57744.166666666672</v>
      </c>
      <c r="AJ201" s="88">
        <v>50730.000000000007</v>
      </c>
      <c r="AK201" s="88">
        <v>57390.732108582393</v>
      </c>
      <c r="AL201" s="88">
        <v>57640.449438202239</v>
      </c>
      <c r="AM201" s="88">
        <v>57000</v>
      </c>
      <c r="AN201" s="88">
        <v>33972</v>
      </c>
      <c r="AO201" s="88">
        <v>34589.200789936622</v>
      </c>
      <c r="AP201" s="88">
        <v>34353.707865168537</v>
      </c>
      <c r="AQ201" s="88">
        <v>0</v>
      </c>
      <c r="AR201" s="88">
        <v>57000.000000000007</v>
      </c>
      <c r="AS201" s="88">
        <v>57640.449438202239</v>
      </c>
      <c r="AT201" s="88">
        <v>34589.200789936622</v>
      </c>
      <c r="AU201" s="88">
        <v>34353.707865168537</v>
      </c>
      <c r="AV201" s="88">
        <v>51300</v>
      </c>
      <c r="AW201" s="88">
        <v>50730</v>
      </c>
      <c r="AX201" s="88">
        <v>50730</v>
      </c>
      <c r="AY201" s="88">
        <v>57000</v>
      </c>
      <c r="AZ201" s="88">
        <v>57000</v>
      </c>
      <c r="BA201" s="88">
        <v>57000</v>
      </c>
      <c r="BB201" s="88">
        <v>57000</v>
      </c>
      <c r="BC201" s="88">
        <v>57000</v>
      </c>
      <c r="BD201" s="88">
        <v>57000</v>
      </c>
      <c r="BE201" s="88">
        <v>57000</v>
      </c>
      <c r="BF201" s="88">
        <v>57000</v>
      </c>
      <c r="BG201" s="88">
        <v>57000</v>
      </c>
      <c r="BH201" s="88">
        <v>57000</v>
      </c>
      <c r="BI201" s="88">
        <v>57000</v>
      </c>
      <c r="BJ201" s="88">
        <v>57000</v>
      </c>
      <c r="BK201" s="88">
        <v>1140.0000000000009</v>
      </c>
      <c r="BL201" s="88">
        <v>1140.0000000000009</v>
      </c>
      <c r="BM201" s="88">
        <v>1140.0000000000009</v>
      </c>
      <c r="BN201" s="88">
        <v>1140.0000000000009</v>
      </c>
      <c r="BO201" s="88">
        <v>1140.0000000000009</v>
      </c>
      <c r="BP201" s="88">
        <v>1140.0000000000009</v>
      </c>
      <c r="BQ201" s="88">
        <v>1140.0000000000009</v>
      </c>
      <c r="BR201" s="88">
        <v>1140.0000000000009</v>
      </c>
      <c r="BS201" s="88">
        <v>1140.0000000000009</v>
      </c>
      <c r="BT201" s="88">
        <v>1140.0000000000009</v>
      </c>
      <c r="BU201" s="88">
        <v>0</v>
      </c>
      <c r="BV201" s="88">
        <v>0</v>
      </c>
      <c r="BW201" s="88">
        <v>1140.0000000000009</v>
      </c>
      <c r="BX201" s="88">
        <v>1140.0000000000009</v>
      </c>
      <c r="BY201" s="88">
        <v>1140.0000000000009</v>
      </c>
      <c r="BZ201" s="88">
        <v>1140.0000000000009</v>
      </c>
      <c r="CA201" s="88">
        <v>1140.0000000000009</v>
      </c>
      <c r="CB201" s="88">
        <v>1140.0000000000009</v>
      </c>
      <c r="CC201" s="88">
        <v>1140.0000000000009</v>
      </c>
      <c r="CD201" s="88">
        <v>1140.0000000000009</v>
      </c>
      <c r="CE201" s="88">
        <v>1140.0000000000009</v>
      </c>
      <c r="CF201" s="88">
        <v>1140.0000000000009</v>
      </c>
      <c r="CG201" s="88">
        <v>0</v>
      </c>
      <c r="CH201" s="88">
        <v>0</v>
      </c>
      <c r="CI201" s="88">
        <v>57000</v>
      </c>
      <c r="CJ201" s="88">
        <v>57000</v>
      </c>
      <c r="CK201" s="88">
        <v>57000</v>
      </c>
      <c r="CL201" s="88">
        <v>57000</v>
      </c>
      <c r="CM201" s="88">
        <v>57000</v>
      </c>
      <c r="CN201" s="88">
        <v>57000</v>
      </c>
      <c r="CO201" s="88">
        <v>57000</v>
      </c>
      <c r="CP201" s="88">
        <v>57000</v>
      </c>
      <c r="CQ201" s="88">
        <v>57000</v>
      </c>
      <c r="CR201" s="88">
        <v>57000</v>
      </c>
      <c r="CS201" s="88">
        <v>57000</v>
      </c>
      <c r="CT201" s="88">
        <v>57000</v>
      </c>
      <c r="CU201" s="88">
        <v>0</v>
      </c>
      <c r="CV201" s="88">
        <v>0</v>
      </c>
      <c r="CW201" s="88">
        <v>0</v>
      </c>
      <c r="CX201" s="88">
        <v>0</v>
      </c>
      <c r="CY201" s="88">
        <v>0</v>
      </c>
      <c r="CZ201" s="88">
        <v>0</v>
      </c>
      <c r="DA201" s="88">
        <v>0</v>
      </c>
      <c r="DB201" s="88">
        <v>0</v>
      </c>
      <c r="DC201" s="88">
        <v>0</v>
      </c>
      <c r="DD201" s="88">
        <v>0</v>
      </c>
      <c r="DE201" s="88">
        <v>0</v>
      </c>
      <c r="DF201" s="88">
        <v>0</v>
      </c>
      <c r="DG201" s="93">
        <v>46327</v>
      </c>
      <c r="DH201" s="91">
        <v>0.02</v>
      </c>
      <c r="DI201" t="s">
        <v>301</v>
      </c>
      <c r="DJ201" s="93"/>
      <c r="DK201" s="91"/>
      <c r="DM201" s="93"/>
      <c r="DN201" s="91"/>
      <c r="DP201" s="93"/>
      <c r="DQ201" s="91"/>
    </row>
    <row r="202" spans="1:121" x14ac:dyDescent="0.3">
      <c r="A202" t="s">
        <v>28</v>
      </c>
      <c r="B202" t="s">
        <v>42</v>
      </c>
      <c r="C202" t="s">
        <v>80</v>
      </c>
      <c r="D202" t="s">
        <v>323</v>
      </c>
      <c r="E202" t="s">
        <v>565</v>
      </c>
      <c r="F202" s="86">
        <v>45000</v>
      </c>
      <c r="G202" s="87">
        <v>12</v>
      </c>
      <c r="H202" s="88">
        <v>1</v>
      </c>
      <c r="I202" s="88">
        <v>1</v>
      </c>
      <c r="J202" s="89">
        <v>0.89299370897155361</v>
      </c>
      <c r="K202" s="88">
        <v>1</v>
      </c>
      <c r="L202" s="88">
        <v>1.0078458458979691</v>
      </c>
      <c r="M202" s="88">
        <v>1</v>
      </c>
      <c r="N202" s="90">
        <v>0.57999999999999996</v>
      </c>
      <c r="O202" s="90">
        <v>0.58455059062082193</v>
      </c>
      <c r="P202" s="90">
        <v>0.57808299037724586</v>
      </c>
      <c r="Q202" s="91">
        <v>0</v>
      </c>
      <c r="R202" s="88">
        <v>1</v>
      </c>
      <c r="S202" s="88">
        <v>0.99669481099525148</v>
      </c>
      <c r="T202" s="91">
        <v>0</v>
      </c>
      <c r="U202" s="91">
        <v>0</v>
      </c>
      <c r="V202" s="87">
        <v>0</v>
      </c>
      <c r="W202" s="91">
        <v>0</v>
      </c>
      <c r="X202" s="87">
        <v>1</v>
      </c>
      <c r="Y202" s="90">
        <v>0.58455059062082193</v>
      </c>
      <c r="Z202" s="90">
        <v>0.57808299037724586</v>
      </c>
      <c r="AA202" s="92">
        <v>0</v>
      </c>
      <c r="AB202" s="88">
        <v>0</v>
      </c>
      <c r="AC202" s="87">
        <v>0</v>
      </c>
      <c r="AD202" s="87">
        <v>0</v>
      </c>
      <c r="AE202" s="88">
        <v>1</v>
      </c>
      <c r="AF202" s="88">
        <v>1.0135066962933139</v>
      </c>
      <c r="AG202" s="88">
        <v>1.0135066962933139</v>
      </c>
      <c r="AH202" s="88">
        <v>45000</v>
      </c>
      <c r="AI202" s="88">
        <v>45000</v>
      </c>
      <c r="AJ202" s="88">
        <v>40184.716903719913</v>
      </c>
      <c r="AK202" s="88">
        <v>45000</v>
      </c>
      <c r="AL202" s="88">
        <v>45353.063065408598</v>
      </c>
      <c r="AM202" s="88">
        <v>45000</v>
      </c>
      <c r="AN202" s="88">
        <v>26100</v>
      </c>
      <c r="AO202" s="88">
        <v>26304.776577936991</v>
      </c>
      <c r="AP202" s="88">
        <v>26013.734566976069</v>
      </c>
      <c r="AQ202" s="88">
        <v>0</v>
      </c>
      <c r="AR202" s="88">
        <v>45000</v>
      </c>
      <c r="AS202" s="88">
        <v>44851.266494786323</v>
      </c>
      <c r="AT202" s="88">
        <v>26304.776577936991</v>
      </c>
      <c r="AU202" s="88">
        <v>26013.734566976069</v>
      </c>
      <c r="AV202" s="88">
        <v>40500</v>
      </c>
      <c r="AW202" s="88">
        <v>40050</v>
      </c>
      <c r="AX202" s="88">
        <v>40725</v>
      </c>
      <c r="AY202" s="88">
        <v>45000</v>
      </c>
      <c r="AZ202" s="88">
        <v>45000</v>
      </c>
      <c r="BA202" s="88">
        <v>45000</v>
      </c>
      <c r="BB202" s="88">
        <v>45000</v>
      </c>
      <c r="BC202" s="88">
        <v>45000</v>
      </c>
      <c r="BD202" s="88">
        <v>45000</v>
      </c>
      <c r="BE202" s="88">
        <v>45000</v>
      </c>
      <c r="BF202" s="88">
        <v>45000</v>
      </c>
      <c r="BG202" s="88">
        <v>45000</v>
      </c>
      <c r="BH202" s="88">
        <v>45000</v>
      </c>
      <c r="BI202" s="88">
        <v>45000</v>
      </c>
      <c r="BJ202" s="88">
        <v>45000</v>
      </c>
      <c r="BK202" s="88">
        <v>611.55342637467356</v>
      </c>
      <c r="BL202" s="88">
        <v>610.88244774491591</v>
      </c>
      <c r="BM202" s="88">
        <v>610.21293985795592</v>
      </c>
      <c r="BN202" s="88">
        <v>609.52227802380185</v>
      </c>
      <c r="BO202" s="88">
        <v>608.83317785589418</v>
      </c>
      <c r="BP202" s="88">
        <v>608.14563406355489</v>
      </c>
      <c r="BQ202" s="88">
        <v>607.45964137999704</v>
      </c>
      <c r="BR202" s="88">
        <v>606.76398697196873</v>
      </c>
      <c r="BS202" s="88">
        <v>606.08110601345857</v>
      </c>
      <c r="BT202" s="88">
        <v>605.39976042018327</v>
      </c>
      <c r="BU202" s="88">
        <v>604.71994501988036</v>
      </c>
      <c r="BV202" s="88">
        <v>604.04165466346865</v>
      </c>
      <c r="BW202" s="88">
        <v>0</v>
      </c>
      <c r="BX202" s="88">
        <v>0</v>
      </c>
      <c r="BY202" s="88">
        <v>0</v>
      </c>
      <c r="BZ202" s="88">
        <v>0</v>
      </c>
      <c r="CA202" s="88">
        <v>0</v>
      </c>
      <c r="CB202" s="88">
        <v>0</v>
      </c>
      <c r="CC202" s="88">
        <v>0</v>
      </c>
      <c r="CD202" s="88">
        <v>0</v>
      </c>
      <c r="CE202" s="88">
        <v>0</v>
      </c>
      <c r="CF202" s="88">
        <v>0</v>
      </c>
      <c r="CG202" s="88">
        <v>0</v>
      </c>
      <c r="CH202" s="88">
        <v>0</v>
      </c>
      <c r="CI202" s="88">
        <v>45000</v>
      </c>
      <c r="CJ202" s="88">
        <v>45000</v>
      </c>
      <c r="CK202" s="88">
        <v>45000</v>
      </c>
      <c r="CL202" s="88">
        <v>45000</v>
      </c>
      <c r="CM202" s="88">
        <v>45000</v>
      </c>
      <c r="CN202" s="88">
        <v>45000</v>
      </c>
      <c r="CO202" s="88">
        <v>45000</v>
      </c>
      <c r="CP202" s="88">
        <v>45000</v>
      </c>
      <c r="CQ202" s="88">
        <v>45000</v>
      </c>
      <c r="CR202" s="88">
        <v>45000</v>
      </c>
      <c r="CS202" s="88">
        <v>45000</v>
      </c>
      <c r="CT202" s="88">
        <v>45000</v>
      </c>
      <c r="CU202" s="88">
        <v>611.55342637467356</v>
      </c>
      <c r="CV202" s="88">
        <v>610.88244774491591</v>
      </c>
      <c r="CW202" s="88">
        <v>610.21293985795592</v>
      </c>
      <c r="CX202" s="88">
        <v>609.52227802380185</v>
      </c>
      <c r="CY202" s="88">
        <v>608.83317785589418</v>
      </c>
      <c r="CZ202" s="88">
        <v>608.14563406355489</v>
      </c>
      <c r="DA202" s="88">
        <v>607.45964137999704</v>
      </c>
      <c r="DB202" s="88">
        <v>606.76398697196873</v>
      </c>
      <c r="DC202" s="88">
        <v>606.08110601345857</v>
      </c>
      <c r="DD202" s="88">
        <v>605.39976042018327</v>
      </c>
      <c r="DE202" s="88">
        <v>604.71994501988036</v>
      </c>
      <c r="DF202" s="88">
        <v>604.04165466346865</v>
      </c>
      <c r="DG202" s="93"/>
      <c r="DH202" s="91"/>
      <c r="DJ202" s="93"/>
      <c r="DK202" s="91"/>
      <c r="DM202" s="93"/>
      <c r="DN202" s="91"/>
      <c r="DP202" s="93"/>
      <c r="DQ202" s="91"/>
    </row>
    <row r="203" spans="1:121" x14ac:dyDescent="0.3">
      <c r="A203" t="s">
        <v>28</v>
      </c>
      <c r="B203" t="s">
        <v>42</v>
      </c>
      <c r="C203" t="s">
        <v>82</v>
      </c>
      <c r="D203" t="s">
        <v>325</v>
      </c>
      <c r="E203" t="s">
        <v>566</v>
      </c>
      <c r="F203" s="86">
        <v>33000</v>
      </c>
      <c r="G203" s="87">
        <v>12</v>
      </c>
      <c r="H203" s="88">
        <v>1.04</v>
      </c>
      <c r="I203" s="88">
        <v>1.04</v>
      </c>
      <c r="J203" s="89">
        <v>0.88900209700948218</v>
      </c>
      <c r="K203" s="88">
        <v>0.99999999999999978</v>
      </c>
      <c r="L203" s="88">
        <v>1.0123710652961491</v>
      </c>
      <c r="M203" s="88">
        <v>1</v>
      </c>
      <c r="N203" s="90">
        <v>0.60799999999999998</v>
      </c>
      <c r="O203" s="90">
        <v>0.61552160770005848</v>
      </c>
      <c r="P203" s="90">
        <v>0.61783607259700524</v>
      </c>
      <c r="Q203" s="91">
        <v>0</v>
      </c>
      <c r="R203" s="88">
        <v>0.99999999999999978</v>
      </c>
      <c r="S203" s="88">
        <v>1.016177750981917</v>
      </c>
      <c r="T203" s="91">
        <v>0</v>
      </c>
      <c r="U203" s="91">
        <v>0</v>
      </c>
      <c r="V203" s="87">
        <v>0</v>
      </c>
      <c r="W203" s="91">
        <v>0</v>
      </c>
      <c r="X203" s="87">
        <v>1</v>
      </c>
      <c r="Y203" s="90">
        <v>0.61552160770005848</v>
      </c>
      <c r="Z203" s="90">
        <v>0.61783607259700524</v>
      </c>
      <c r="AA203" s="92">
        <v>0</v>
      </c>
      <c r="AB203" s="88">
        <v>0</v>
      </c>
      <c r="AC203" s="87">
        <v>1</v>
      </c>
      <c r="AD203" s="87">
        <v>0</v>
      </c>
      <c r="AE203" s="88">
        <v>1</v>
      </c>
      <c r="AF203" s="88">
        <v>0.99551801636857096</v>
      </c>
      <c r="AG203" s="88">
        <v>0.99551801636857096</v>
      </c>
      <c r="AH203" s="88">
        <v>34320</v>
      </c>
      <c r="AI203" s="88">
        <v>34320.000000000007</v>
      </c>
      <c r="AJ203" s="88">
        <v>29337.069201312908</v>
      </c>
      <c r="AK203" s="88">
        <v>32999.999999999993</v>
      </c>
      <c r="AL203" s="88">
        <v>33408.245154772922</v>
      </c>
      <c r="AM203" s="88">
        <v>33000</v>
      </c>
      <c r="AN203" s="88">
        <v>20064</v>
      </c>
      <c r="AO203" s="88">
        <v>20312.213054101929</v>
      </c>
      <c r="AP203" s="88">
        <v>20388.590395701169</v>
      </c>
      <c r="AQ203" s="88">
        <v>0</v>
      </c>
      <c r="AR203" s="88">
        <v>32999.999999999993</v>
      </c>
      <c r="AS203" s="88">
        <v>33533.865782403263</v>
      </c>
      <c r="AT203" s="88">
        <v>20312.213054101929</v>
      </c>
      <c r="AU203" s="88">
        <v>20388.590395701169</v>
      </c>
      <c r="AV203" s="88">
        <v>29700</v>
      </c>
      <c r="AW203" s="88">
        <v>29370</v>
      </c>
      <c r="AX203" s="88">
        <v>29205</v>
      </c>
      <c r="AY203" s="88">
        <v>33000</v>
      </c>
      <c r="AZ203" s="88">
        <v>33000</v>
      </c>
      <c r="BA203" s="88">
        <v>33000</v>
      </c>
      <c r="BB203" s="88">
        <v>33000</v>
      </c>
      <c r="BC203" s="88">
        <v>33000</v>
      </c>
      <c r="BD203" s="88">
        <v>33000</v>
      </c>
      <c r="BE203" s="88">
        <v>33000</v>
      </c>
      <c r="BF203" s="88">
        <v>33000</v>
      </c>
      <c r="BG203" s="88">
        <v>33000</v>
      </c>
      <c r="BH203" s="88">
        <v>33000</v>
      </c>
      <c r="BI203" s="88">
        <v>33000</v>
      </c>
      <c r="BJ203" s="88">
        <v>33000</v>
      </c>
      <c r="BK203" s="88">
        <v>-147.60396306530731</v>
      </c>
      <c r="BL203" s="88">
        <v>-147.65734180008329</v>
      </c>
      <c r="BM203" s="88">
        <v>-147.71075915604411</v>
      </c>
      <c r="BN203" s="88">
        <v>-147.766027921583</v>
      </c>
      <c r="BO203" s="88">
        <v>-147.8213380623078</v>
      </c>
      <c r="BP203" s="88">
        <v>-147.87668962468939</v>
      </c>
      <c r="BQ203" s="88">
        <v>-147.93208265528651</v>
      </c>
      <c r="BR203" s="88">
        <v>-147.98842630987139</v>
      </c>
      <c r="BS203" s="88">
        <v>-148.04390309854</v>
      </c>
      <c r="BT203" s="88">
        <v>-148.09942149623981</v>
      </c>
      <c r="BU203" s="88">
        <v>-148.15498154981529</v>
      </c>
      <c r="BV203" s="88">
        <v>-148.21058330615881</v>
      </c>
      <c r="BW203" s="88">
        <v>0</v>
      </c>
      <c r="BX203" s="88">
        <v>0</v>
      </c>
      <c r="BY203" s="88">
        <v>0</v>
      </c>
      <c r="BZ203" s="88">
        <v>0</v>
      </c>
      <c r="CA203" s="88">
        <v>0</v>
      </c>
      <c r="CB203" s="88">
        <v>0</v>
      </c>
      <c r="CC203" s="88">
        <v>0</v>
      </c>
      <c r="CD203" s="88">
        <v>0</v>
      </c>
      <c r="CE203" s="88">
        <v>0</v>
      </c>
      <c r="CF203" s="88">
        <v>0</v>
      </c>
      <c r="CG203" s="88">
        <v>0</v>
      </c>
      <c r="CH203" s="88">
        <v>0</v>
      </c>
      <c r="CI203" s="88">
        <v>33000</v>
      </c>
      <c r="CJ203" s="88">
        <v>33000</v>
      </c>
      <c r="CK203" s="88">
        <v>33000</v>
      </c>
      <c r="CL203" s="88">
        <v>33000</v>
      </c>
      <c r="CM203" s="88">
        <v>33000</v>
      </c>
      <c r="CN203" s="88">
        <v>33000</v>
      </c>
      <c r="CO203" s="88">
        <v>33000</v>
      </c>
      <c r="CP203" s="88">
        <v>33000</v>
      </c>
      <c r="CQ203" s="88">
        <v>33000</v>
      </c>
      <c r="CR203" s="88">
        <v>33000</v>
      </c>
      <c r="CS203" s="88">
        <v>33000</v>
      </c>
      <c r="CT203" s="88">
        <v>33000</v>
      </c>
      <c r="CU203" s="88">
        <v>-147.60396306530731</v>
      </c>
      <c r="CV203" s="88">
        <v>-147.65734180008329</v>
      </c>
      <c r="CW203" s="88">
        <v>-147.71075915604411</v>
      </c>
      <c r="CX203" s="88">
        <v>-147.766027921583</v>
      </c>
      <c r="CY203" s="88">
        <v>-147.8213380623078</v>
      </c>
      <c r="CZ203" s="88">
        <v>-147.87668962468939</v>
      </c>
      <c r="DA203" s="88">
        <v>-147.93208265528651</v>
      </c>
      <c r="DB203" s="88">
        <v>-147.98842630987139</v>
      </c>
      <c r="DC203" s="88">
        <v>-148.04390309854</v>
      </c>
      <c r="DD203" s="88">
        <v>-148.09942149623981</v>
      </c>
      <c r="DE203" s="88">
        <v>-148.15498154981529</v>
      </c>
      <c r="DF203" s="88">
        <v>-148.21058330615881</v>
      </c>
      <c r="DG203" s="93">
        <v>46023</v>
      </c>
      <c r="DH203" s="91">
        <v>0.04</v>
      </c>
      <c r="DI203" t="s">
        <v>301</v>
      </c>
      <c r="DJ203" s="93"/>
      <c r="DK203" s="91"/>
      <c r="DM203" s="93"/>
      <c r="DN203" s="91"/>
      <c r="DP203" s="93"/>
      <c r="DQ203" s="91"/>
    </row>
    <row r="204" spans="1:121" x14ac:dyDescent="0.3">
      <c r="A204" t="s">
        <v>28</v>
      </c>
      <c r="B204" t="s">
        <v>42</v>
      </c>
      <c r="C204" t="s">
        <v>85</v>
      </c>
      <c r="D204" t="s">
        <v>327</v>
      </c>
      <c r="E204" t="s">
        <v>567</v>
      </c>
      <c r="F204" s="86">
        <v>72000</v>
      </c>
      <c r="G204" s="87">
        <v>12</v>
      </c>
      <c r="H204" s="88">
        <v>1.05</v>
      </c>
      <c r="I204" s="88">
        <v>1.061638888888889</v>
      </c>
      <c r="J204" s="89">
        <v>0.89199580598103567</v>
      </c>
      <c r="K204" s="88">
        <v>0.9890368664800232</v>
      </c>
      <c r="L204" s="88">
        <v>1.0089733538715031</v>
      </c>
      <c r="M204" s="88">
        <v>1</v>
      </c>
      <c r="N204" s="90">
        <v>0.59199999999999997</v>
      </c>
      <c r="O204" s="90">
        <v>0.59076381181074711</v>
      </c>
      <c r="P204" s="90">
        <v>0.57076788484253627</v>
      </c>
      <c r="Q204" s="91">
        <v>0</v>
      </c>
      <c r="R204" s="88">
        <v>0.96269554753309272</v>
      </c>
      <c r="S204" s="88">
        <v>1.0014951695611229</v>
      </c>
      <c r="T204" s="91">
        <v>1.108465608465603E-2</v>
      </c>
      <c r="U204" s="91">
        <v>2.7362045056124051E-2</v>
      </c>
      <c r="V204" s="87">
        <v>0</v>
      </c>
      <c r="W204" s="91">
        <v>0</v>
      </c>
      <c r="X204" s="87">
        <v>1</v>
      </c>
      <c r="Y204" s="90">
        <v>0.59076381181074711</v>
      </c>
      <c r="Z204" s="90">
        <v>0.57076788484253627</v>
      </c>
      <c r="AA204" s="92">
        <v>0</v>
      </c>
      <c r="AB204" s="88">
        <v>0</v>
      </c>
      <c r="AC204" s="87">
        <v>1</v>
      </c>
      <c r="AD204" s="87">
        <v>1</v>
      </c>
      <c r="AE204" s="88">
        <v>1.034166666666666</v>
      </c>
      <c r="AF204" s="88">
        <v>1.0089942603284909</v>
      </c>
      <c r="AG204" s="88">
        <v>1.04346808131539</v>
      </c>
      <c r="AH204" s="88">
        <v>75600</v>
      </c>
      <c r="AI204" s="88">
        <v>76438</v>
      </c>
      <c r="AJ204" s="88">
        <v>64223.698030634558</v>
      </c>
      <c r="AK204" s="88">
        <v>71210.65438656167</v>
      </c>
      <c r="AL204" s="88">
        <v>72646.081478748209</v>
      </c>
      <c r="AM204" s="88">
        <v>72000</v>
      </c>
      <c r="AN204" s="88">
        <v>42624</v>
      </c>
      <c r="AO204" s="88">
        <v>42534.994450373793</v>
      </c>
      <c r="AP204" s="88">
        <v>41095.28770866261</v>
      </c>
      <c r="AQ204" s="88">
        <v>0</v>
      </c>
      <c r="AR204" s="88">
        <v>69314.079422382682</v>
      </c>
      <c r="AS204" s="88">
        <v>72107.652208400817</v>
      </c>
      <c r="AT204" s="88">
        <v>42534.994450373793</v>
      </c>
      <c r="AU204" s="88">
        <v>41095.28770866261</v>
      </c>
      <c r="AV204" s="88">
        <v>64800</v>
      </c>
      <c r="AW204" s="88">
        <v>64080</v>
      </c>
      <c r="AX204" s="88">
        <v>64800</v>
      </c>
      <c r="AY204" s="88">
        <v>72000</v>
      </c>
      <c r="AZ204" s="88">
        <v>72000</v>
      </c>
      <c r="BA204" s="88">
        <v>72000</v>
      </c>
      <c r="BB204" s="88">
        <v>72000</v>
      </c>
      <c r="BC204" s="88">
        <v>72000</v>
      </c>
      <c r="BD204" s="88">
        <v>72000</v>
      </c>
      <c r="BE204" s="88">
        <v>72000</v>
      </c>
      <c r="BF204" s="88">
        <v>72000</v>
      </c>
      <c r="BG204" s="88">
        <v>72000</v>
      </c>
      <c r="BH204" s="88">
        <v>72000</v>
      </c>
      <c r="BI204" s="88">
        <v>72000</v>
      </c>
      <c r="BJ204" s="88">
        <v>72000</v>
      </c>
      <c r="BK204" s="88">
        <v>4282.7578528039949</v>
      </c>
      <c r="BL204" s="88">
        <v>649.77129435035511</v>
      </c>
      <c r="BM204" s="88">
        <v>649.29770596301671</v>
      </c>
      <c r="BN204" s="88">
        <v>3554.7611405999291</v>
      </c>
      <c r="BO204" s="88">
        <v>3554.2534321767221</v>
      </c>
      <c r="BP204" s="88">
        <v>3553.7464872060318</v>
      </c>
      <c r="BQ204" s="88">
        <v>3553.2403039670762</v>
      </c>
      <c r="BR204" s="88">
        <v>3552.7266014399202</v>
      </c>
      <c r="BS204" s="88">
        <v>3552.221948939939</v>
      </c>
      <c r="BT204" s="88">
        <v>3551.7180530125229</v>
      </c>
      <c r="BU204" s="88">
        <v>3551.2149119575602</v>
      </c>
      <c r="BV204" s="88">
        <v>3550.7125240800528</v>
      </c>
      <c r="BW204" s="88">
        <v>3600.0000000000032</v>
      </c>
      <c r="BX204" s="88">
        <v>0</v>
      </c>
      <c r="BY204" s="88">
        <v>0</v>
      </c>
      <c r="BZ204" s="88">
        <v>2880.0000000000032</v>
      </c>
      <c r="CA204" s="88">
        <v>2880.0000000000032</v>
      </c>
      <c r="CB204" s="88">
        <v>2880.0000000000032</v>
      </c>
      <c r="CC204" s="88">
        <v>2880.0000000000032</v>
      </c>
      <c r="CD204" s="88">
        <v>2880.0000000000032</v>
      </c>
      <c r="CE204" s="88">
        <v>2880.0000000000032</v>
      </c>
      <c r="CF204" s="88">
        <v>2880.0000000000032</v>
      </c>
      <c r="CG204" s="88">
        <v>2880.0000000000032</v>
      </c>
      <c r="CH204" s="88">
        <v>2880.0000000000032</v>
      </c>
      <c r="CI204" s="88">
        <v>72000</v>
      </c>
      <c r="CJ204" s="88">
        <v>72000</v>
      </c>
      <c r="CK204" s="88">
        <v>72000</v>
      </c>
      <c r="CL204" s="88">
        <v>72000</v>
      </c>
      <c r="CM204" s="88">
        <v>72000</v>
      </c>
      <c r="CN204" s="88">
        <v>72000</v>
      </c>
      <c r="CO204" s="88">
        <v>72000</v>
      </c>
      <c r="CP204" s="88">
        <v>72000</v>
      </c>
      <c r="CQ204" s="88">
        <v>72000</v>
      </c>
      <c r="CR204" s="88">
        <v>72000</v>
      </c>
      <c r="CS204" s="88">
        <v>72000</v>
      </c>
      <c r="CT204" s="88">
        <v>72000</v>
      </c>
      <c r="CU204" s="88">
        <v>650.2455740990456</v>
      </c>
      <c r="CV204" s="88">
        <v>649.77129435035511</v>
      </c>
      <c r="CW204" s="88">
        <v>649.29770596301671</v>
      </c>
      <c r="CX204" s="88">
        <v>648.80878903839084</v>
      </c>
      <c r="CY204" s="88">
        <v>648.32060786223519</v>
      </c>
      <c r="CZ204" s="88">
        <v>647.83316077502923</v>
      </c>
      <c r="DA204" s="88">
        <v>647.34644612219222</v>
      </c>
      <c r="DB204" s="88">
        <v>646.85250138453648</v>
      </c>
      <c r="DC204" s="88">
        <v>646.36725859608998</v>
      </c>
      <c r="DD204" s="88">
        <v>645.88274328127682</v>
      </c>
      <c r="DE204" s="88">
        <v>645.39895380534062</v>
      </c>
      <c r="DF204" s="88">
        <v>644.91588853851317</v>
      </c>
      <c r="DG204" s="93">
        <v>46054</v>
      </c>
      <c r="DH204" s="91">
        <v>0.05</v>
      </c>
      <c r="DI204" t="s">
        <v>301</v>
      </c>
      <c r="DJ204" s="93">
        <v>46478</v>
      </c>
      <c r="DK204" s="91">
        <v>0.04</v>
      </c>
      <c r="DL204" t="s">
        <v>302</v>
      </c>
      <c r="DM204" s="93"/>
      <c r="DN204" s="91"/>
      <c r="DP204" s="93"/>
      <c r="DQ204" s="91"/>
    </row>
    <row r="205" spans="1:121" x14ac:dyDescent="0.3">
      <c r="A205" t="s">
        <v>28</v>
      </c>
      <c r="B205" t="s">
        <v>42</v>
      </c>
      <c r="C205" t="s">
        <v>87</v>
      </c>
      <c r="D205" t="s">
        <v>329</v>
      </c>
      <c r="E205" t="s">
        <v>568</v>
      </c>
      <c r="F205" s="86">
        <v>60000</v>
      </c>
      <c r="G205" s="87">
        <v>12</v>
      </c>
      <c r="H205" s="88">
        <v>1</v>
      </c>
      <c r="I205" s="88">
        <v>1</v>
      </c>
      <c r="J205" s="89">
        <v>0.88800419401896435</v>
      </c>
      <c r="K205" s="88">
        <v>1</v>
      </c>
      <c r="L205" s="88">
        <v>1.0135087267175451</v>
      </c>
      <c r="M205" s="88">
        <v>1</v>
      </c>
      <c r="N205" s="90">
        <v>0.62</v>
      </c>
      <c r="O205" s="90">
        <v>0.62837541056487767</v>
      </c>
      <c r="P205" s="90">
        <v>0.63312421214248316</v>
      </c>
      <c r="Q205" s="91">
        <v>0</v>
      </c>
      <c r="R205" s="88">
        <v>1</v>
      </c>
      <c r="S205" s="88">
        <v>1.0211680841007791</v>
      </c>
      <c r="T205" s="91">
        <v>0</v>
      </c>
      <c r="U205" s="91">
        <v>0</v>
      </c>
      <c r="V205" s="87">
        <v>0</v>
      </c>
      <c r="W205" s="91">
        <v>0</v>
      </c>
      <c r="X205" s="87">
        <v>1</v>
      </c>
      <c r="Y205" s="90">
        <v>0.62837541056487767</v>
      </c>
      <c r="Z205" s="90">
        <v>0.63312421214248316</v>
      </c>
      <c r="AA205" s="92">
        <v>0</v>
      </c>
      <c r="AB205" s="88">
        <v>0</v>
      </c>
      <c r="AC205" s="87">
        <v>0</v>
      </c>
      <c r="AD205" s="87">
        <v>0</v>
      </c>
      <c r="AE205" s="88">
        <v>1</v>
      </c>
      <c r="AF205" s="88">
        <v>0.99104602551311949</v>
      </c>
      <c r="AG205" s="88">
        <v>0.99104602551311949</v>
      </c>
      <c r="AH205" s="88">
        <v>60000</v>
      </c>
      <c r="AI205" s="88">
        <v>60000</v>
      </c>
      <c r="AJ205" s="88">
        <v>53280.25164113786</v>
      </c>
      <c r="AK205" s="88">
        <v>60000</v>
      </c>
      <c r="AL205" s="88">
        <v>60810.523603052679</v>
      </c>
      <c r="AM205" s="88">
        <v>60000</v>
      </c>
      <c r="AN205" s="88">
        <v>37200</v>
      </c>
      <c r="AO205" s="88">
        <v>37702.524633892659</v>
      </c>
      <c r="AP205" s="88">
        <v>37987.452728548989</v>
      </c>
      <c r="AQ205" s="88">
        <v>0</v>
      </c>
      <c r="AR205" s="88">
        <v>60000</v>
      </c>
      <c r="AS205" s="88">
        <v>61270.085046046763</v>
      </c>
      <c r="AT205" s="88">
        <v>37702.524633892659</v>
      </c>
      <c r="AU205" s="88">
        <v>37987.452728548989</v>
      </c>
      <c r="AV205" s="88">
        <v>54000</v>
      </c>
      <c r="AW205" s="88">
        <v>53400</v>
      </c>
      <c r="AX205" s="88">
        <v>52800</v>
      </c>
      <c r="AY205" s="88">
        <v>60000</v>
      </c>
      <c r="AZ205" s="88">
        <v>60000</v>
      </c>
      <c r="BA205" s="88">
        <v>60000</v>
      </c>
      <c r="BB205" s="88">
        <v>60000</v>
      </c>
      <c r="BC205" s="88">
        <v>60000</v>
      </c>
      <c r="BD205" s="88">
        <v>60000</v>
      </c>
      <c r="BE205" s="88">
        <v>60000</v>
      </c>
      <c r="BF205" s="88">
        <v>60000</v>
      </c>
      <c r="BG205" s="88">
        <v>60000</v>
      </c>
      <c r="BH205" s="88">
        <v>60000</v>
      </c>
      <c r="BI205" s="88">
        <v>60000</v>
      </c>
      <c r="BJ205" s="88">
        <v>60000</v>
      </c>
      <c r="BK205" s="88">
        <v>-535.05332209476728</v>
      </c>
      <c r="BL205" s="88">
        <v>-535.43923131463384</v>
      </c>
      <c r="BM205" s="88">
        <v>-535.82569761325033</v>
      </c>
      <c r="BN205" s="88">
        <v>-536.22585147278471</v>
      </c>
      <c r="BO205" s="88">
        <v>-536.62660344764299</v>
      </c>
      <c r="BP205" s="88">
        <v>-537.02795487983849</v>
      </c>
      <c r="BQ205" s="88">
        <v>-537.42990711542097</v>
      </c>
      <c r="BR205" s="88">
        <v>-537.83906578091626</v>
      </c>
      <c r="BS205" s="88">
        <v>-538.24223358237998</v>
      </c>
      <c r="BT205" s="88">
        <v>-538.6460062719101</v>
      </c>
      <c r="BU205" s="88">
        <v>-539.05038521180336</v>
      </c>
      <c r="BV205" s="88">
        <v>-539.45537176850689</v>
      </c>
      <c r="BW205" s="88">
        <v>0</v>
      </c>
      <c r="BX205" s="88">
        <v>0</v>
      </c>
      <c r="BY205" s="88">
        <v>0</v>
      </c>
      <c r="BZ205" s="88">
        <v>0</v>
      </c>
      <c r="CA205" s="88">
        <v>0</v>
      </c>
      <c r="CB205" s="88">
        <v>0</v>
      </c>
      <c r="CC205" s="88">
        <v>0</v>
      </c>
      <c r="CD205" s="88">
        <v>0</v>
      </c>
      <c r="CE205" s="88">
        <v>0</v>
      </c>
      <c r="CF205" s="88">
        <v>0</v>
      </c>
      <c r="CG205" s="88">
        <v>0</v>
      </c>
      <c r="CH205" s="88">
        <v>0</v>
      </c>
      <c r="CI205" s="88">
        <v>60000</v>
      </c>
      <c r="CJ205" s="88">
        <v>60000</v>
      </c>
      <c r="CK205" s="88">
        <v>60000</v>
      </c>
      <c r="CL205" s="88">
        <v>60000</v>
      </c>
      <c r="CM205" s="88">
        <v>60000</v>
      </c>
      <c r="CN205" s="88">
        <v>60000</v>
      </c>
      <c r="CO205" s="88">
        <v>60000</v>
      </c>
      <c r="CP205" s="88">
        <v>60000</v>
      </c>
      <c r="CQ205" s="88">
        <v>60000</v>
      </c>
      <c r="CR205" s="88">
        <v>60000</v>
      </c>
      <c r="CS205" s="88">
        <v>60000</v>
      </c>
      <c r="CT205" s="88">
        <v>60000</v>
      </c>
      <c r="CU205" s="88">
        <v>-535.05332209476728</v>
      </c>
      <c r="CV205" s="88">
        <v>-535.43923131463384</v>
      </c>
      <c r="CW205" s="88">
        <v>-535.82569761325033</v>
      </c>
      <c r="CX205" s="88">
        <v>-536.22585147278471</v>
      </c>
      <c r="CY205" s="88">
        <v>-536.62660344764299</v>
      </c>
      <c r="CZ205" s="88">
        <v>-537.02795487983849</v>
      </c>
      <c r="DA205" s="88">
        <v>-537.42990711542097</v>
      </c>
      <c r="DB205" s="88">
        <v>-537.83906578091626</v>
      </c>
      <c r="DC205" s="88">
        <v>-538.24223358237998</v>
      </c>
      <c r="DD205" s="88">
        <v>-538.6460062719101</v>
      </c>
      <c r="DE205" s="88">
        <v>-539.05038521180336</v>
      </c>
      <c r="DF205" s="88">
        <v>-539.45537176850689</v>
      </c>
      <c r="DG205" s="93"/>
      <c r="DH205" s="91"/>
      <c r="DJ205" s="93"/>
      <c r="DK205" s="91"/>
      <c r="DM205" s="93"/>
      <c r="DN205" s="91"/>
      <c r="DP205" s="93"/>
      <c r="DQ205" s="91"/>
    </row>
    <row r="206" spans="1:121" x14ac:dyDescent="0.3">
      <c r="A206" t="s">
        <v>28</v>
      </c>
      <c r="B206" t="s">
        <v>42</v>
      </c>
      <c r="C206" t="s">
        <v>89</v>
      </c>
      <c r="D206" t="s">
        <v>331</v>
      </c>
      <c r="E206" t="s">
        <v>569</v>
      </c>
      <c r="F206" s="86">
        <v>48000</v>
      </c>
      <c r="G206" s="87">
        <v>12</v>
      </c>
      <c r="H206" s="88">
        <v>1.02</v>
      </c>
      <c r="I206" s="88">
        <v>1.0193749999999999</v>
      </c>
      <c r="J206" s="89">
        <v>0.89099790299051795</v>
      </c>
      <c r="K206" s="88">
        <v>1.000613120784795</v>
      </c>
      <c r="L206" s="88">
        <v>1.010103387425793</v>
      </c>
      <c r="M206" s="88">
        <v>1</v>
      </c>
      <c r="N206" s="90">
        <v>0.60399999999999998</v>
      </c>
      <c r="O206" s="90">
        <v>0.61047651249567869</v>
      </c>
      <c r="P206" s="90">
        <v>0.60783056294077487</v>
      </c>
      <c r="Q206" s="91">
        <v>0</v>
      </c>
      <c r="R206" s="88">
        <v>1</v>
      </c>
      <c r="S206" s="88">
        <v>1.006341991623799</v>
      </c>
      <c r="T206" s="91">
        <v>-6.1274509803932453E-4</v>
      </c>
      <c r="U206" s="91">
        <v>6.1312078479458521E-4</v>
      </c>
      <c r="V206" s="87">
        <v>0</v>
      </c>
      <c r="W206" s="91">
        <v>0</v>
      </c>
      <c r="X206" s="87">
        <v>1</v>
      </c>
      <c r="Y206" s="90">
        <v>0.61047651249567869</v>
      </c>
      <c r="Z206" s="90">
        <v>0.60783056294077487</v>
      </c>
      <c r="AA206" s="92">
        <v>0</v>
      </c>
      <c r="AB206" s="88">
        <v>0</v>
      </c>
      <c r="AC206" s="87">
        <v>1</v>
      </c>
      <c r="AD206" s="87">
        <v>0</v>
      </c>
      <c r="AE206" s="88">
        <v>1.0049999999999999</v>
      </c>
      <c r="AF206" s="88">
        <v>1.004492054902975</v>
      </c>
      <c r="AG206" s="88">
        <v>1.009514552994162</v>
      </c>
      <c r="AH206" s="88">
        <v>48960</v>
      </c>
      <c r="AI206" s="88">
        <v>48929.999999999993</v>
      </c>
      <c r="AJ206" s="88">
        <v>42767.899343544857</v>
      </c>
      <c r="AK206" s="88">
        <v>48029.429797670149</v>
      </c>
      <c r="AL206" s="88">
        <v>48484.962596438047</v>
      </c>
      <c r="AM206" s="88">
        <v>48000</v>
      </c>
      <c r="AN206" s="88">
        <v>28992</v>
      </c>
      <c r="AO206" s="88">
        <v>29302.872599792579</v>
      </c>
      <c r="AP206" s="88">
        <v>29175.867021157199</v>
      </c>
      <c r="AQ206" s="88">
        <v>0</v>
      </c>
      <c r="AR206" s="88">
        <v>48000.000000000007</v>
      </c>
      <c r="AS206" s="88">
        <v>48304.415597942359</v>
      </c>
      <c r="AT206" s="88">
        <v>29302.872599792579</v>
      </c>
      <c r="AU206" s="88">
        <v>29175.867021157199</v>
      </c>
      <c r="AV206" s="88">
        <v>43200</v>
      </c>
      <c r="AW206" s="88">
        <v>42720</v>
      </c>
      <c r="AX206" s="88">
        <v>42960</v>
      </c>
      <c r="AY206" s="88">
        <v>48000</v>
      </c>
      <c r="AZ206" s="88">
        <v>48000</v>
      </c>
      <c r="BA206" s="88">
        <v>48000</v>
      </c>
      <c r="BB206" s="88">
        <v>48000</v>
      </c>
      <c r="BC206" s="88">
        <v>48000</v>
      </c>
      <c r="BD206" s="88">
        <v>48000</v>
      </c>
      <c r="BE206" s="88">
        <v>48000</v>
      </c>
      <c r="BF206" s="88">
        <v>48000</v>
      </c>
      <c r="BG206" s="88">
        <v>48000</v>
      </c>
      <c r="BH206" s="88">
        <v>48000</v>
      </c>
      <c r="BI206" s="88">
        <v>48000</v>
      </c>
      <c r="BJ206" s="88">
        <v>48000</v>
      </c>
      <c r="BK206" s="88">
        <v>1180.3814350986879</v>
      </c>
      <c r="BL206" s="88">
        <v>1180.3012894795229</v>
      </c>
      <c r="BM206" s="88">
        <v>1180.221202131921</v>
      </c>
      <c r="BN206" s="88">
        <v>215.82202074453599</v>
      </c>
      <c r="BO206" s="88">
        <v>215.74096307652371</v>
      </c>
      <c r="BP206" s="88">
        <v>215.65996627235859</v>
      </c>
      <c r="BQ206" s="88">
        <v>215.579030263509</v>
      </c>
      <c r="BR206" s="88">
        <v>215.49682966279349</v>
      </c>
      <c r="BS206" s="88">
        <v>215.41601603325589</v>
      </c>
      <c r="BT206" s="88">
        <v>215.33526299293729</v>
      </c>
      <c r="BU206" s="88">
        <v>215.2545704737534</v>
      </c>
      <c r="BV206" s="88">
        <v>215.17393840768409</v>
      </c>
      <c r="BW206" s="88">
        <v>960.00000000000091</v>
      </c>
      <c r="BX206" s="88">
        <v>960.00000000000091</v>
      </c>
      <c r="BY206" s="88">
        <v>960.00000000000091</v>
      </c>
      <c r="BZ206" s="88">
        <v>0</v>
      </c>
      <c r="CA206" s="88">
        <v>0</v>
      </c>
      <c r="CB206" s="88">
        <v>0</v>
      </c>
      <c r="CC206" s="88">
        <v>0</v>
      </c>
      <c r="CD206" s="88">
        <v>0</v>
      </c>
      <c r="CE206" s="88">
        <v>0</v>
      </c>
      <c r="CF206" s="88">
        <v>0</v>
      </c>
      <c r="CG206" s="88">
        <v>0</v>
      </c>
      <c r="CH206" s="88">
        <v>0</v>
      </c>
      <c r="CI206" s="88">
        <v>48000</v>
      </c>
      <c r="CJ206" s="88">
        <v>48000</v>
      </c>
      <c r="CK206" s="88">
        <v>48000</v>
      </c>
      <c r="CL206" s="88">
        <v>48000</v>
      </c>
      <c r="CM206" s="88">
        <v>48000</v>
      </c>
      <c r="CN206" s="88">
        <v>48000</v>
      </c>
      <c r="CO206" s="88">
        <v>48000</v>
      </c>
      <c r="CP206" s="88">
        <v>48000</v>
      </c>
      <c r="CQ206" s="88">
        <v>48000</v>
      </c>
      <c r="CR206" s="88">
        <v>48000</v>
      </c>
      <c r="CS206" s="88">
        <v>48000</v>
      </c>
      <c r="CT206" s="88">
        <v>48000</v>
      </c>
      <c r="CU206" s="88">
        <v>216.0602304889139</v>
      </c>
      <c r="CV206" s="88">
        <v>215.9816563524686</v>
      </c>
      <c r="CW206" s="88">
        <v>215.9031393450235</v>
      </c>
      <c r="CX206" s="88">
        <v>215.82202074453599</v>
      </c>
      <c r="CY206" s="88">
        <v>215.74096307652371</v>
      </c>
      <c r="CZ206" s="88">
        <v>215.65996627235859</v>
      </c>
      <c r="DA206" s="88">
        <v>215.579030263509</v>
      </c>
      <c r="DB206" s="88">
        <v>215.49682966279349</v>
      </c>
      <c r="DC206" s="88">
        <v>215.41601603325589</v>
      </c>
      <c r="DD206" s="88">
        <v>215.33526299293729</v>
      </c>
      <c r="DE206" s="88">
        <v>215.2545704737534</v>
      </c>
      <c r="DF206" s="88">
        <v>215.17393840768409</v>
      </c>
      <c r="DG206" s="93">
        <v>46113</v>
      </c>
      <c r="DH206" s="91">
        <v>0.02</v>
      </c>
      <c r="DI206" t="s">
        <v>301</v>
      </c>
      <c r="DJ206" s="93"/>
      <c r="DK206" s="91"/>
      <c r="DM206" s="93"/>
      <c r="DN206" s="91"/>
      <c r="DP206" s="93"/>
      <c r="DQ206" s="91"/>
    </row>
    <row r="207" spans="1:121" x14ac:dyDescent="0.3">
      <c r="A207" t="s">
        <v>28</v>
      </c>
      <c r="B207" t="s">
        <v>42</v>
      </c>
      <c r="C207" t="s">
        <v>91</v>
      </c>
      <c r="D207" t="s">
        <v>333</v>
      </c>
      <c r="E207" t="s">
        <v>570</v>
      </c>
      <c r="F207" s="86">
        <v>36000</v>
      </c>
      <c r="G207" s="87">
        <v>12</v>
      </c>
      <c r="H207" s="88">
        <v>1.03</v>
      </c>
      <c r="I207" s="88">
        <v>1.028333333333334</v>
      </c>
      <c r="J207" s="89">
        <v>0.89399161196207155</v>
      </c>
      <c r="K207" s="88">
        <v>1.00162074554295</v>
      </c>
      <c r="L207" s="88">
        <v>1.00672085504778</v>
      </c>
      <c r="M207" s="88">
        <v>1</v>
      </c>
      <c r="N207" s="90">
        <v>0.58799999999999997</v>
      </c>
      <c r="O207" s="90">
        <v>0.59291126611131684</v>
      </c>
      <c r="P207" s="90">
        <v>0.58326086758093709</v>
      </c>
      <c r="Q207" s="91">
        <v>0</v>
      </c>
      <c r="R207" s="88">
        <v>0.99999999999999978</v>
      </c>
      <c r="S207" s="88">
        <v>0.99194025098798855</v>
      </c>
      <c r="T207" s="91">
        <v>-1.618122977346093E-3</v>
      </c>
      <c r="U207" s="91">
        <v>1.620745542949775E-3</v>
      </c>
      <c r="V207" s="87">
        <v>0</v>
      </c>
      <c r="W207" s="91">
        <v>0</v>
      </c>
      <c r="X207" s="87">
        <v>1</v>
      </c>
      <c r="Y207" s="90">
        <v>0.59291126611131684</v>
      </c>
      <c r="Z207" s="90">
        <v>0.58326086758093709</v>
      </c>
      <c r="AA207" s="92">
        <v>0</v>
      </c>
      <c r="AB207" s="88">
        <v>0</v>
      </c>
      <c r="AC207" s="87">
        <v>1</v>
      </c>
      <c r="AD207" s="87">
        <v>0</v>
      </c>
      <c r="AE207" s="88">
        <v>1.01</v>
      </c>
      <c r="AF207" s="88">
        <v>1.0180294435905091</v>
      </c>
      <c r="AG207" s="88">
        <v>1.028210824066355</v>
      </c>
      <c r="AH207" s="88">
        <v>37080</v>
      </c>
      <c r="AI207" s="88">
        <v>37020.000000000007</v>
      </c>
      <c r="AJ207" s="88">
        <v>32183.698030634579</v>
      </c>
      <c r="AK207" s="88">
        <v>36058.346839546182</v>
      </c>
      <c r="AL207" s="88">
        <v>36241.950781720087</v>
      </c>
      <c r="AM207" s="88">
        <v>36000</v>
      </c>
      <c r="AN207" s="88">
        <v>21168</v>
      </c>
      <c r="AO207" s="88">
        <v>21344.805580007411</v>
      </c>
      <c r="AP207" s="88">
        <v>20997.391232913731</v>
      </c>
      <c r="AQ207" s="88">
        <v>0</v>
      </c>
      <c r="AR207" s="88">
        <v>35999.999999999993</v>
      </c>
      <c r="AS207" s="88">
        <v>35709.849035567589</v>
      </c>
      <c r="AT207" s="88">
        <v>21344.805580007411</v>
      </c>
      <c r="AU207" s="88">
        <v>20997.391232913731</v>
      </c>
      <c r="AV207" s="88">
        <v>32400</v>
      </c>
      <c r="AW207" s="88">
        <v>32040</v>
      </c>
      <c r="AX207" s="88">
        <v>32760</v>
      </c>
      <c r="AY207" s="88">
        <v>36000</v>
      </c>
      <c r="AZ207" s="88">
        <v>36000</v>
      </c>
      <c r="BA207" s="88">
        <v>36000</v>
      </c>
      <c r="BB207" s="88">
        <v>36000</v>
      </c>
      <c r="BC207" s="88">
        <v>36000</v>
      </c>
      <c r="BD207" s="88">
        <v>36000</v>
      </c>
      <c r="BE207" s="88">
        <v>36000</v>
      </c>
      <c r="BF207" s="88">
        <v>36000</v>
      </c>
      <c r="BG207" s="88">
        <v>36000</v>
      </c>
      <c r="BH207" s="88">
        <v>36000</v>
      </c>
      <c r="BI207" s="88">
        <v>36000</v>
      </c>
      <c r="BJ207" s="88">
        <v>36000</v>
      </c>
      <c r="BK207" s="88">
        <v>1754.047512326317</v>
      </c>
      <c r="BL207" s="88">
        <v>1753.058656786937</v>
      </c>
      <c r="BM207" s="88">
        <v>1752.0726983811701</v>
      </c>
      <c r="BN207" s="88">
        <v>1751.056350249147</v>
      </c>
      <c r="BO207" s="88">
        <v>650.52725382444623</v>
      </c>
      <c r="BP207" s="88">
        <v>649.54645443535685</v>
      </c>
      <c r="BQ207" s="88">
        <v>648.56860809476927</v>
      </c>
      <c r="BR207" s="88">
        <v>647.57774382731714</v>
      </c>
      <c r="BS207" s="88">
        <v>646.6058115788735</v>
      </c>
      <c r="BT207" s="88">
        <v>645.63679245282924</v>
      </c>
      <c r="BU207" s="88">
        <v>644.67067337176513</v>
      </c>
      <c r="BV207" s="88">
        <v>643.70744133639948</v>
      </c>
      <c r="BW207" s="88">
        <v>1080.0000000000009</v>
      </c>
      <c r="BX207" s="88">
        <v>1080.0000000000009</v>
      </c>
      <c r="BY207" s="88">
        <v>1080.0000000000009</v>
      </c>
      <c r="BZ207" s="88">
        <v>1080.0000000000009</v>
      </c>
      <c r="CA207" s="88">
        <v>0</v>
      </c>
      <c r="CB207" s="88">
        <v>0</v>
      </c>
      <c r="CC207" s="88">
        <v>0</v>
      </c>
      <c r="CD207" s="88">
        <v>0</v>
      </c>
      <c r="CE207" s="88">
        <v>0</v>
      </c>
      <c r="CF207" s="88">
        <v>0</v>
      </c>
      <c r="CG207" s="88">
        <v>0</v>
      </c>
      <c r="CH207" s="88">
        <v>0</v>
      </c>
      <c r="CI207" s="88">
        <v>36000</v>
      </c>
      <c r="CJ207" s="88">
        <v>36000</v>
      </c>
      <c r="CK207" s="88">
        <v>36000</v>
      </c>
      <c r="CL207" s="88">
        <v>36000</v>
      </c>
      <c r="CM207" s="88">
        <v>36000</v>
      </c>
      <c r="CN207" s="88">
        <v>36000</v>
      </c>
      <c r="CO207" s="88">
        <v>36000</v>
      </c>
      <c r="CP207" s="88">
        <v>36000</v>
      </c>
      <c r="CQ207" s="88">
        <v>36000</v>
      </c>
      <c r="CR207" s="88">
        <v>36000</v>
      </c>
      <c r="CS207" s="88">
        <v>36000</v>
      </c>
      <c r="CT207" s="88">
        <v>36000</v>
      </c>
      <c r="CU207" s="88">
        <v>654.41506051098486</v>
      </c>
      <c r="CV207" s="88">
        <v>653.4550065892555</v>
      </c>
      <c r="CW207" s="88">
        <v>652.49776541861411</v>
      </c>
      <c r="CX207" s="88">
        <v>651.51101965936857</v>
      </c>
      <c r="CY207" s="88">
        <v>650.52725382444623</v>
      </c>
      <c r="CZ207" s="88">
        <v>649.54645443535685</v>
      </c>
      <c r="DA207" s="88">
        <v>648.56860809476927</v>
      </c>
      <c r="DB207" s="88">
        <v>647.57774382731714</v>
      </c>
      <c r="DC207" s="88">
        <v>646.6058115788735</v>
      </c>
      <c r="DD207" s="88">
        <v>645.63679245282924</v>
      </c>
      <c r="DE207" s="88">
        <v>644.67067337176513</v>
      </c>
      <c r="DF207" s="88">
        <v>643.70744133639948</v>
      </c>
      <c r="DG207" s="93">
        <v>46143</v>
      </c>
      <c r="DH207" s="91">
        <v>0.03</v>
      </c>
      <c r="DI207" t="s">
        <v>301</v>
      </c>
      <c r="DJ207" s="93"/>
      <c r="DK207" s="91"/>
      <c r="DM207" s="93"/>
      <c r="DN207" s="91"/>
      <c r="DP207" s="93"/>
      <c r="DQ207" s="91"/>
    </row>
    <row r="208" spans="1:121" x14ac:dyDescent="0.3">
      <c r="A208" t="s">
        <v>28</v>
      </c>
      <c r="B208" t="s">
        <v>42</v>
      </c>
      <c r="C208" t="s">
        <v>92</v>
      </c>
      <c r="D208" t="s">
        <v>335</v>
      </c>
      <c r="E208" t="s">
        <v>571</v>
      </c>
      <c r="F208" s="86">
        <v>24000</v>
      </c>
      <c r="G208" s="87">
        <v>12</v>
      </c>
      <c r="H208" s="88">
        <v>1</v>
      </c>
      <c r="I208" s="88">
        <v>1.0034722222222221</v>
      </c>
      <c r="J208" s="89">
        <v>0.89000000000000024</v>
      </c>
      <c r="K208" s="88">
        <v>0.9965397923875432</v>
      </c>
      <c r="L208" s="88">
        <v>1.01123595505618</v>
      </c>
      <c r="M208" s="88">
        <v>1</v>
      </c>
      <c r="N208" s="90">
        <v>0.61599999999999999</v>
      </c>
      <c r="O208" s="90">
        <v>0.62076591112320656</v>
      </c>
      <c r="P208" s="90">
        <v>0.6029081473135055</v>
      </c>
      <c r="Q208" s="91">
        <v>0</v>
      </c>
      <c r="R208" s="88">
        <v>0.9678720258099206</v>
      </c>
      <c r="S208" s="88">
        <v>1.01123595505618</v>
      </c>
      <c r="T208" s="91">
        <v>3.4722222222223209E-3</v>
      </c>
      <c r="U208" s="91">
        <v>2.9619377162629631E-2</v>
      </c>
      <c r="V208" s="87">
        <v>0</v>
      </c>
      <c r="W208" s="91">
        <v>0</v>
      </c>
      <c r="X208" s="87">
        <v>1</v>
      </c>
      <c r="Y208" s="90">
        <v>0.62076591112320656</v>
      </c>
      <c r="Z208" s="90">
        <v>0.6029081473135055</v>
      </c>
      <c r="AA208" s="92">
        <v>0</v>
      </c>
      <c r="AB208" s="88">
        <v>0</v>
      </c>
      <c r="AC208" s="87">
        <v>0</v>
      </c>
      <c r="AD208" s="87">
        <v>1</v>
      </c>
      <c r="AE208" s="88">
        <v>1.0166666666666659</v>
      </c>
      <c r="AF208" s="88">
        <v>1</v>
      </c>
      <c r="AG208" s="88">
        <v>1.0166666666666659</v>
      </c>
      <c r="AH208" s="88">
        <v>24000</v>
      </c>
      <c r="AI208" s="88">
        <v>24083.333333333339</v>
      </c>
      <c r="AJ208" s="88">
        <v>21360.000000000011</v>
      </c>
      <c r="AK208" s="88">
        <v>23916.955017301039</v>
      </c>
      <c r="AL208" s="88">
        <v>24269.66292134831</v>
      </c>
      <c r="AM208" s="88">
        <v>24000</v>
      </c>
      <c r="AN208" s="88">
        <v>14784</v>
      </c>
      <c r="AO208" s="88">
        <v>14898.381866956959</v>
      </c>
      <c r="AP208" s="88">
        <v>14469.79553552413</v>
      </c>
      <c r="AQ208" s="88">
        <v>0</v>
      </c>
      <c r="AR208" s="88">
        <v>23228.928619438091</v>
      </c>
      <c r="AS208" s="88">
        <v>24269.66292134831</v>
      </c>
      <c r="AT208" s="88">
        <v>14898.381866956959</v>
      </c>
      <c r="AU208" s="88">
        <v>14469.79553552413</v>
      </c>
      <c r="AV208" s="88">
        <v>21600</v>
      </c>
      <c r="AW208" s="88">
        <v>21360</v>
      </c>
      <c r="AX208" s="88">
        <v>21360</v>
      </c>
      <c r="AY208" s="88">
        <v>24000</v>
      </c>
      <c r="AZ208" s="88">
        <v>24000</v>
      </c>
      <c r="BA208" s="88">
        <v>24000</v>
      </c>
      <c r="BB208" s="88">
        <v>24000</v>
      </c>
      <c r="BC208" s="88">
        <v>24000</v>
      </c>
      <c r="BD208" s="88">
        <v>24000</v>
      </c>
      <c r="BE208" s="88">
        <v>24000</v>
      </c>
      <c r="BF208" s="88">
        <v>24000</v>
      </c>
      <c r="BG208" s="88">
        <v>24000</v>
      </c>
      <c r="BH208" s="88">
        <v>24000</v>
      </c>
      <c r="BI208" s="88">
        <v>24000</v>
      </c>
      <c r="BJ208" s="88">
        <v>24000</v>
      </c>
      <c r="BK208" s="88">
        <v>0</v>
      </c>
      <c r="BL208" s="88">
        <v>0</v>
      </c>
      <c r="BM208" s="88">
        <v>0</v>
      </c>
      <c r="BN208" s="88">
        <v>0</v>
      </c>
      <c r="BO208" s="88">
        <v>0</v>
      </c>
      <c r="BP208" s="88">
        <v>0</v>
      </c>
      <c r="BQ208" s="88">
        <v>0</v>
      </c>
      <c r="BR208" s="88">
        <v>960.00000000000091</v>
      </c>
      <c r="BS208" s="88">
        <v>960.00000000000091</v>
      </c>
      <c r="BT208" s="88">
        <v>960.00000000000091</v>
      </c>
      <c r="BU208" s="88">
        <v>960.00000000000091</v>
      </c>
      <c r="BV208" s="88">
        <v>960.00000000000091</v>
      </c>
      <c r="BW208" s="88">
        <v>0</v>
      </c>
      <c r="BX208" s="88">
        <v>0</v>
      </c>
      <c r="BY208" s="88">
        <v>0</v>
      </c>
      <c r="BZ208" s="88">
        <v>0</v>
      </c>
      <c r="CA208" s="88">
        <v>0</v>
      </c>
      <c r="CB208" s="88">
        <v>0</v>
      </c>
      <c r="CC208" s="88">
        <v>0</v>
      </c>
      <c r="CD208" s="88">
        <v>960.00000000000091</v>
      </c>
      <c r="CE208" s="88">
        <v>960.00000000000091</v>
      </c>
      <c r="CF208" s="88">
        <v>960.00000000000091</v>
      </c>
      <c r="CG208" s="88">
        <v>960.00000000000091</v>
      </c>
      <c r="CH208" s="88">
        <v>960.00000000000091</v>
      </c>
      <c r="CI208" s="88">
        <v>24000</v>
      </c>
      <c r="CJ208" s="88">
        <v>24000</v>
      </c>
      <c r="CK208" s="88">
        <v>24000</v>
      </c>
      <c r="CL208" s="88">
        <v>24000</v>
      </c>
      <c r="CM208" s="88">
        <v>24000</v>
      </c>
      <c r="CN208" s="88">
        <v>24000</v>
      </c>
      <c r="CO208" s="88">
        <v>24000</v>
      </c>
      <c r="CP208" s="88">
        <v>24000</v>
      </c>
      <c r="CQ208" s="88">
        <v>24000</v>
      </c>
      <c r="CR208" s="88">
        <v>24000</v>
      </c>
      <c r="CS208" s="88">
        <v>24000</v>
      </c>
      <c r="CT208" s="88">
        <v>24000</v>
      </c>
      <c r="CU208" s="88">
        <v>0</v>
      </c>
      <c r="CV208" s="88">
        <v>0</v>
      </c>
      <c r="CW208" s="88">
        <v>0</v>
      </c>
      <c r="CX208" s="88">
        <v>0</v>
      </c>
      <c r="CY208" s="88">
        <v>0</v>
      </c>
      <c r="CZ208" s="88">
        <v>0</v>
      </c>
      <c r="DA208" s="88">
        <v>0</v>
      </c>
      <c r="DB208" s="88">
        <v>0</v>
      </c>
      <c r="DC208" s="88">
        <v>0</v>
      </c>
      <c r="DD208" s="88">
        <v>0</v>
      </c>
      <c r="DE208" s="88">
        <v>0</v>
      </c>
      <c r="DF208" s="88">
        <v>0</v>
      </c>
      <c r="DG208" s="93">
        <v>46600</v>
      </c>
      <c r="DH208" s="91">
        <v>0.04</v>
      </c>
      <c r="DI208" t="s">
        <v>302</v>
      </c>
      <c r="DJ208" s="93"/>
      <c r="DK208" s="91"/>
      <c r="DM208" s="93"/>
      <c r="DN208" s="91"/>
      <c r="DP208" s="93"/>
      <c r="DQ208" s="91"/>
    </row>
    <row r="209" spans="1:121" x14ac:dyDescent="0.3">
      <c r="A209" t="s">
        <v>28</v>
      </c>
      <c r="B209" t="s">
        <v>42</v>
      </c>
      <c r="C209" t="s">
        <v>94</v>
      </c>
      <c r="D209" t="s">
        <v>337</v>
      </c>
      <c r="E209" t="s">
        <v>572</v>
      </c>
      <c r="F209" s="86">
        <v>63000</v>
      </c>
      <c r="G209" s="87">
        <v>12</v>
      </c>
      <c r="H209" s="88">
        <v>1.05</v>
      </c>
      <c r="I209" s="88">
        <v>1.04375</v>
      </c>
      <c r="J209" s="89">
        <v>0.89299370897155361</v>
      </c>
      <c r="K209" s="88">
        <v>1.005988023952096</v>
      </c>
      <c r="L209" s="88">
        <v>1.0078458458979691</v>
      </c>
      <c r="M209" s="88">
        <v>1</v>
      </c>
      <c r="N209" s="90">
        <v>0.6</v>
      </c>
      <c r="O209" s="90">
        <v>0.6083285105779358</v>
      </c>
      <c r="P209" s="90">
        <v>0.59801688659715091</v>
      </c>
      <c r="Q209" s="91">
        <v>0</v>
      </c>
      <c r="R209" s="88">
        <v>1</v>
      </c>
      <c r="S209" s="88">
        <v>0.99669481099525148</v>
      </c>
      <c r="T209" s="91">
        <v>-5.9523809523810423E-3</v>
      </c>
      <c r="U209" s="91">
        <v>5.9880239520959666E-3</v>
      </c>
      <c r="V209" s="87">
        <v>0</v>
      </c>
      <c r="W209" s="91">
        <v>0</v>
      </c>
      <c r="X209" s="87">
        <v>1</v>
      </c>
      <c r="Y209" s="90">
        <v>0.6083285105779358</v>
      </c>
      <c r="Z209" s="90">
        <v>0.59801688659715091</v>
      </c>
      <c r="AA209" s="92">
        <v>0</v>
      </c>
      <c r="AB209" s="88">
        <v>0</v>
      </c>
      <c r="AC209" s="87">
        <v>1</v>
      </c>
      <c r="AD209" s="87">
        <v>0</v>
      </c>
      <c r="AE209" s="88">
        <v>1.0249999999999999</v>
      </c>
      <c r="AF209" s="88">
        <v>1.0135066962933139</v>
      </c>
      <c r="AG209" s="88">
        <v>1.0388455064696029</v>
      </c>
      <c r="AH209" s="88">
        <v>66150</v>
      </c>
      <c r="AI209" s="88">
        <v>65756.25</v>
      </c>
      <c r="AJ209" s="88">
        <v>56258.603665207876</v>
      </c>
      <c r="AK209" s="88">
        <v>63377.245508982043</v>
      </c>
      <c r="AL209" s="88">
        <v>63494.28829157204</v>
      </c>
      <c r="AM209" s="88">
        <v>63000</v>
      </c>
      <c r="AN209" s="88">
        <v>37800</v>
      </c>
      <c r="AO209" s="88">
        <v>38324.696166409958</v>
      </c>
      <c r="AP209" s="88">
        <v>37675.063855620509</v>
      </c>
      <c r="AQ209" s="88">
        <v>0</v>
      </c>
      <c r="AR209" s="88">
        <v>63000</v>
      </c>
      <c r="AS209" s="88">
        <v>62791.773092700852</v>
      </c>
      <c r="AT209" s="88">
        <v>38324.696166409958</v>
      </c>
      <c r="AU209" s="88">
        <v>37675.063855620509</v>
      </c>
      <c r="AV209" s="88">
        <v>56700</v>
      </c>
      <c r="AW209" s="88">
        <v>56070</v>
      </c>
      <c r="AX209" s="88">
        <v>57015</v>
      </c>
      <c r="AY209" s="88">
        <v>63000</v>
      </c>
      <c r="AZ209" s="88">
        <v>63000</v>
      </c>
      <c r="BA209" s="88">
        <v>63000</v>
      </c>
      <c r="BB209" s="88">
        <v>63000</v>
      </c>
      <c r="BC209" s="88">
        <v>63000</v>
      </c>
      <c r="BD209" s="88">
        <v>63000</v>
      </c>
      <c r="BE209" s="88">
        <v>63000</v>
      </c>
      <c r="BF209" s="88">
        <v>63000</v>
      </c>
      <c r="BG209" s="88">
        <v>63000</v>
      </c>
      <c r="BH209" s="88">
        <v>63000</v>
      </c>
      <c r="BI209" s="88">
        <v>63000</v>
      </c>
      <c r="BJ209" s="88">
        <v>63000</v>
      </c>
      <c r="BK209" s="88">
        <v>4048.9835367707769</v>
      </c>
      <c r="BL209" s="88">
        <v>4047.9971981850258</v>
      </c>
      <c r="BM209" s="88">
        <v>4047.0130215911968</v>
      </c>
      <c r="BN209" s="88">
        <v>4045.9977486949929</v>
      </c>
      <c r="BO209" s="88">
        <v>4044.9847714481671</v>
      </c>
      <c r="BP209" s="88">
        <v>4043.974082073431</v>
      </c>
      <c r="BQ209" s="88">
        <v>850.44349793199592</v>
      </c>
      <c r="BR209" s="88">
        <v>849.46958176075623</v>
      </c>
      <c r="BS209" s="88">
        <v>848.51354841884199</v>
      </c>
      <c r="BT209" s="88">
        <v>847.55966458825662</v>
      </c>
      <c r="BU209" s="88">
        <v>846.6079230278325</v>
      </c>
      <c r="BV209" s="88">
        <v>845.65831652885606</v>
      </c>
      <c r="BW209" s="88">
        <v>3150.0000000000032</v>
      </c>
      <c r="BX209" s="88">
        <v>3150.0000000000032</v>
      </c>
      <c r="BY209" s="88">
        <v>3150.0000000000032</v>
      </c>
      <c r="BZ209" s="88">
        <v>3150.0000000000032</v>
      </c>
      <c r="CA209" s="88">
        <v>3150.0000000000032</v>
      </c>
      <c r="CB209" s="88">
        <v>3150.0000000000032</v>
      </c>
      <c r="CC209" s="88">
        <v>0</v>
      </c>
      <c r="CD209" s="88">
        <v>0</v>
      </c>
      <c r="CE209" s="88">
        <v>0</v>
      </c>
      <c r="CF209" s="88">
        <v>0</v>
      </c>
      <c r="CG209" s="88">
        <v>0</v>
      </c>
      <c r="CH209" s="88">
        <v>0</v>
      </c>
      <c r="CI209" s="88">
        <v>63000</v>
      </c>
      <c r="CJ209" s="88">
        <v>63000</v>
      </c>
      <c r="CK209" s="88">
        <v>63000</v>
      </c>
      <c r="CL209" s="88">
        <v>63000</v>
      </c>
      <c r="CM209" s="88">
        <v>63000</v>
      </c>
      <c r="CN209" s="88">
        <v>63000</v>
      </c>
      <c r="CO209" s="88">
        <v>63000</v>
      </c>
      <c r="CP209" s="88">
        <v>63000</v>
      </c>
      <c r="CQ209" s="88">
        <v>63000</v>
      </c>
      <c r="CR209" s="88">
        <v>63000</v>
      </c>
      <c r="CS209" s="88">
        <v>63000</v>
      </c>
      <c r="CT209" s="88">
        <v>63000</v>
      </c>
      <c r="CU209" s="88">
        <v>856.17479692454299</v>
      </c>
      <c r="CV209" s="88">
        <v>855.23542684288236</v>
      </c>
      <c r="CW209" s="88">
        <v>854.29811580113824</v>
      </c>
      <c r="CX209" s="88">
        <v>853.33118923332268</v>
      </c>
      <c r="CY209" s="88">
        <v>852.36644899825183</v>
      </c>
      <c r="CZ209" s="88">
        <v>851.40388768897685</v>
      </c>
      <c r="DA209" s="88">
        <v>850.44349793199592</v>
      </c>
      <c r="DB209" s="88">
        <v>849.46958176075623</v>
      </c>
      <c r="DC209" s="88">
        <v>848.51354841884199</v>
      </c>
      <c r="DD209" s="88">
        <v>847.55966458825662</v>
      </c>
      <c r="DE209" s="88">
        <v>846.6079230278325</v>
      </c>
      <c r="DF209" s="88">
        <v>845.65831652885606</v>
      </c>
      <c r="DG209" s="93">
        <v>46204</v>
      </c>
      <c r="DH209" s="91">
        <v>0.05</v>
      </c>
      <c r="DI209" t="s">
        <v>301</v>
      </c>
      <c r="DJ209" s="93"/>
      <c r="DK209" s="91"/>
      <c r="DM209" s="93"/>
      <c r="DN209" s="91"/>
      <c r="DP209" s="93"/>
      <c r="DQ209" s="91"/>
    </row>
    <row r="210" spans="1:121" x14ac:dyDescent="0.3">
      <c r="A210" t="s">
        <v>28</v>
      </c>
      <c r="B210" t="s">
        <v>42</v>
      </c>
      <c r="C210" t="s">
        <v>95</v>
      </c>
      <c r="D210" t="s">
        <v>339</v>
      </c>
      <c r="E210" t="s">
        <v>573</v>
      </c>
      <c r="F210" s="86">
        <v>51000</v>
      </c>
      <c r="G210" s="87">
        <v>12</v>
      </c>
      <c r="H210" s="88">
        <v>1.06</v>
      </c>
      <c r="I210" s="88">
        <v>1.0497916666666669</v>
      </c>
      <c r="J210" s="89">
        <v>0.88900209700948218</v>
      </c>
      <c r="K210" s="88">
        <v>1.009724151617384</v>
      </c>
      <c r="L210" s="88">
        <v>1.0123710652961491</v>
      </c>
      <c r="M210" s="88">
        <v>1</v>
      </c>
      <c r="N210" s="90">
        <v>0.58399999999999996</v>
      </c>
      <c r="O210" s="90">
        <v>0.59697386077643488</v>
      </c>
      <c r="P210" s="90">
        <v>0.59344780657343921</v>
      </c>
      <c r="Q210" s="91">
        <v>0</v>
      </c>
      <c r="R210" s="88">
        <v>0.99999999999999978</v>
      </c>
      <c r="S210" s="88">
        <v>1.016177750981917</v>
      </c>
      <c r="T210" s="91">
        <v>-9.630503144654079E-3</v>
      </c>
      <c r="U210" s="91">
        <v>9.7241516173847131E-3</v>
      </c>
      <c r="V210" s="87">
        <v>0</v>
      </c>
      <c r="W210" s="91">
        <v>0</v>
      </c>
      <c r="X210" s="87">
        <v>1</v>
      </c>
      <c r="Y210" s="90">
        <v>0.59697386077643488</v>
      </c>
      <c r="Z210" s="90">
        <v>0.59344780657343921</v>
      </c>
      <c r="AA210" s="92">
        <v>0</v>
      </c>
      <c r="AB210" s="88">
        <v>0</v>
      </c>
      <c r="AC210" s="87">
        <v>1</v>
      </c>
      <c r="AD210" s="87">
        <v>0</v>
      </c>
      <c r="AE210" s="88">
        <v>1.0349999999999999</v>
      </c>
      <c r="AF210" s="88">
        <v>0.99551801636857096</v>
      </c>
      <c r="AG210" s="88">
        <v>1.030361293913679</v>
      </c>
      <c r="AH210" s="88">
        <v>54060</v>
      </c>
      <c r="AI210" s="88">
        <v>53539.375</v>
      </c>
      <c r="AJ210" s="88">
        <v>45339.106947483589</v>
      </c>
      <c r="AK210" s="88">
        <v>51495.931732486613</v>
      </c>
      <c r="AL210" s="88">
        <v>51630.924330103597</v>
      </c>
      <c r="AM210" s="88">
        <v>51000</v>
      </c>
      <c r="AN210" s="88">
        <v>29784</v>
      </c>
      <c r="AO210" s="88">
        <v>30445.666899598182</v>
      </c>
      <c r="AP210" s="88">
        <v>30265.838135245402</v>
      </c>
      <c r="AQ210" s="88">
        <v>0</v>
      </c>
      <c r="AR210" s="88">
        <v>50999.999999999993</v>
      </c>
      <c r="AS210" s="88">
        <v>51825.065300077753</v>
      </c>
      <c r="AT210" s="88">
        <v>30445.666899598182</v>
      </c>
      <c r="AU210" s="88">
        <v>30265.838135245402</v>
      </c>
      <c r="AV210" s="88">
        <v>45900</v>
      </c>
      <c r="AW210" s="88">
        <v>45390</v>
      </c>
      <c r="AX210" s="88">
        <v>45135</v>
      </c>
      <c r="AY210" s="88">
        <v>51000</v>
      </c>
      <c r="AZ210" s="88">
        <v>51000</v>
      </c>
      <c r="BA210" s="88">
        <v>51000</v>
      </c>
      <c r="BB210" s="88">
        <v>51000</v>
      </c>
      <c r="BC210" s="88">
        <v>51000</v>
      </c>
      <c r="BD210" s="88">
        <v>51000</v>
      </c>
      <c r="BE210" s="88">
        <v>51000</v>
      </c>
      <c r="BF210" s="88">
        <v>51000</v>
      </c>
      <c r="BG210" s="88">
        <v>51000</v>
      </c>
      <c r="BH210" s="88">
        <v>51000</v>
      </c>
      <c r="BI210" s="88">
        <v>51000</v>
      </c>
      <c r="BJ210" s="88">
        <v>51000</v>
      </c>
      <c r="BK210" s="88">
        <v>2818.1978714148331</v>
      </c>
      <c r="BL210" s="88">
        <v>2818.110427342046</v>
      </c>
      <c r="BM210" s="88">
        <v>2818.0229200007411</v>
      </c>
      <c r="BN210" s="88">
        <v>2817.9323797139159</v>
      </c>
      <c r="BO210" s="88">
        <v>2817.8417716470258</v>
      </c>
      <c r="BP210" s="88">
        <v>2817.751095723926</v>
      </c>
      <c r="BQ210" s="88">
        <v>2817.6603518683469</v>
      </c>
      <c r="BR210" s="88">
        <v>-228.7093861152558</v>
      </c>
      <c r="BS210" s="88">
        <v>-228.79512297047091</v>
      </c>
      <c r="BT210" s="88">
        <v>-228.88092413055239</v>
      </c>
      <c r="BU210" s="88">
        <v>-228.96678966789639</v>
      </c>
      <c r="BV210" s="88">
        <v>-229.05271965497261</v>
      </c>
      <c r="BW210" s="88">
        <v>3060.0000000000032</v>
      </c>
      <c r="BX210" s="88">
        <v>3060.0000000000032</v>
      </c>
      <c r="BY210" s="88">
        <v>3060.0000000000032</v>
      </c>
      <c r="BZ210" s="88">
        <v>3060.0000000000032</v>
      </c>
      <c r="CA210" s="88">
        <v>3060.0000000000032</v>
      </c>
      <c r="CB210" s="88">
        <v>3060.0000000000032</v>
      </c>
      <c r="CC210" s="88">
        <v>3060.0000000000032</v>
      </c>
      <c r="CD210" s="88">
        <v>0</v>
      </c>
      <c r="CE210" s="88">
        <v>0</v>
      </c>
      <c r="CF210" s="88">
        <v>0</v>
      </c>
      <c r="CG210" s="88">
        <v>0</v>
      </c>
      <c r="CH210" s="88">
        <v>0</v>
      </c>
      <c r="CI210" s="88">
        <v>51000</v>
      </c>
      <c r="CJ210" s="88">
        <v>51000</v>
      </c>
      <c r="CK210" s="88">
        <v>51000</v>
      </c>
      <c r="CL210" s="88">
        <v>51000</v>
      </c>
      <c r="CM210" s="88">
        <v>51000</v>
      </c>
      <c r="CN210" s="88">
        <v>51000</v>
      </c>
      <c r="CO210" s="88">
        <v>51000</v>
      </c>
      <c r="CP210" s="88">
        <v>51000</v>
      </c>
      <c r="CQ210" s="88">
        <v>51000</v>
      </c>
      <c r="CR210" s="88">
        <v>51000</v>
      </c>
      <c r="CS210" s="88">
        <v>51000</v>
      </c>
      <c r="CT210" s="88">
        <v>51000</v>
      </c>
      <c r="CU210" s="88">
        <v>-228.115215646384</v>
      </c>
      <c r="CV210" s="88">
        <v>-228.19771005467419</v>
      </c>
      <c r="CW210" s="88">
        <v>-228.28026415024999</v>
      </c>
      <c r="CX210" s="88">
        <v>-228.3656795151737</v>
      </c>
      <c r="CY210" s="88">
        <v>-228.4511588235666</v>
      </c>
      <c r="CZ210" s="88">
        <v>-228.53670214724721</v>
      </c>
      <c r="DA210" s="88">
        <v>-228.62230955817</v>
      </c>
      <c r="DB210" s="88">
        <v>-228.7093861152558</v>
      </c>
      <c r="DC210" s="88">
        <v>-228.79512297047091</v>
      </c>
      <c r="DD210" s="88">
        <v>-228.88092413055239</v>
      </c>
      <c r="DE210" s="88">
        <v>-228.96678966789639</v>
      </c>
      <c r="DF210" s="88">
        <v>-229.05271965497261</v>
      </c>
      <c r="DG210" s="93">
        <v>46235</v>
      </c>
      <c r="DH210" s="91">
        <v>0.06</v>
      </c>
      <c r="DI210" t="s">
        <v>301</v>
      </c>
      <c r="DJ210" s="93"/>
      <c r="DK210" s="91"/>
      <c r="DM210" s="93"/>
      <c r="DN210" s="91"/>
      <c r="DP210" s="93"/>
      <c r="DQ210" s="91"/>
    </row>
    <row r="211" spans="1:121" x14ac:dyDescent="0.3">
      <c r="A211" t="s">
        <v>28</v>
      </c>
      <c r="B211" t="s">
        <v>42</v>
      </c>
      <c r="C211" t="s">
        <v>96</v>
      </c>
      <c r="D211" t="s">
        <v>341</v>
      </c>
      <c r="E211" t="s">
        <v>574</v>
      </c>
      <c r="F211" s="86">
        <v>39000</v>
      </c>
      <c r="G211" s="87">
        <v>12</v>
      </c>
      <c r="H211" s="88">
        <v>1</v>
      </c>
      <c r="I211" s="88">
        <v>1</v>
      </c>
      <c r="J211" s="89">
        <v>0.89199580598103567</v>
      </c>
      <c r="K211" s="88">
        <v>1</v>
      </c>
      <c r="L211" s="88">
        <v>1.0089733538715031</v>
      </c>
      <c r="M211" s="88">
        <v>1</v>
      </c>
      <c r="N211" s="90">
        <v>0.61199999999999999</v>
      </c>
      <c r="O211" s="90">
        <v>0.61749169256935976</v>
      </c>
      <c r="P211" s="90">
        <v>0.61291504377140693</v>
      </c>
      <c r="Q211" s="91">
        <v>0</v>
      </c>
      <c r="R211" s="88">
        <v>1</v>
      </c>
      <c r="S211" s="88">
        <v>1.0014951695611229</v>
      </c>
      <c r="T211" s="91">
        <v>0</v>
      </c>
      <c r="U211" s="91">
        <v>0</v>
      </c>
      <c r="V211" s="87">
        <v>0</v>
      </c>
      <c r="W211" s="91">
        <v>0</v>
      </c>
      <c r="X211" s="87">
        <v>1</v>
      </c>
      <c r="Y211" s="90">
        <v>0.61749169256935976</v>
      </c>
      <c r="Z211" s="90">
        <v>0.61291504377140693</v>
      </c>
      <c r="AA211" s="92">
        <v>0</v>
      </c>
      <c r="AB211" s="88">
        <v>0</v>
      </c>
      <c r="AC211" s="87">
        <v>0</v>
      </c>
      <c r="AD211" s="87">
        <v>0</v>
      </c>
      <c r="AE211" s="88">
        <v>1</v>
      </c>
      <c r="AF211" s="88">
        <v>1.0089942603284909</v>
      </c>
      <c r="AG211" s="88">
        <v>1.0089942603284909</v>
      </c>
      <c r="AH211" s="88">
        <v>39000</v>
      </c>
      <c r="AI211" s="88">
        <v>39000</v>
      </c>
      <c r="AJ211" s="88">
        <v>34787.836433260389</v>
      </c>
      <c r="AK211" s="88">
        <v>39000</v>
      </c>
      <c r="AL211" s="88">
        <v>39349.960800988607</v>
      </c>
      <c r="AM211" s="88">
        <v>39000</v>
      </c>
      <c r="AN211" s="88">
        <v>23868</v>
      </c>
      <c r="AO211" s="88">
        <v>24082.176010205028</v>
      </c>
      <c r="AP211" s="88">
        <v>23903.686707084871</v>
      </c>
      <c r="AQ211" s="88">
        <v>0</v>
      </c>
      <c r="AR211" s="88">
        <v>39000</v>
      </c>
      <c r="AS211" s="88">
        <v>39058.311612883779</v>
      </c>
      <c r="AT211" s="88">
        <v>24082.176010205028</v>
      </c>
      <c r="AU211" s="88">
        <v>23903.686707084871</v>
      </c>
      <c r="AV211" s="88">
        <v>35100</v>
      </c>
      <c r="AW211" s="88">
        <v>34710</v>
      </c>
      <c r="AX211" s="88">
        <v>35100</v>
      </c>
      <c r="AY211" s="88">
        <v>39000</v>
      </c>
      <c r="AZ211" s="88">
        <v>39000</v>
      </c>
      <c r="BA211" s="88">
        <v>39000</v>
      </c>
      <c r="BB211" s="88">
        <v>39000</v>
      </c>
      <c r="BC211" s="88">
        <v>39000</v>
      </c>
      <c r="BD211" s="88">
        <v>39000</v>
      </c>
      <c r="BE211" s="88">
        <v>39000</v>
      </c>
      <c r="BF211" s="88">
        <v>39000</v>
      </c>
      <c r="BG211" s="88">
        <v>39000</v>
      </c>
      <c r="BH211" s="88">
        <v>39000</v>
      </c>
      <c r="BI211" s="88">
        <v>39000</v>
      </c>
      <c r="BJ211" s="88">
        <v>39000</v>
      </c>
      <c r="BK211" s="88">
        <v>352.21635263698312</v>
      </c>
      <c r="BL211" s="88">
        <v>351.95945110644232</v>
      </c>
      <c r="BM211" s="88">
        <v>351.70292406330071</v>
      </c>
      <c r="BN211" s="88">
        <v>351.43809406246169</v>
      </c>
      <c r="BO211" s="88">
        <v>351.17366259204408</v>
      </c>
      <c r="BP211" s="88">
        <v>350.90962875314079</v>
      </c>
      <c r="BQ211" s="88">
        <v>350.64599164952079</v>
      </c>
      <c r="BR211" s="88">
        <v>350.3784382499573</v>
      </c>
      <c r="BS211" s="88">
        <v>350.11559840621538</v>
      </c>
      <c r="BT211" s="88">
        <v>349.85315261069161</v>
      </c>
      <c r="BU211" s="88">
        <v>349.59109997789278</v>
      </c>
      <c r="BV211" s="88">
        <v>349.32943962502787</v>
      </c>
      <c r="BW211" s="88">
        <v>0</v>
      </c>
      <c r="BX211" s="88">
        <v>0</v>
      </c>
      <c r="BY211" s="88">
        <v>0</v>
      </c>
      <c r="BZ211" s="88">
        <v>0</v>
      </c>
      <c r="CA211" s="88">
        <v>0</v>
      </c>
      <c r="CB211" s="88">
        <v>0</v>
      </c>
      <c r="CC211" s="88">
        <v>0</v>
      </c>
      <c r="CD211" s="88">
        <v>0</v>
      </c>
      <c r="CE211" s="88">
        <v>0</v>
      </c>
      <c r="CF211" s="88">
        <v>0</v>
      </c>
      <c r="CG211" s="88">
        <v>0</v>
      </c>
      <c r="CH211" s="88">
        <v>0</v>
      </c>
      <c r="CI211" s="88">
        <v>39000</v>
      </c>
      <c r="CJ211" s="88">
        <v>39000</v>
      </c>
      <c r="CK211" s="88">
        <v>39000</v>
      </c>
      <c r="CL211" s="88">
        <v>39000</v>
      </c>
      <c r="CM211" s="88">
        <v>39000</v>
      </c>
      <c r="CN211" s="88">
        <v>39000</v>
      </c>
      <c r="CO211" s="88">
        <v>39000</v>
      </c>
      <c r="CP211" s="88">
        <v>39000</v>
      </c>
      <c r="CQ211" s="88">
        <v>39000</v>
      </c>
      <c r="CR211" s="88">
        <v>39000</v>
      </c>
      <c r="CS211" s="88">
        <v>39000</v>
      </c>
      <c r="CT211" s="88">
        <v>39000</v>
      </c>
      <c r="CU211" s="88">
        <v>352.21635263698312</v>
      </c>
      <c r="CV211" s="88">
        <v>351.95945110644232</v>
      </c>
      <c r="CW211" s="88">
        <v>351.70292406330071</v>
      </c>
      <c r="CX211" s="88">
        <v>351.43809406246169</v>
      </c>
      <c r="CY211" s="88">
        <v>351.17366259204408</v>
      </c>
      <c r="CZ211" s="88">
        <v>350.90962875314079</v>
      </c>
      <c r="DA211" s="88">
        <v>350.64599164952079</v>
      </c>
      <c r="DB211" s="88">
        <v>350.3784382499573</v>
      </c>
      <c r="DC211" s="88">
        <v>350.11559840621538</v>
      </c>
      <c r="DD211" s="88">
        <v>349.85315261069161</v>
      </c>
      <c r="DE211" s="88">
        <v>349.59109997789278</v>
      </c>
      <c r="DF211" s="88">
        <v>349.32943962502787</v>
      </c>
      <c r="DG211" s="93"/>
      <c r="DH211" s="91"/>
      <c r="DJ211" s="93"/>
      <c r="DK211" s="91"/>
      <c r="DM211" s="93"/>
      <c r="DN211" s="91"/>
      <c r="DP211" s="93"/>
      <c r="DQ211" s="91"/>
    </row>
    <row r="212" spans="1:121" x14ac:dyDescent="0.3">
      <c r="A212" t="s">
        <v>28</v>
      </c>
      <c r="B212" t="s">
        <v>45</v>
      </c>
      <c r="C212" t="s">
        <v>43</v>
      </c>
      <c r="D212" t="s">
        <v>343</v>
      </c>
      <c r="E212" t="s">
        <v>575</v>
      </c>
      <c r="F212" s="86">
        <v>27000</v>
      </c>
      <c r="G212" s="87">
        <v>12</v>
      </c>
      <c r="H212" s="88">
        <v>1.03</v>
      </c>
      <c r="I212" s="88">
        <v>1.038872222222222</v>
      </c>
      <c r="J212" s="89">
        <v>0.88800419401896435</v>
      </c>
      <c r="K212" s="88">
        <v>0.99145975603886694</v>
      </c>
      <c r="L212" s="88">
        <v>1.0135087267175451</v>
      </c>
      <c r="M212" s="88">
        <v>1</v>
      </c>
      <c r="N212" s="90">
        <v>0.59599999999999997</v>
      </c>
      <c r="O212" s="90">
        <v>0.59889245650104517</v>
      </c>
      <c r="P212" s="90">
        <v>0.58528602677885178</v>
      </c>
      <c r="Q212" s="91">
        <v>0</v>
      </c>
      <c r="R212" s="88">
        <v>0.96166688927474275</v>
      </c>
      <c r="S212" s="88">
        <v>1.0211680841007791</v>
      </c>
      <c r="T212" s="91">
        <v>8.6138079827400293E-3</v>
      </c>
      <c r="U212" s="91">
        <v>3.098044353652751E-2</v>
      </c>
      <c r="V212" s="87">
        <v>0</v>
      </c>
      <c r="W212" s="91">
        <v>0</v>
      </c>
      <c r="X212" s="87">
        <v>1</v>
      </c>
      <c r="Y212" s="90">
        <v>0.59889245650104517</v>
      </c>
      <c r="Z212" s="90">
        <v>0.58528602677885178</v>
      </c>
      <c r="AA212" s="92">
        <v>0</v>
      </c>
      <c r="AB212" s="88">
        <v>0</v>
      </c>
      <c r="AC212" s="87">
        <v>1</v>
      </c>
      <c r="AD212" s="87">
        <v>1</v>
      </c>
      <c r="AE212" s="88">
        <v>1.0599666666666669</v>
      </c>
      <c r="AF212" s="88">
        <v>0.99104602551311949</v>
      </c>
      <c r="AG212" s="88">
        <v>1.0504758627128259</v>
      </c>
      <c r="AH212" s="88">
        <v>27810</v>
      </c>
      <c r="AI212" s="88">
        <v>28049.55</v>
      </c>
      <c r="AJ212" s="88">
        <v>23976.11323851204</v>
      </c>
      <c r="AK212" s="88">
        <v>26769.413413049409</v>
      </c>
      <c r="AL212" s="88">
        <v>27364.735621373711</v>
      </c>
      <c r="AM212" s="88">
        <v>27000</v>
      </c>
      <c r="AN212" s="88">
        <v>16092</v>
      </c>
      <c r="AO212" s="88">
        <v>16170.09632552822</v>
      </c>
      <c r="AP212" s="88">
        <v>15802.722723028999</v>
      </c>
      <c r="AQ212" s="88">
        <v>0</v>
      </c>
      <c r="AR212" s="88">
        <v>25965.006010418059</v>
      </c>
      <c r="AS212" s="88">
        <v>27571.538270721041</v>
      </c>
      <c r="AT212" s="88">
        <v>16170.09632552822</v>
      </c>
      <c r="AU212" s="88">
        <v>15802.722723028999</v>
      </c>
      <c r="AV212" s="88">
        <v>24300</v>
      </c>
      <c r="AW212" s="88">
        <v>24030</v>
      </c>
      <c r="AX212" s="88">
        <v>23760</v>
      </c>
      <c r="AY212" s="88">
        <v>27000</v>
      </c>
      <c r="AZ212" s="88">
        <v>27000</v>
      </c>
      <c r="BA212" s="88">
        <v>27000</v>
      </c>
      <c r="BB212" s="88">
        <v>27000</v>
      </c>
      <c r="BC212" s="88">
        <v>27000</v>
      </c>
      <c r="BD212" s="88">
        <v>27000</v>
      </c>
      <c r="BE212" s="88">
        <v>27000</v>
      </c>
      <c r="BF212" s="88">
        <v>27000</v>
      </c>
      <c r="BG212" s="88">
        <v>27000</v>
      </c>
      <c r="BH212" s="88">
        <v>27000</v>
      </c>
      <c r="BI212" s="88">
        <v>27000</v>
      </c>
      <c r="BJ212" s="88">
        <v>27000</v>
      </c>
      <c r="BK212" s="88">
        <v>562.00278520907409</v>
      </c>
      <c r="BL212" s="88">
        <v>1664.296872937095</v>
      </c>
      <c r="BM212" s="88">
        <v>1664.1105807225149</v>
      </c>
      <c r="BN212" s="88">
        <v>1663.917690556063</v>
      </c>
      <c r="BO212" s="88">
        <v>1663.724512074102</v>
      </c>
      <c r="BP212" s="88">
        <v>1663.531044629726</v>
      </c>
      <c r="BQ212" s="88">
        <v>1663.337287574084</v>
      </c>
      <c r="BR212" s="88">
        <v>1663.140056730972</v>
      </c>
      <c r="BS212" s="88">
        <v>1662.945713723951</v>
      </c>
      <c r="BT212" s="88">
        <v>827.91366906474423</v>
      </c>
      <c r="BU212" s="88">
        <v>827.72441972087813</v>
      </c>
      <c r="BV212" s="88">
        <v>827.53488601234233</v>
      </c>
      <c r="BW212" s="88">
        <v>810.00000000000068</v>
      </c>
      <c r="BX212" s="88">
        <v>1922.400000000004</v>
      </c>
      <c r="BY212" s="88">
        <v>1922.400000000004</v>
      </c>
      <c r="BZ212" s="88">
        <v>1922.400000000004</v>
      </c>
      <c r="CA212" s="88">
        <v>1922.400000000004</v>
      </c>
      <c r="CB212" s="88">
        <v>1922.400000000004</v>
      </c>
      <c r="CC212" s="88">
        <v>1922.400000000004</v>
      </c>
      <c r="CD212" s="88">
        <v>1922.400000000004</v>
      </c>
      <c r="CE212" s="88">
        <v>1922.400000000004</v>
      </c>
      <c r="CF212" s="88">
        <v>1080.0000000000009</v>
      </c>
      <c r="CG212" s="88">
        <v>1080.0000000000009</v>
      </c>
      <c r="CH212" s="88">
        <v>1080.0000000000009</v>
      </c>
      <c r="CI212" s="88">
        <v>27000</v>
      </c>
      <c r="CJ212" s="88">
        <v>27000</v>
      </c>
      <c r="CK212" s="88">
        <v>27000</v>
      </c>
      <c r="CL212" s="88">
        <v>27000</v>
      </c>
      <c r="CM212" s="88">
        <v>27000</v>
      </c>
      <c r="CN212" s="88">
        <v>27000</v>
      </c>
      <c r="CO212" s="88">
        <v>27000</v>
      </c>
      <c r="CP212" s="88">
        <v>27000</v>
      </c>
      <c r="CQ212" s="88">
        <v>27000</v>
      </c>
      <c r="CR212" s="88">
        <v>27000</v>
      </c>
      <c r="CS212" s="88">
        <v>27000</v>
      </c>
      <c r="CT212" s="88">
        <v>27000</v>
      </c>
      <c r="CU212" s="88">
        <v>-240.77399494264529</v>
      </c>
      <c r="CV212" s="88">
        <v>-240.94765409158529</v>
      </c>
      <c r="CW212" s="88">
        <v>-241.12156392596259</v>
      </c>
      <c r="CX212" s="88">
        <v>-241.30163316275309</v>
      </c>
      <c r="CY212" s="88">
        <v>-241.48197155143939</v>
      </c>
      <c r="CZ212" s="88">
        <v>-241.66257969592729</v>
      </c>
      <c r="DA212" s="88">
        <v>-241.8434582019394</v>
      </c>
      <c r="DB212" s="88">
        <v>-242.0275796014123</v>
      </c>
      <c r="DC212" s="88">
        <v>-242.209005112071</v>
      </c>
      <c r="DD212" s="88">
        <v>-242.39070282235949</v>
      </c>
      <c r="DE212" s="88">
        <v>-242.5726733453115</v>
      </c>
      <c r="DF212" s="88">
        <v>-242.75491729582811</v>
      </c>
      <c r="DG212" s="93">
        <v>46296</v>
      </c>
      <c r="DH212" s="91">
        <v>0.03</v>
      </c>
      <c r="DI212" t="s">
        <v>301</v>
      </c>
      <c r="DJ212" s="93">
        <v>46419</v>
      </c>
      <c r="DK212" s="91">
        <v>0.04</v>
      </c>
      <c r="DL212" t="s">
        <v>302</v>
      </c>
      <c r="DM212" s="93"/>
      <c r="DN212" s="91"/>
      <c r="DP212" s="93"/>
      <c r="DQ212" s="91"/>
    </row>
    <row r="213" spans="1:121" x14ac:dyDescent="0.3">
      <c r="A213" t="s">
        <v>28</v>
      </c>
      <c r="B213" t="s">
        <v>45</v>
      </c>
      <c r="C213" t="s">
        <v>46</v>
      </c>
      <c r="D213" t="s">
        <v>345</v>
      </c>
      <c r="E213" t="s">
        <v>576</v>
      </c>
      <c r="F213" s="86">
        <v>66000</v>
      </c>
      <c r="G213" s="87">
        <v>12</v>
      </c>
      <c r="H213" s="88">
        <v>1.04</v>
      </c>
      <c r="I213" s="88">
        <v>1.026111111111111</v>
      </c>
      <c r="J213" s="89">
        <v>0.89099790299051795</v>
      </c>
      <c r="K213" s="88">
        <v>1.013535462912831</v>
      </c>
      <c r="L213" s="88">
        <v>1.010103387425793</v>
      </c>
      <c r="M213" s="88">
        <v>1</v>
      </c>
      <c r="N213" s="90">
        <v>0.62639999999999996</v>
      </c>
      <c r="O213" s="90">
        <v>0.64129303857387265</v>
      </c>
      <c r="P213" s="90">
        <v>0.63667634978867915</v>
      </c>
      <c r="Q213" s="91">
        <v>0.01</v>
      </c>
      <c r="R213" s="88">
        <v>0.99999999999999978</v>
      </c>
      <c r="S213" s="88">
        <v>1.006341991623799</v>
      </c>
      <c r="T213" s="91">
        <v>-1.3354700854700811E-2</v>
      </c>
      <c r="U213" s="91">
        <v>1.3535462912831701E-2</v>
      </c>
      <c r="V213" s="87">
        <v>0</v>
      </c>
      <c r="W213" s="91">
        <v>0</v>
      </c>
      <c r="X213" s="87">
        <v>1</v>
      </c>
      <c r="Y213" s="90">
        <v>0.64129303857387265</v>
      </c>
      <c r="Z213" s="90">
        <v>0.63667634978867915</v>
      </c>
      <c r="AA213" s="92">
        <v>0</v>
      </c>
      <c r="AB213" s="88">
        <v>0</v>
      </c>
      <c r="AC213" s="87">
        <v>1</v>
      </c>
      <c r="AD213" s="87">
        <v>0</v>
      </c>
      <c r="AE213" s="88">
        <v>1.033333333333333</v>
      </c>
      <c r="AF213" s="88">
        <v>1.004492054902975</v>
      </c>
      <c r="AG213" s="88">
        <v>1.037975179563756</v>
      </c>
      <c r="AH213" s="88">
        <v>68640</v>
      </c>
      <c r="AI213" s="88">
        <v>67723.333333333343</v>
      </c>
      <c r="AJ213" s="88">
        <v>58805.861597374183</v>
      </c>
      <c r="AK213" s="88">
        <v>66893.340552246882</v>
      </c>
      <c r="AL213" s="88">
        <v>66666.823570102322</v>
      </c>
      <c r="AM213" s="88">
        <v>66000</v>
      </c>
      <c r="AN213" s="88">
        <v>41342.399999999987</v>
      </c>
      <c r="AO213" s="88">
        <v>42325.340545875602</v>
      </c>
      <c r="AP213" s="88">
        <v>42020.639086052834</v>
      </c>
      <c r="AQ213" s="88">
        <v>660</v>
      </c>
      <c r="AR213" s="88">
        <v>65999.999999999985</v>
      </c>
      <c r="AS213" s="88">
        <v>66418.571447170747</v>
      </c>
      <c r="AT213" s="88">
        <v>42325.340545875602</v>
      </c>
      <c r="AU213" s="88">
        <v>42020.639086052834</v>
      </c>
      <c r="AV213" s="88">
        <v>59400</v>
      </c>
      <c r="AW213" s="88">
        <v>58740</v>
      </c>
      <c r="AX213" s="88">
        <v>59070</v>
      </c>
      <c r="AY213" s="88">
        <v>66000</v>
      </c>
      <c r="AZ213" s="88">
        <v>66000</v>
      </c>
      <c r="BA213" s="88">
        <v>66000</v>
      </c>
      <c r="BB213" s="88">
        <v>66000</v>
      </c>
      <c r="BC213" s="88">
        <v>66000</v>
      </c>
      <c r="BD213" s="88">
        <v>66000</v>
      </c>
      <c r="BE213" s="88">
        <v>66000</v>
      </c>
      <c r="BF213" s="88">
        <v>66000</v>
      </c>
      <c r="BG213" s="88">
        <v>66000</v>
      </c>
      <c r="BH213" s="88">
        <v>66000</v>
      </c>
      <c r="BI213" s="88">
        <v>66000</v>
      </c>
      <c r="BJ213" s="88">
        <v>66000</v>
      </c>
      <c r="BK213" s="88">
        <v>2948.9661295991509</v>
      </c>
      <c r="BL213" s="88">
        <v>2948.8537685840301</v>
      </c>
      <c r="BM213" s="88">
        <v>2948.741489263391</v>
      </c>
      <c r="BN213" s="88">
        <v>2948.625489664686</v>
      </c>
      <c r="BO213" s="88">
        <v>2948.509577199427</v>
      </c>
      <c r="BP213" s="88">
        <v>2948.393751769469</v>
      </c>
      <c r="BQ213" s="88">
        <v>2948.2780132768148</v>
      </c>
      <c r="BR213" s="88">
        <v>2948.1604664177912</v>
      </c>
      <c r="BS213" s="88">
        <v>2948.044902927561</v>
      </c>
      <c r="BT213" s="88">
        <v>2947.9294260799079</v>
      </c>
      <c r="BU213" s="88">
        <v>295.97503440141088</v>
      </c>
      <c r="BV213" s="88">
        <v>295.86416531056562</v>
      </c>
      <c r="BW213" s="88">
        <v>2640.0000000000018</v>
      </c>
      <c r="BX213" s="88">
        <v>2640.0000000000018</v>
      </c>
      <c r="BY213" s="88">
        <v>2640.0000000000018</v>
      </c>
      <c r="BZ213" s="88">
        <v>2640.0000000000018</v>
      </c>
      <c r="CA213" s="88">
        <v>2640.0000000000018</v>
      </c>
      <c r="CB213" s="88">
        <v>2640.0000000000018</v>
      </c>
      <c r="CC213" s="88">
        <v>2640.0000000000018</v>
      </c>
      <c r="CD213" s="88">
        <v>2640.0000000000018</v>
      </c>
      <c r="CE213" s="88">
        <v>2640.0000000000018</v>
      </c>
      <c r="CF213" s="88">
        <v>2640.0000000000018</v>
      </c>
      <c r="CG213" s="88">
        <v>0</v>
      </c>
      <c r="CH213" s="88">
        <v>0</v>
      </c>
      <c r="CI213" s="88">
        <v>66000</v>
      </c>
      <c r="CJ213" s="88">
        <v>66000</v>
      </c>
      <c r="CK213" s="88">
        <v>66000</v>
      </c>
      <c r="CL213" s="88">
        <v>66000</v>
      </c>
      <c r="CM213" s="88">
        <v>66000</v>
      </c>
      <c r="CN213" s="88">
        <v>66000</v>
      </c>
      <c r="CO213" s="88">
        <v>66000</v>
      </c>
      <c r="CP213" s="88">
        <v>66000</v>
      </c>
      <c r="CQ213" s="88">
        <v>66000</v>
      </c>
      <c r="CR213" s="88">
        <v>66000</v>
      </c>
      <c r="CS213" s="88">
        <v>66000</v>
      </c>
      <c r="CT213" s="88">
        <v>66000</v>
      </c>
      <c r="CU213" s="88">
        <v>297.0828169222566</v>
      </c>
      <c r="CV213" s="88">
        <v>296.97477748464428</v>
      </c>
      <c r="CW213" s="88">
        <v>296.86681659940729</v>
      </c>
      <c r="CX213" s="88">
        <v>296.75527852373699</v>
      </c>
      <c r="CY213" s="88">
        <v>296.64382423021999</v>
      </c>
      <c r="CZ213" s="88">
        <v>296.53245362449309</v>
      </c>
      <c r="DA213" s="88">
        <v>296.4211666123249</v>
      </c>
      <c r="DB213" s="88">
        <v>296.30814078634103</v>
      </c>
      <c r="DC213" s="88">
        <v>296.19702204572678</v>
      </c>
      <c r="DD213" s="88">
        <v>296.08598661528868</v>
      </c>
      <c r="DE213" s="88">
        <v>295.97503440141088</v>
      </c>
      <c r="DF213" s="88">
        <v>295.86416531056562</v>
      </c>
      <c r="DG213" s="93">
        <v>46327</v>
      </c>
      <c r="DH213" s="91">
        <v>0.04</v>
      </c>
      <c r="DI213" t="s">
        <v>301</v>
      </c>
      <c r="DJ213" s="93"/>
      <c r="DK213" s="91"/>
      <c r="DM213" s="93"/>
      <c r="DN213" s="91"/>
      <c r="DP213" s="93"/>
      <c r="DQ213" s="91"/>
    </row>
    <row r="214" spans="1:121" x14ac:dyDescent="0.3">
      <c r="A214" t="s">
        <v>28</v>
      </c>
      <c r="B214" t="s">
        <v>45</v>
      </c>
      <c r="C214" t="s">
        <v>48</v>
      </c>
      <c r="D214" t="s">
        <v>347</v>
      </c>
      <c r="E214" t="s">
        <v>577</v>
      </c>
      <c r="F214" s="86">
        <v>54000</v>
      </c>
      <c r="G214" s="87">
        <v>12</v>
      </c>
      <c r="H214" s="88">
        <v>1.05</v>
      </c>
      <c r="I214" s="88">
        <v>1.054696572580645</v>
      </c>
      <c r="J214" s="89">
        <v>0.90011109631642505</v>
      </c>
      <c r="K214" s="88">
        <v>0.99554699171046557</v>
      </c>
      <c r="L214" s="88">
        <v>0.99987657488405635</v>
      </c>
      <c r="M214" s="88">
        <v>1.02</v>
      </c>
      <c r="N214" s="90">
        <v>0.60799999999999998</v>
      </c>
      <c r="O214" s="90">
        <v>0.61732221990729674</v>
      </c>
      <c r="P214" s="90">
        <v>0.58685864488521144</v>
      </c>
      <c r="Q214" s="91">
        <v>0</v>
      </c>
      <c r="R214" s="88">
        <v>0.97284786829941206</v>
      </c>
      <c r="S214" s="88">
        <v>0.9727132322504155</v>
      </c>
      <c r="T214" s="91">
        <v>4.4729262672811299E-3</v>
      </c>
      <c r="U214" s="91">
        <v>2.3332654725072951E-2</v>
      </c>
      <c r="V214" s="87">
        <v>0</v>
      </c>
      <c r="W214" s="91">
        <v>0</v>
      </c>
      <c r="X214" s="87">
        <v>1</v>
      </c>
      <c r="Y214" s="90">
        <v>0.61732221990729674</v>
      </c>
      <c r="Z214" s="90">
        <v>0.58685864488521144</v>
      </c>
      <c r="AA214" s="92">
        <v>0</v>
      </c>
      <c r="AB214" s="88">
        <v>0</v>
      </c>
      <c r="AC214" s="87">
        <v>1</v>
      </c>
      <c r="AD214" s="87">
        <v>1</v>
      </c>
      <c r="AE214" s="88">
        <v>1.0313709677419349</v>
      </c>
      <c r="AF214" s="88">
        <v>1.0433893106867549</v>
      </c>
      <c r="AG214" s="88">
        <v>1.0761094771062369</v>
      </c>
      <c r="AH214" s="88">
        <v>56700</v>
      </c>
      <c r="AI214" s="88">
        <v>56953.614919354841</v>
      </c>
      <c r="AJ214" s="88">
        <v>48605.999201086946</v>
      </c>
      <c r="AK214" s="88">
        <v>53759.537552365138</v>
      </c>
      <c r="AL214" s="88">
        <v>53993.33504373904</v>
      </c>
      <c r="AM214" s="88">
        <v>55080</v>
      </c>
      <c r="AN214" s="88">
        <v>32832</v>
      </c>
      <c r="AO214" s="88">
        <v>33335.399874994022</v>
      </c>
      <c r="AP214" s="88">
        <v>31690.366823801422</v>
      </c>
      <c r="AQ214" s="88">
        <v>0</v>
      </c>
      <c r="AR214" s="88">
        <v>52533.784888168251</v>
      </c>
      <c r="AS214" s="88">
        <v>52526.51454152244</v>
      </c>
      <c r="AT214" s="88">
        <v>33335.399874994022</v>
      </c>
      <c r="AU214" s="88">
        <v>31690.366823801422</v>
      </c>
      <c r="AV214" s="88">
        <v>48600</v>
      </c>
      <c r="AW214" s="88">
        <v>48060</v>
      </c>
      <c r="AX214" s="88">
        <v>49140</v>
      </c>
      <c r="AY214" s="88">
        <v>54000</v>
      </c>
      <c r="AZ214" s="88">
        <v>54000</v>
      </c>
      <c r="BA214" s="88">
        <v>54000</v>
      </c>
      <c r="BB214" s="88">
        <v>54000</v>
      </c>
      <c r="BC214" s="88">
        <v>54000</v>
      </c>
      <c r="BD214" s="88">
        <v>54000</v>
      </c>
      <c r="BE214" s="88">
        <v>54000</v>
      </c>
      <c r="BF214" s="88">
        <v>54000</v>
      </c>
      <c r="BG214" s="88">
        <v>54000</v>
      </c>
      <c r="BH214" s="88">
        <v>54000</v>
      </c>
      <c r="BI214" s="88">
        <v>54000</v>
      </c>
      <c r="BJ214" s="88">
        <v>54000</v>
      </c>
      <c r="BK214" s="88">
        <v>5198.7894836391233</v>
      </c>
      <c r="BL214" s="88">
        <v>4979.3969849246259</v>
      </c>
      <c r="BM214" s="88">
        <v>5936.8571249765446</v>
      </c>
      <c r="BN214" s="88">
        <v>2865.6359102244419</v>
      </c>
      <c r="BO214" s="88">
        <v>3582.1827295840171</v>
      </c>
      <c r="BP214" s="88">
        <v>4129.4730850142269</v>
      </c>
      <c r="BQ214" s="88">
        <v>3910.9008198237111</v>
      </c>
      <c r="BR214" s="88">
        <v>3690.4233343567671</v>
      </c>
      <c r="BS214" s="88">
        <v>4078.62313177536</v>
      </c>
      <c r="BT214" s="88">
        <v>3862.691150850244</v>
      </c>
      <c r="BU214" s="88">
        <v>3648.3588603351982</v>
      </c>
      <c r="BV214" s="88">
        <v>3435.6085493375308</v>
      </c>
      <c r="BW214" s="88">
        <v>2700.0000000000018</v>
      </c>
      <c r="BX214" s="88">
        <v>2700.0000000000018</v>
      </c>
      <c r="BY214" s="88">
        <v>2700.0000000000018</v>
      </c>
      <c r="BZ214" s="88">
        <v>0</v>
      </c>
      <c r="CA214" s="88">
        <v>888.38709677418888</v>
      </c>
      <c r="CB214" s="88">
        <v>1620.0000000000009</v>
      </c>
      <c r="CC214" s="88">
        <v>1620.0000000000009</v>
      </c>
      <c r="CD214" s="88">
        <v>1620.0000000000009</v>
      </c>
      <c r="CE214" s="88">
        <v>1620.0000000000009</v>
      </c>
      <c r="CF214" s="88">
        <v>1620.0000000000009</v>
      </c>
      <c r="CG214" s="88">
        <v>1620.0000000000009</v>
      </c>
      <c r="CH214" s="88">
        <v>1620.0000000000009</v>
      </c>
      <c r="CI214" s="88">
        <v>54000</v>
      </c>
      <c r="CJ214" s="88">
        <v>54000</v>
      </c>
      <c r="CK214" s="88">
        <v>54000</v>
      </c>
      <c r="CL214" s="88">
        <v>54000</v>
      </c>
      <c r="CM214" s="88">
        <v>54000</v>
      </c>
      <c r="CN214" s="88">
        <v>54000</v>
      </c>
      <c r="CO214" s="88">
        <v>54000</v>
      </c>
      <c r="CP214" s="88">
        <v>54000</v>
      </c>
      <c r="CQ214" s="88">
        <v>54000</v>
      </c>
      <c r="CR214" s="88">
        <v>54000</v>
      </c>
      <c r="CS214" s="88">
        <v>54000</v>
      </c>
      <c r="CT214" s="88">
        <v>54000</v>
      </c>
      <c r="CU214" s="88">
        <v>2379.7995082277321</v>
      </c>
      <c r="CV214" s="88">
        <v>2170.8542713567808</v>
      </c>
      <c r="CW214" s="88">
        <v>3082.7210714062312</v>
      </c>
      <c r="CX214" s="88">
        <v>2865.6359102244419</v>
      </c>
      <c r="CY214" s="88">
        <v>2650.1956400223612</v>
      </c>
      <c r="CZ214" s="88">
        <v>2436.381635936144</v>
      </c>
      <c r="DA214" s="88">
        <v>2224.1755532269008</v>
      </c>
      <c r="DB214" s="88">
        <v>2010.1197420939509</v>
      </c>
      <c r="DC214" s="88">
        <v>2387.0127492964648</v>
      </c>
      <c r="DD214" s="88">
        <v>2177.3700493691731</v>
      </c>
      <c r="DE214" s="88">
        <v>1969.2804469273749</v>
      </c>
      <c r="DF214" s="88">
        <v>1762.726746929636</v>
      </c>
      <c r="DG214" s="93">
        <v>46113</v>
      </c>
      <c r="DH214" s="91">
        <v>0.05</v>
      </c>
      <c r="DI214" t="s">
        <v>301</v>
      </c>
      <c r="DJ214" s="93">
        <v>46522</v>
      </c>
      <c r="DK214" s="91">
        <v>0.03</v>
      </c>
      <c r="DL214" t="s">
        <v>302</v>
      </c>
      <c r="DM214" s="93"/>
      <c r="DN214" s="91"/>
      <c r="DP214" s="93"/>
      <c r="DQ214" s="91"/>
    </row>
    <row r="215" spans="1:121" x14ac:dyDescent="0.3">
      <c r="A215" t="s">
        <v>28</v>
      </c>
      <c r="B215" t="s">
        <v>45</v>
      </c>
      <c r="C215" t="s">
        <v>50</v>
      </c>
      <c r="D215" t="s">
        <v>349</v>
      </c>
      <c r="E215" t="s">
        <v>578</v>
      </c>
      <c r="F215" s="86">
        <v>42000</v>
      </c>
      <c r="G215" s="87">
        <v>12</v>
      </c>
      <c r="H215" s="88">
        <v>1.08</v>
      </c>
      <c r="I215" s="88">
        <v>1.0754999999999999</v>
      </c>
      <c r="J215" s="89">
        <v>0.89000000000000024</v>
      </c>
      <c r="K215" s="88">
        <v>1.00418410041841</v>
      </c>
      <c r="L215" s="88">
        <v>1.01123595505618</v>
      </c>
      <c r="M215" s="88">
        <v>1</v>
      </c>
      <c r="N215" s="90">
        <v>0.59199999999999997</v>
      </c>
      <c r="O215" s="90">
        <v>0.60115650416059407</v>
      </c>
      <c r="P215" s="90">
        <v>0.57159613500311102</v>
      </c>
      <c r="Q215" s="91">
        <v>0</v>
      </c>
      <c r="R215" s="88">
        <v>0.95480585614258429</v>
      </c>
      <c r="S215" s="88">
        <v>1.01123595505618</v>
      </c>
      <c r="T215" s="91">
        <v>-4.1666666666666519E-3</v>
      </c>
      <c r="U215" s="91">
        <v>5.1715481171548117E-2</v>
      </c>
      <c r="V215" s="87">
        <v>0</v>
      </c>
      <c r="W215" s="91">
        <v>0</v>
      </c>
      <c r="X215" s="87">
        <v>1</v>
      </c>
      <c r="Y215" s="90">
        <v>0.60115650416059407</v>
      </c>
      <c r="Z215" s="90">
        <v>0.57159613500311102</v>
      </c>
      <c r="AA215" s="92">
        <v>0</v>
      </c>
      <c r="AB215" s="88">
        <v>0</v>
      </c>
      <c r="AC215" s="87">
        <v>1</v>
      </c>
      <c r="AD215" s="87">
        <v>1</v>
      </c>
      <c r="AE215" s="88">
        <v>1.1022400000000001</v>
      </c>
      <c r="AF215" s="88">
        <v>1</v>
      </c>
      <c r="AG215" s="88">
        <v>1.1022400000000001</v>
      </c>
      <c r="AH215" s="88">
        <v>45360</v>
      </c>
      <c r="AI215" s="88">
        <v>45171.000000000007</v>
      </c>
      <c r="AJ215" s="88">
        <v>37380.000000000007</v>
      </c>
      <c r="AK215" s="88">
        <v>42175.732217573219</v>
      </c>
      <c r="AL215" s="88">
        <v>42471.910112359539</v>
      </c>
      <c r="AM215" s="88">
        <v>42000</v>
      </c>
      <c r="AN215" s="88">
        <v>24864</v>
      </c>
      <c r="AO215" s="88">
        <v>25248.57317474495</v>
      </c>
      <c r="AP215" s="88">
        <v>24007.03767013066</v>
      </c>
      <c r="AQ215" s="88">
        <v>0</v>
      </c>
      <c r="AR215" s="88">
        <v>40101.845957988538</v>
      </c>
      <c r="AS215" s="88">
        <v>42471.910112359539</v>
      </c>
      <c r="AT215" s="88">
        <v>25248.57317474495</v>
      </c>
      <c r="AU215" s="88">
        <v>24007.03767013066</v>
      </c>
      <c r="AV215" s="88">
        <v>37800</v>
      </c>
      <c r="AW215" s="88">
        <v>37380</v>
      </c>
      <c r="AX215" s="88">
        <v>37380</v>
      </c>
      <c r="AY215" s="88">
        <v>42000</v>
      </c>
      <c r="AZ215" s="88">
        <v>42000</v>
      </c>
      <c r="BA215" s="88">
        <v>42000</v>
      </c>
      <c r="BB215" s="88">
        <v>42000</v>
      </c>
      <c r="BC215" s="88">
        <v>42000</v>
      </c>
      <c r="BD215" s="88">
        <v>42000</v>
      </c>
      <c r="BE215" s="88">
        <v>42000</v>
      </c>
      <c r="BF215" s="88">
        <v>42000</v>
      </c>
      <c r="BG215" s="88">
        <v>42000</v>
      </c>
      <c r="BH215" s="88">
        <v>42000</v>
      </c>
      <c r="BI215" s="88">
        <v>42000</v>
      </c>
      <c r="BJ215" s="88">
        <v>42000</v>
      </c>
      <c r="BK215" s="88">
        <v>3360.0000000000032</v>
      </c>
      <c r="BL215" s="88">
        <v>3360.0000000000032</v>
      </c>
      <c r="BM215" s="88">
        <v>5537.2800000000079</v>
      </c>
      <c r="BN215" s="88">
        <v>5537.2800000000079</v>
      </c>
      <c r="BO215" s="88">
        <v>5537.2800000000079</v>
      </c>
      <c r="BP215" s="88">
        <v>5537.2800000000079</v>
      </c>
      <c r="BQ215" s="88">
        <v>5537.2800000000079</v>
      </c>
      <c r="BR215" s="88">
        <v>5537.2800000000079</v>
      </c>
      <c r="BS215" s="88">
        <v>5537.2800000000079</v>
      </c>
      <c r="BT215" s="88">
        <v>2016.000000000002</v>
      </c>
      <c r="BU215" s="88">
        <v>2016.000000000002</v>
      </c>
      <c r="BV215" s="88">
        <v>2016.000000000002</v>
      </c>
      <c r="BW215" s="88">
        <v>3360.0000000000032</v>
      </c>
      <c r="BX215" s="88">
        <v>3360.0000000000032</v>
      </c>
      <c r="BY215" s="88">
        <v>5537.2800000000079</v>
      </c>
      <c r="BZ215" s="88">
        <v>5537.2800000000079</v>
      </c>
      <c r="CA215" s="88">
        <v>5537.2800000000079</v>
      </c>
      <c r="CB215" s="88">
        <v>5537.2800000000079</v>
      </c>
      <c r="CC215" s="88">
        <v>5537.2800000000079</v>
      </c>
      <c r="CD215" s="88">
        <v>5537.2800000000079</v>
      </c>
      <c r="CE215" s="88">
        <v>5537.2800000000079</v>
      </c>
      <c r="CF215" s="88">
        <v>2016.000000000002</v>
      </c>
      <c r="CG215" s="88">
        <v>2016.000000000002</v>
      </c>
      <c r="CH215" s="88">
        <v>2016.000000000002</v>
      </c>
      <c r="CI215" s="88">
        <v>42000</v>
      </c>
      <c r="CJ215" s="88">
        <v>42000</v>
      </c>
      <c r="CK215" s="88">
        <v>42000</v>
      </c>
      <c r="CL215" s="88">
        <v>42000</v>
      </c>
      <c r="CM215" s="88">
        <v>42000</v>
      </c>
      <c r="CN215" s="88">
        <v>42000</v>
      </c>
      <c r="CO215" s="88">
        <v>42000</v>
      </c>
      <c r="CP215" s="88">
        <v>42000</v>
      </c>
      <c r="CQ215" s="88">
        <v>42000</v>
      </c>
      <c r="CR215" s="88">
        <v>42000</v>
      </c>
      <c r="CS215" s="88">
        <v>42000</v>
      </c>
      <c r="CT215" s="88">
        <v>42000</v>
      </c>
      <c r="CU215" s="88">
        <v>0</v>
      </c>
      <c r="CV215" s="88">
        <v>0</v>
      </c>
      <c r="CW215" s="88">
        <v>0</v>
      </c>
      <c r="CX215" s="88">
        <v>0</v>
      </c>
      <c r="CY215" s="88">
        <v>0</v>
      </c>
      <c r="CZ215" s="88">
        <v>0</v>
      </c>
      <c r="DA215" s="88">
        <v>0</v>
      </c>
      <c r="DB215" s="88">
        <v>0</v>
      </c>
      <c r="DC215" s="88">
        <v>0</v>
      </c>
      <c r="DD215" s="88">
        <v>0</v>
      </c>
      <c r="DE215" s="88">
        <v>0</v>
      </c>
      <c r="DF215" s="88">
        <v>0</v>
      </c>
      <c r="DG215" s="93">
        <v>46296</v>
      </c>
      <c r="DH215" s="91">
        <v>0.08</v>
      </c>
      <c r="DI215" t="s">
        <v>301</v>
      </c>
      <c r="DJ215" s="93">
        <v>46447</v>
      </c>
      <c r="DK215" s="91">
        <v>4.8000000000000001E-2</v>
      </c>
      <c r="DL215" t="s">
        <v>302</v>
      </c>
      <c r="DM215" s="93"/>
      <c r="DN215" s="91"/>
      <c r="DP215" s="93"/>
      <c r="DQ215" s="91"/>
    </row>
    <row r="216" spans="1:121" x14ac:dyDescent="0.3">
      <c r="A216" t="s">
        <v>28</v>
      </c>
      <c r="B216" t="s">
        <v>45</v>
      </c>
      <c r="C216" t="s">
        <v>57</v>
      </c>
      <c r="D216" t="s">
        <v>351</v>
      </c>
      <c r="E216" t="s">
        <v>579</v>
      </c>
      <c r="F216" s="86">
        <v>30000</v>
      </c>
      <c r="G216" s="87">
        <v>12</v>
      </c>
      <c r="H216" s="88">
        <v>1.02</v>
      </c>
      <c r="I216" s="88">
        <v>1.026872222222222</v>
      </c>
      <c r="J216" s="89">
        <v>0.89299370897155361</v>
      </c>
      <c r="K216" s="88">
        <v>0.99330761698144854</v>
      </c>
      <c r="L216" s="88">
        <v>1.0078458458979691</v>
      </c>
      <c r="M216" s="88">
        <v>1</v>
      </c>
      <c r="N216" s="90">
        <v>0.62</v>
      </c>
      <c r="O216" s="90">
        <v>0.62068259239360946</v>
      </c>
      <c r="P216" s="90">
        <v>0.59617387595910509</v>
      </c>
      <c r="Q216" s="91">
        <v>0</v>
      </c>
      <c r="R216" s="88">
        <v>0.96475948010183543</v>
      </c>
      <c r="S216" s="88">
        <v>0.99669481099525148</v>
      </c>
      <c r="T216" s="91">
        <v>6.7374727668845216E-3</v>
      </c>
      <c r="U216" s="91">
        <v>2.9590936879521301E-2</v>
      </c>
      <c r="V216" s="87">
        <v>0</v>
      </c>
      <c r="W216" s="91">
        <v>0</v>
      </c>
      <c r="X216" s="87">
        <v>1</v>
      </c>
      <c r="Y216" s="90">
        <v>0.62068259239360946</v>
      </c>
      <c r="Z216" s="90">
        <v>0.59617387595910509</v>
      </c>
      <c r="AA216" s="92">
        <v>0</v>
      </c>
      <c r="AB216" s="88">
        <v>0</v>
      </c>
      <c r="AC216" s="87">
        <v>1</v>
      </c>
      <c r="AD216" s="87">
        <v>1</v>
      </c>
      <c r="AE216" s="88">
        <v>1.0249999999999999</v>
      </c>
      <c r="AF216" s="88">
        <v>1.0135066962933139</v>
      </c>
      <c r="AG216" s="88">
        <v>1.038843613955664</v>
      </c>
      <c r="AH216" s="88">
        <v>30600</v>
      </c>
      <c r="AI216" s="88">
        <v>30806.166666666661</v>
      </c>
      <c r="AJ216" s="88">
        <v>26789.811269146609</v>
      </c>
      <c r="AK216" s="88">
        <v>29799.228509443459</v>
      </c>
      <c r="AL216" s="88">
        <v>30235.375376939071</v>
      </c>
      <c r="AM216" s="88">
        <v>30000</v>
      </c>
      <c r="AN216" s="88">
        <v>18600</v>
      </c>
      <c r="AO216" s="88">
        <v>18620.477771808281</v>
      </c>
      <c r="AP216" s="88">
        <v>17885.21627877315</v>
      </c>
      <c r="AQ216" s="88">
        <v>0</v>
      </c>
      <c r="AR216" s="88">
        <v>28942.784403055059</v>
      </c>
      <c r="AS216" s="88">
        <v>29900.84432985754</v>
      </c>
      <c r="AT216" s="88">
        <v>18620.477771808281</v>
      </c>
      <c r="AU216" s="88">
        <v>17885.21627877315</v>
      </c>
      <c r="AV216" s="88">
        <v>27000</v>
      </c>
      <c r="AW216" s="88">
        <v>26700</v>
      </c>
      <c r="AX216" s="88">
        <v>27150</v>
      </c>
      <c r="AY216" s="88">
        <v>30000</v>
      </c>
      <c r="AZ216" s="88">
        <v>30000</v>
      </c>
      <c r="BA216" s="88">
        <v>30000</v>
      </c>
      <c r="BB216" s="88">
        <v>30000</v>
      </c>
      <c r="BC216" s="88">
        <v>30000</v>
      </c>
      <c r="BD216" s="88">
        <v>30000</v>
      </c>
      <c r="BE216" s="88">
        <v>30000</v>
      </c>
      <c r="BF216" s="88">
        <v>30000</v>
      </c>
      <c r="BG216" s="88">
        <v>30000</v>
      </c>
      <c r="BH216" s="88">
        <v>30000</v>
      </c>
      <c r="BI216" s="88">
        <v>30000</v>
      </c>
      <c r="BJ216" s="88">
        <v>30000</v>
      </c>
      <c r="BK216" s="88">
        <v>1015.856329934777</v>
      </c>
      <c r="BL216" s="88">
        <v>407.25496516327729</v>
      </c>
      <c r="BM216" s="88">
        <v>406.80862657197059</v>
      </c>
      <c r="BN216" s="88">
        <v>406.34818534920117</v>
      </c>
      <c r="BO216" s="88">
        <v>405.88878523726282</v>
      </c>
      <c r="BP216" s="88">
        <v>1621.647639617396</v>
      </c>
      <c r="BQ216" s="88">
        <v>1621.172018023467</v>
      </c>
      <c r="BR216" s="88">
        <v>1620.689697633899</v>
      </c>
      <c r="BS216" s="88">
        <v>1620.2162335026651</v>
      </c>
      <c r="BT216" s="88">
        <v>1619.74383389133</v>
      </c>
      <c r="BU216" s="88">
        <v>1619.2724952137819</v>
      </c>
      <c r="BV216" s="88">
        <v>1618.8022139000041</v>
      </c>
      <c r="BW216" s="88">
        <v>600.00000000000057</v>
      </c>
      <c r="BX216" s="88">
        <v>0</v>
      </c>
      <c r="BY216" s="88">
        <v>0</v>
      </c>
      <c r="BZ216" s="88">
        <v>0</v>
      </c>
      <c r="CA216" s="88">
        <v>0</v>
      </c>
      <c r="CB216" s="88">
        <v>1200.0000000000009</v>
      </c>
      <c r="CC216" s="88">
        <v>1200.0000000000009</v>
      </c>
      <c r="CD216" s="88">
        <v>1200.0000000000009</v>
      </c>
      <c r="CE216" s="88">
        <v>1200.0000000000009</v>
      </c>
      <c r="CF216" s="88">
        <v>1200.0000000000009</v>
      </c>
      <c r="CG216" s="88">
        <v>1200.0000000000009</v>
      </c>
      <c r="CH216" s="88">
        <v>1200.0000000000009</v>
      </c>
      <c r="CI216" s="88">
        <v>30000</v>
      </c>
      <c r="CJ216" s="88">
        <v>30000</v>
      </c>
      <c r="CK216" s="88">
        <v>30000</v>
      </c>
      <c r="CL216" s="88">
        <v>30000</v>
      </c>
      <c r="CM216" s="88">
        <v>30000</v>
      </c>
      <c r="CN216" s="88">
        <v>30000</v>
      </c>
      <c r="CO216" s="88">
        <v>30000</v>
      </c>
      <c r="CP216" s="88">
        <v>30000</v>
      </c>
      <c r="CQ216" s="88">
        <v>30000</v>
      </c>
      <c r="CR216" s="88">
        <v>30000</v>
      </c>
      <c r="CS216" s="88">
        <v>30000</v>
      </c>
      <c r="CT216" s="88">
        <v>30000</v>
      </c>
      <c r="CU216" s="88">
        <v>407.70228424978239</v>
      </c>
      <c r="CV216" s="88">
        <v>407.25496516327729</v>
      </c>
      <c r="CW216" s="88">
        <v>406.80862657197059</v>
      </c>
      <c r="CX216" s="88">
        <v>406.34818534920117</v>
      </c>
      <c r="CY216" s="88">
        <v>405.88878523726282</v>
      </c>
      <c r="CZ216" s="88">
        <v>405.43042270903658</v>
      </c>
      <c r="DA216" s="88">
        <v>404.9730942533314</v>
      </c>
      <c r="DB216" s="88">
        <v>404.50932464797921</v>
      </c>
      <c r="DC216" s="88">
        <v>404.05407067563903</v>
      </c>
      <c r="DD216" s="88">
        <v>403.59984028012218</v>
      </c>
      <c r="DE216" s="88">
        <v>403.14663001325363</v>
      </c>
      <c r="DF216" s="88">
        <v>402.69443644231239</v>
      </c>
      <c r="DG216" s="93">
        <v>46054</v>
      </c>
      <c r="DH216" s="91">
        <v>0.02</v>
      </c>
      <c r="DI216" t="s">
        <v>301</v>
      </c>
      <c r="DJ216" s="93">
        <v>46539</v>
      </c>
      <c r="DK216" s="91">
        <v>0.04</v>
      </c>
      <c r="DL216" t="s">
        <v>302</v>
      </c>
      <c r="DM216" s="93"/>
      <c r="DN216" s="91"/>
      <c r="DP216" s="93"/>
      <c r="DQ216" s="91"/>
    </row>
    <row r="217" spans="1:121" x14ac:dyDescent="0.3">
      <c r="A217" t="s">
        <v>28</v>
      </c>
      <c r="B217" t="s">
        <v>45</v>
      </c>
      <c r="C217" t="s">
        <v>58</v>
      </c>
      <c r="D217" t="s">
        <v>353</v>
      </c>
      <c r="E217" t="s">
        <v>580</v>
      </c>
      <c r="F217" s="86">
        <v>69000</v>
      </c>
      <c r="G217" s="87">
        <v>12</v>
      </c>
      <c r="H217" s="88">
        <v>1</v>
      </c>
      <c r="I217" s="88">
        <v>1</v>
      </c>
      <c r="J217" s="89">
        <v>0.88900209700948218</v>
      </c>
      <c r="K217" s="88">
        <v>1</v>
      </c>
      <c r="L217" s="88">
        <v>1.0123710652961491</v>
      </c>
      <c r="M217" s="88">
        <v>1</v>
      </c>
      <c r="N217" s="90">
        <v>0.60399999999999998</v>
      </c>
      <c r="O217" s="90">
        <v>0.61147212343887403</v>
      </c>
      <c r="P217" s="90">
        <v>0.61377136159307766</v>
      </c>
      <c r="Q217" s="91">
        <v>0</v>
      </c>
      <c r="R217" s="88">
        <v>1</v>
      </c>
      <c r="S217" s="88">
        <v>1.016177750981917</v>
      </c>
      <c r="T217" s="91">
        <v>0</v>
      </c>
      <c r="U217" s="91">
        <v>0</v>
      </c>
      <c r="V217" s="87">
        <v>0</v>
      </c>
      <c r="W217" s="91">
        <v>0</v>
      </c>
      <c r="X217" s="87">
        <v>1</v>
      </c>
      <c r="Y217" s="90">
        <v>0.61147212343887403</v>
      </c>
      <c r="Z217" s="90">
        <v>0.61377136159307766</v>
      </c>
      <c r="AA217" s="92">
        <v>0</v>
      </c>
      <c r="AB217" s="88">
        <v>0</v>
      </c>
      <c r="AC217" s="87">
        <v>0</v>
      </c>
      <c r="AD217" s="87">
        <v>0</v>
      </c>
      <c r="AE217" s="88">
        <v>1</v>
      </c>
      <c r="AF217" s="88">
        <v>0.99551801636857096</v>
      </c>
      <c r="AG217" s="88">
        <v>0.99551801636857096</v>
      </c>
      <c r="AH217" s="88">
        <v>69000</v>
      </c>
      <c r="AI217" s="88">
        <v>69000</v>
      </c>
      <c r="AJ217" s="88">
        <v>61341.144693654271</v>
      </c>
      <c r="AK217" s="88">
        <v>69000</v>
      </c>
      <c r="AL217" s="88">
        <v>69853.603505434279</v>
      </c>
      <c r="AM217" s="88">
        <v>69000</v>
      </c>
      <c r="AN217" s="88">
        <v>41676</v>
      </c>
      <c r="AO217" s="88">
        <v>42191.576517282308</v>
      </c>
      <c r="AP217" s="88">
        <v>42350.223949922358</v>
      </c>
      <c r="AQ217" s="88">
        <v>0</v>
      </c>
      <c r="AR217" s="88">
        <v>69000</v>
      </c>
      <c r="AS217" s="88">
        <v>70116.26481775225</v>
      </c>
      <c r="AT217" s="88">
        <v>42191.576517282308</v>
      </c>
      <c r="AU217" s="88">
        <v>42350.223949922358</v>
      </c>
      <c r="AV217" s="88">
        <v>62100</v>
      </c>
      <c r="AW217" s="88">
        <v>61410</v>
      </c>
      <c r="AX217" s="88">
        <v>61065</v>
      </c>
      <c r="AY217" s="88">
        <v>69000</v>
      </c>
      <c r="AZ217" s="88">
        <v>69000</v>
      </c>
      <c r="BA217" s="88">
        <v>69000</v>
      </c>
      <c r="BB217" s="88">
        <v>69000</v>
      </c>
      <c r="BC217" s="88">
        <v>69000</v>
      </c>
      <c r="BD217" s="88">
        <v>69000</v>
      </c>
      <c r="BE217" s="88">
        <v>69000</v>
      </c>
      <c r="BF217" s="88">
        <v>69000</v>
      </c>
      <c r="BG217" s="88">
        <v>69000</v>
      </c>
      <c r="BH217" s="88">
        <v>69000</v>
      </c>
      <c r="BI217" s="88">
        <v>69000</v>
      </c>
      <c r="BJ217" s="88">
        <v>69000</v>
      </c>
      <c r="BK217" s="88">
        <v>-308.62646822746069</v>
      </c>
      <c r="BL217" s="88">
        <v>-308.73807830926501</v>
      </c>
      <c r="BM217" s="88">
        <v>-308.84976914445588</v>
      </c>
      <c r="BN217" s="88">
        <v>-308.96533110876447</v>
      </c>
      <c r="BO217" s="88">
        <v>-309.0809795848254</v>
      </c>
      <c r="BP217" s="88">
        <v>-309.19671466980498</v>
      </c>
      <c r="BQ217" s="88">
        <v>-309.31253646105353</v>
      </c>
      <c r="BR217" s="88">
        <v>-309.43034592064021</v>
      </c>
      <c r="BS217" s="88">
        <v>-309.54634284240183</v>
      </c>
      <c r="BT217" s="88">
        <v>-309.66242676486502</v>
      </c>
      <c r="BU217" s="88">
        <v>-309.77859778597752</v>
      </c>
      <c r="BV217" s="88">
        <v>-309.89485600378651</v>
      </c>
      <c r="BW217" s="88">
        <v>0</v>
      </c>
      <c r="BX217" s="88">
        <v>0</v>
      </c>
      <c r="BY217" s="88">
        <v>0</v>
      </c>
      <c r="BZ217" s="88">
        <v>0</v>
      </c>
      <c r="CA217" s="88">
        <v>0</v>
      </c>
      <c r="CB217" s="88">
        <v>0</v>
      </c>
      <c r="CC217" s="88">
        <v>0</v>
      </c>
      <c r="CD217" s="88">
        <v>0</v>
      </c>
      <c r="CE217" s="88">
        <v>0</v>
      </c>
      <c r="CF217" s="88">
        <v>0</v>
      </c>
      <c r="CG217" s="88">
        <v>0</v>
      </c>
      <c r="CH217" s="88">
        <v>0</v>
      </c>
      <c r="CI217" s="88">
        <v>69000</v>
      </c>
      <c r="CJ217" s="88">
        <v>69000</v>
      </c>
      <c r="CK217" s="88">
        <v>69000</v>
      </c>
      <c r="CL217" s="88">
        <v>69000</v>
      </c>
      <c r="CM217" s="88">
        <v>69000</v>
      </c>
      <c r="CN217" s="88">
        <v>69000</v>
      </c>
      <c r="CO217" s="88">
        <v>69000</v>
      </c>
      <c r="CP217" s="88">
        <v>69000</v>
      </c>
      <c r="CQ217" s="88">
        <v>69000</v>
      </c>
      <c r="CR217" s="88">
        <v>69000</v>
      </c>
      <c r="CS217" s="88">
        <v>69000</v>
      </c>
      <c r="CT217" s="88">
        <v>69000</v>
      </c>
      <c r="CU217" s="88">
        <v>-308.62646822746069</v>
      </c>
      <c r="CV217" s="88">
        <v>-308.73807830926501</v>
      </c>
      <c r="CW217" s="88">
        <v>-308.84976914445588</v>
      </c>
      <c r="CX217" s="88">
        <v>-308.96533110876447</v>
      </c>
      <c r="CY217" s="88">
        <v>-309.0809795848254</v>
      </c>
      <c r="CZ217" s="88">
        <v>-309.19671466980498</v>
      </c>
      <c r="DA217" s="88">
        <v>-309.31253646105353</v>
      </c>
      <c r="DB217" s="88">
        <v>-309.43034592064021</v>
      </c>
      <c r="DC217" s="88">
        <v>-309.54634284240183</v>
      </c>
      <c r="DD217" s="88">
        <v>-309.66242676486502</v>
      </c>
      <c r="DE217" s="88">
        <v>-309.77859778597752</v>
      </c>
      <c r="DF217" s="88">
        <v>-309.89485600378651</v>
      </c>
      <c r="DG217" s="93"/>
      <c r="DH217" s="91"/>
      <c r="DJ217" s="93"/>
      <c r="DK217" s="91"/>
      <c r="DM217" s="93"/>
      <c r="DN217" s="91"/>
      <c r="DP217" s="93"/>
      <c r="DQ217" s="91"/>
    </row>
    <row r="218" spans="1:121" x14ac:dyDescent="0.3">
      <c r="A218" t="s">
        <v>28</v>
      </c>
      <c r="B218" t="s">
        <v>45</v>
      </c>
      <c r="C218" t="s">
        <v>65</v>
      </c>
      <c r="D218" t="s">
        <v>355</v>
      </c>
      <c r="E218" t="s">
        <v>581</v>
      </c>
      <c r="F218" s="86">
        <v>57000</v>
      </c>
      <c r="G218" s="87">
        <v>12</v>
      </c>
      <c r="H218" s="88">
        <v>1.04</v>
      </c>
      <c r="I218" s="88">
        <v>1.0387500000000001</v>
      </c>
      <c r="J218" s="89">
        <v>0.89199580598103567</v>
      </c>
      <c r="K218" s="88">
        <v>1.001203369434416</v>
      </c>
      <c r="L218" s="88">
        <v>1.0089733538715031</v>
      </c>
      <c r="M218" s="88">
        <v>1</v>
      </c>
      <c r="N218" s="90">
        <v>0.58799999999999997</v>
      </c>
      <c r="O218" s="90">
        <v>0.59399026268062705</v>
      </c>
      <c r="P218" s="90">
        <v>0.58887915970193994</v>
      </c>
      <c r="Q218" s="91">
        <v>0</v>
      </c>
      <c r="R218" s="88">
        <v>0.99999999999999978</v>
      </c>
      <c r="S218" s="88">
        <v>1.0014951695611229</v>
      </c>
      <c r="T218" s="91">
        <v>-1.2019230769230169E-3</v>
      </c>
      <c r="U218" s="91">
        <v>1.2033694344164569E-3</v>
      </c>
      <c r="V218" s="87">
        <v>0</v>
      </c>
      <c r="W218" s="91">
        <v>0</v>
      </c>
      <c r="X218" s="87">
        <v>1</v>
      </c>
      <c r="Y218" s="90">
        <v>0.59399026268062705</v>
      </c>
      <c r="Z218" s="90">
        <v>0.58887915970193994</v>
      </c>
      <c r="AA218" s="92">
        <v>0</v>
      </c>
      <c r="AB218" s="88">
        <v>0</v>
      </c>
      <c r="AC218" s="87">
        <v>1</v>
      </c>
      <c r="AD218" s="87">
        <v>0</v>
      </c>
      <c r="AE218" s="88">
        <v>1.01</v>
      </c>
      <c r="AF218" s="88">
        <v>1.0089942603284909</v>
      </c>
      <c r="AG218" s="88">
        <v>1.019084506373602</v>
      </c>
      <c r="AH218" s="88">
        <v>59280</v>
      </c>
      <c r="AI218" s="88">
        <v>59208.75</v>
      </c>
      <c r="AJ218" s="88">
        <v>50843.760940919034</v>
      </c>
      <c r="AK218" s="88">
        <v>57068.592057761729</v>
      </c>
      <c r="AL218" s="88">
        <v>57511.481170675666</v>
      </c>
      <c r="AM218" s="88">
        <v>57000</v>
      </c>
      <c r="AN218" s="88">
        <v>33516</v>
      </c>
      <c r="AO218" s="88">
        <v>33857.44497279574</v>
      </c>
      <c r="AP218" s="88">
        <v>33566.112103010579</v>
      </c>
      <c r="AQ218" s="88">
        <v>0</v>
      </c>
      <c r="AR218" s="88">
        <v>56999.999999999993</v>
      </c>
      <c r="AS218" s="88">
        <v>57085.22466498398</v>
      </c>
      <c r="AT218" s="88">
        <v>33857.44497279574</v>
      </c>
      <c r="AU218" s="88">
        <v>33566.112103010579</v>
      </c>
      <c r="AV218" s="88">
        <v>51300</v>
      </c>
      <c r="AW218" s="88">
        <v>50730</v>
      </c>
      <c r="AX218" s="88">
        <v>51300</v>
      </c>
      <c r="AY218" s="88">
        <v>57000</v>
      </c>
      <c r="AZ218" s="88">
        <v>57000</v>
      </c>
      <c r="BA218" s="88">
        <v>57000</v>
      </c>
      <c r="BB218" s="88">
        <v>57000</v>
      </c>
      <c r="BC218" s="88">
        <v>57000</v>
      </c>
      <c r="BD218" s="88">
        <v>57000</v>
      </c>
      <c r="BE218" s="88">
        <v>57000</v>
      </c>
      <c r="BF218" s="88">
        <v>57000</v>
      </c>
      <c r="BG218" s="88">
        <v>57000</v>
      </c>
      <c r="BH218" s="88">
        <v>57000</v>
      </c>
      <c r="BI218" s="88">
        <v>57000</v>
      </c>
      <c r="BJ218" s="88">
        <v>57000</v>
      </c>
      <c r="BK218" s="88">
        <v>2815.3688560082119</v>
      </c>
      <c r="BL218" s="88">
        <v>2814.9783656817908</v>
      </c>
      <c r="BM218" s="88">
        <v>2814.5884445762172</v>
      </c>
      <c r="BN218" s="88">
        <v>513.64029132205951</v>
      </c>
      <c r="BO218" s="88">
        <v>513.25381455760294</v>
      </c>
      <c r="BP218" s="88">
        <v>512.86791894689804</v>
      </c>
      <c r="BQ218" s="88">
        <v>512.48260318006885</v>
      </c>
      <c r="BR218" s="88">
        <v>512.09156359609142</v>
      </c>
      <c r="BS218" s="88">
        <v>511.70741305523791</v>
      </c>
      <c r="BT218" s="88">
        <v>511.32383843101081</v>
      </c>
      <c r="BU218" s="88">
        <v>510.94083842922799</v>
      </c>
      <c r="BV218" s="88">
        <v>510.55841175965622</v>
      </c>
      <c r="BW218" s="88">
        <v>2280.0000000000018</v>
      </c>
      <c r="BX218" s="88">
        <v>2280.0000000000018</v>
      </c>
      <c r="BY218" s="88">
        <v>2280.0000000000018</v>
      </c>
      <c r="BZ218" s="88">
        <v>0</v>
      </c>
      <c r="CA218" s="88">
        <v>0</v>
      </c>
      <c r="CB218" s="88">
        <v>0</v>
      </c>
      <c r="CC218" s="88">
        <v>0</v>
      </c>
      <c r="CD218" s="88">
        <v>0</v>
      </c>
      <c r="CE218" s="88">
        <v>0</v>
      </c>
      <c r="CF218" s="88">
        <v>0</v>
      </c>
      <c r="CG218" s="88">
        <v>0</v>
      </c>
      <c r="CH218" s="88">
        <v>0</v>
      </c>
      <c r="CI218" s="88">
        <v>57000</v>
      </c>
      <c r="CJ218" s="88">
        <v>57000</v>
      </c>
      <c r="CK218" s="88">
        <v>57000</v>
      </c>
      <c r="CL218" s="88">
        <v>57000</v>
      </c>
      <c r="CM218" s="88">
        <v>57000</v>
      </c>
      <c r="CN218" s="88">
        <v>57000</v>
      </c>
      <c r="CO218" s="88">
        <v>57000</v>
      </c>
      <c r="CP218" s="88">
        <v>57000</v>
      </c>
      <c r="CQ218" s="88">
        <v>57000</v>
      </c>
      <c r="CR218" s="88">
        <v>57000</v>
      </c>
      <c r="CS218" s="88">
        <v>57000</v>
      </c>
      <c r="CT218" s="88">
        <v>57000</v>
      </c>
      <c r="CU218" s="88">
        <v>514.7777461617444</v>
      </c>
      <c r="CV218" s="88">
        <v>514.40227469403112</v>
      </c>
      <c r="CW218" s="88">
        <v>514.02735055405492</v>
      </c>
      <c r="CX218" s="88">
        <v>513.64029132205951</v>
      </c>
      <c r="CY218" s="88">
        <v>513.25381455760294</v>
      </c>
      <c r="CZ218" s="88">
        <v>512.86791894689804</v>
      </c>
      <c r="DA218" s="88">
        <v>512.48260318006885</v>
      </c>
      <c r="DB218" s="88">
        <v>512.09156359609142</v>
      </c>
      <c r="DC218" s="88">
        <v>511.70741305523791</v>
      </c>
      <c r="DD218" s="88">
        <v>511.32383843101081</v>
      </c>
      <c r="DE218" s="88">
        <v>510.94083842922799</v>
      </c>
      <c r="DF218" s="88">
        <v>510.55841175965622</v>
      </c>
      <c r="DG218" s="93">
        <v>46113</v>
      </c>
      <c r="DH218" s="91">
        <v>0.04</v>
      </c>
      <c r="DI218" t="s">
        <v>301</v>
      </c>
      <c r="DJ218" s="93"/>
      <c r="DK218" s="91"/>
      <c r="DM218" s="93"/>
      <c r="DN218" s="91"/>
      <c r="DP218" s="93"/>
      <c r="DQ218" s="91"/>
    </row>
    <row r="219" spans="1:121" x14ac:dyDescent="0.3">
      <c r="A219" t="s">
        <v>28</v>
      </c>
      <c r="B219" t="s">
        <v>45</v>
      </c>
      <c r="C219" t="s">
        <v>66</v>
      </c>
      <c r="D219" t="s">
        <v>357</v>
      </c>
      <c r="E219" t="s">
        <v>582</v>
      </c>
      <c r="F219" s="86">
        <v>45000</v>
      </c>
      <c r="G219" s="87">
        <v>12</v>
      </c>
      <c r="H219" s="88">
        <v>1.05</v>
      </c>
      <c r="I219" s="88">
        <v>1.0472222222222221</v>
      </c>
      <c r="J219" s="89">
        <v>0.88800419401896435</v>
      </c>
      <c r="K219" s="88">
        <v>1.0026525198938989</v>
      </c>
      <c r="L219" s="88">
        <v>1.0135087267175451</v>
      </c>
      <c r="M219" s="88">
        <v>1</v>
      </c>
      <c r="N219" s="90">
        <v>0.61599999999999999</v>
      </c>
      <c r="O219" s="90">
        <v>0.62597740052712691</v>
      </c>
      <c r="P219" s="90">
        <v>0.62903953980608007</v>
      </c>
      <c r="Q219" s="91">
        <v>0</v>
      </c>
      <c r="R219" s="88">
        <v>1</v>
      </c>
      <c r="S219" s="88">
        <v>1.0211680841007791</v>
      </c>
      <c r="T219" s="91">
        <v>-2.6455026455026731E-3</v>
      </c>
      <c r="U219" s="91">
        <v>2.6525198938991408E-3</v>
      </c>
      <c r="V219" s="87">
        <v>0</v>
      </c>
      <c r="W219" s="91">
        <v>0</v>
      </c>
      <c r="X219" s="87">
        <v>1</v>
      </c>
      <c r="Y219" s="90">
        <v>0.62597740052712691</v>
      </c>
      <c r="Z219" s="90">
        <v>0.62903953980608007</v>
      </c>
      <c r="AA219" s="92">
        <v>0</v>
      </c>
      <c r="AB219" s="88">
        <v>0</v>
      </c>
      <c r="AC219" s="87">
        <v>1</v>
      </c>
      <c r="AD219" s="87">
        <v>0</v>
      </c>
      <c r="AE219" s="88">
        <v>1.0166666666666671</v>
      </c>
      <c r="AF219" s="88">
        <v>0.99104602551311949</v>
      </c>
      <c r="AG219" s="88">
        <v>1.007563904394891</v>
      </c>
      <c r="AH219" s="88">
        <v>47250</v>
      </c>
      <c r="AI219" s="88">
        <v>47125</v>
      </c>
      <c r="AJ219" s="88">
        <v>39960.188730853399</v>
      </c>
      <c r="AK219" s="88">
        <v>45119.36339522546</v>
      </c>
      <c r="AL219" s="88">
        <v>45607.892702289508</v>
      </c>
      <c r="AM219" s="88">
        <v>45000</v>
      </c>
      <c r="AN219" s="88">
        <v>27720</v>
      </c>
      <c r="AO219" s="88">
        <v>28168.98302372071</v>
      </c>
      <c r="AP219" s="88">
        <v>28306.7792912736</v>
      </c>
      <c r="AQ219" s="88">
        <v>0</v>
      </c>
      <c r="AR219" s="88">
        <v>45000</v>
      </c>
      <c r="AS219" s="88">
        <v>45952.563784535072</v>
      </c>
      <c r="AT219" s="88">
        <v>28168.98302372071</v>
      </c>
      <c r="AU219" s="88">
        <v>28306.7792912736</v>
      </c>
      <c r="AV219" s="88">
        <v>40500</v>
      </c>
      <c r="AW219" s="88">
        <v>40050</v>
      </c>
      <c r="AX219" s="88">
        <v>39600</v>
      </c>
      <c r="AY219" s="88">
        <v>45000</v>
      </c>
      <c r="AZ219" s="88">
        <v>45000</v>
      </c>
      <c r="BA219" s="88">
        <v>45000</v>
      </c>
      <c r="BB219" s="88">
        <v>45000</v>
      </c>
      <c r="BC219" s="88">
        <v>45000</v>
      </c>
      <c r="BD219" s="88">
        <v>45000</v>
      </c>
      <c r="BE219" s="88">
        <v>45000</v>
      </c>
      <c r="BF219" s="88">
        <v>45000</v>
      </c>
      <c r="BG219" s="88">
        <v>45000</v>
      </c>
      <c r="BH219" s="88">
        <v>45000</v>
      </c>
      <c r="BI219" s="88">
        <v>45000</v>
      </c>
      <c r="BJ219" s="88">
        <v>45000</v>
      </c>
      <c r="BK219" s="88">
        <v>1828.6455088503769</v>
      </c>
      <c r="BL219" s="88">
        <v>1828.34160533973</v>
      </c>
      <c r="BM219" s="88">
        <v>1828.037263129567</v>
      </c>
      <c r="BN219" s="88">
        <v>1827.7221419651851</v>
      </c>
      <c r="BO219" s="88">
        <v>-402.46995258573219</v>
      </c>
      <c r="BP219" s="88">
        <v>-402.77096615987892</v>
      </c>
      <c r="BQ219" s="88">
        <v>-403.07243033656567</v>
      </c>
      <c r="BR219" s="88">
        <v>-403.37929933568722</v>
      </c>
      <c r="BS219" s="88">
        <v>-403.68167518678501</v>
      </c>
      <c r="BT219" s="88">
        <v>-403.98450470393249</v>
      </c>
      <c r="BU219" s="88">
        <v>-404.28778890885252</v>
      </c>
      <c r="BV219" s="88">
        <v>-404.59152882638023</v>
      </c>
      <c r="BW219" s="88">
        <v>2250.0000000000018</v>
      </c>
      <c r="BX219" s="88">
        <v>2250.0000000000018</v>
      </c>
      <c r="BY219" s="88">
        <v>2250.0000000000018</v>
      </c>
      <c r="BZ219" s="88">
        <v>2250.0000000000018</v>
      </c>
      <c r="CA219" s="88">
        <v>0</v>
      </c>
      <c r="CB219" s="88">
        <v>0</v>
      </c>
      <c r="CC219" s="88">
        <v>0</v>
      </c>
      <c r="CD219" s="88">
        <v>0</v>
      </c>
      <c r="CE219" s="88">
        <v>0</v>
      </c>
      <c r="CF219" s="88">
        <v>0</v>
      </c>
      <c r="CG219" s="88">
        <v>0</v>
      </c>
      <c r="CH219" s="88">
        <v>0</v>
      </c>
      <c r="CI219" s="88">
        <v>45000</v>
      </c>
      <c r="CJ219" s="88">
        <v>45000</v>
      </c>
      <c r="CK219" s="88">
        <v>45000</v>
      </c>
      <c r="CL219" s="88">
        <v>45000</v>
      </c>
      <c r="CM219" s="88">
        <v>45000</v>
      </c>
      <c r="CN219" s="88">
        <v>45000</v>
      </c>
      <c r="CO219" s="88">
        <v>45000</v>
      </c>
      <c r="CP219" s="88">
        <v>45000</v>
      </c>
      <c r="CQ219" s="88">
        <v>45000</v>
      </c>
      <c r="CR219" s="88">
        <v>45000</v>
      </c>
      <c r="CS219" s="88">
        <v>45000</v>
      </c>
      <c r="CT219" s="88">
        <v>45000</v>
      </c>
      <c r="CU219" s="88">
        <v>-401.28999157107552</v>
      </c>
      <c r="CV219" s="88">
        <v>-401.57942348597538</v>
      </c>
      <c r="CW219" s="88">
        <v>-401.86927320993772</v>
      </c>
      <c r="CX219" s="88">
        <v>-402.16938860458851</v>
      </c>
      <c r="CY219" s="88">
        <v>-402.46995258573219</v>
      </c>
      <c r="CZ219" s="88">
        <v>-402.77096615987892</v>
      </c>
      <c r="DA219" s="88">
        <v>-403.07243033656567</v>
      </c>
      <c r="DB219" s="88">
        <v>-403.37929933568722</v>
      </c>
      <c r="DC219" s="88">
        <v>-403.68167518678501</v>
      </c>
      <c r="DD219" s="88">
        <v>-403.98450470393249</v>
      </c>
      <c r="DE219" s="88">
        <v>-404.28778890885252</v>
      </c>
      <c r="DF219" s="88">
        <v>-404.59152882638023</v>
      </c>
      <c r="DG219" s="93">
        <v>46143</v>
      </c>
      <c r="DH219" s="91">
        <v>0.05</v>
      </c>
      <c r="DI219" t="s">
        <v>301</v>
      </c>
      <c r="DJ219" s="93"/>
      <c r="DK219" s="91"/>
      <c r="DM219" s="93"/>
      <c r="DN219" s="91"/>
      <c r="DP219" s="93"/>
      <c r="DQ219" s="91"/>
    </row>
    <row r="220" spans="1:121" x14ac:dyDescent="0.3">
      <c r="A220" t="s">
        <v>28</v>
      </c>
      <c r="B220" t="s">
        <v>45</v>
      </c>
      <c r="C220" t="s">
        <v>67</v>
      </c>
      <c r="D220" t="s">
        <v>359</v>
      </c>
      <c r="E220" t="s">
        <v>583</v>
      </c>
      <c r="F220" s="86">
        <v>33000</v>
      </c>
      <c r="G220" s="87">
        <v>12</v>
      </c>
      <c r="H220" s="88">
        <v>1</v>
      </c>
      <c r="I220" s="88">
        <v>1.00125</v>
      </c>
      <c r="J220" s="89">
        <v>0.89099790299051795</v>
      </c>
      <c r="K220" s="88">
        <v>0.99875156054931336</v>
      </c>
      <c r="L220" s="88">
        <v>1.010103387425793</v>
      </c>
      <c r="M220" s="88">
        <v>1</v>
      </c>
      <c r="N220" s="90">
        <v>0.6</v>
      </c>
      <c r="O220" s="90">
        <v>0.60530540070459493</v>
      </c>
      <c r="P220" s="90">
        <v>0.58693093071618907</v>
      </c>
      <c r="Q220" s="91">
        <v>0</v>
      </c>
      <c r="R220" s="88">
        <v>0.97205346294046169</v>
      </c>
      <c r="S220" s="88">
        <v>1.006341991623799</v>
      </c>
      <c r="T220" s="91">
        <v>1.2499999999999729E-3</v>
      </c>
      <c r="U220" s="91">
        <v>2.7465667915106181E-2</v>
      </c>
      <c r="V220" s="87">
        <v>0</v>
      </c>
      <c r="W220" s="91">
        <v>0</v>
      </c>
      <c r="X220" s="87">
        <v>1</v>
      </c>
      <c r="Y220" s="90">
        <v>0.60530540070459493</v>
      </c>
      <c r="Z220" s="90">
        <v>0.58693093071618907</v>
      </c>
      <c r="AA220" s="92">
        <v>0</v>
      </c>
      <c r="AB220" s="88">
        <v>0</v>
      </c>
      <c r="AC220" s="87">
        <v>0</v>
      </c>
      <c r="AD220" s="87">
        <v>1</v>
      </c>
      <c r="AE220" s="88">
        <v>1.01</v>
      </c>
      <c r="AF220" s="88">
        <v>1.004492054902975</v>
      </c>
      <c r="AG220" s="88">
        <v>1.0145368996093549</v>
      </c>
      <c r="AH220" s="88">
        <v>33000</v>
      </c>
      <c r="AI220" s="88">
        <v>33041.25</v>
      </c>
      <c r="AJ220" s="88">
        <v>29402.930798687092</v>
      </c>
      <c r="AK220" s="88">
        <v>32958.801498127337</v>
      </c>
      <c r="AL220" s="88">
        <v>33333.411785051161</v>
      </c>
      <c r="AM220" s="88">
        <v>33000</v>
      </c>
      <c r="AN220" s="88">
        <v>19800</v>
      </c>
      <c r="AO220" s="88">
        <v>19975.078223251629</v>
      </c>
      <c r="AP220" s="88">
        <v>19368.72071363424</v>
      </c>
      <c r="AQ220" s="88">
        <v>0</v>
      </c>
      <c r="AR220" s="88">
        <v>32077.76427703524</v>
      </c>
      <c r="AS220" s="88">
        <v>33209.285723585373</v>
      </c>
      <c r="AT220" s="88">
        <v>19975.078223251629</v>
      </c>
      <c r="AU220" s="88">
        <v>19368.72071363424</v>
      </c>
      <c r="AV220" s="88">
        <v>29700</v>
      </c>
      <c r="AW220" s="88">
        <v>29370</v>
      </c>
      <c r="AX220" s="88">
        <v>29535</v>
      </c>
      <c r="AY220" s="88">
        <v>33000</v>
      </c>
      <c r="AZ220" s="88">
        <v>33000</v>
      </c>
      <c r="BA220" s="88">
        <v>33000</v>
      </c>
      <c r="BB220" s="88">
        <v>33000</v>
      </c>
      <c r="BC220" s="88">
        <v>33000</v>
      </c>
      <c r="BD220" s="88">
        <v>33000</v>
      </c>
      <c r="BE220" s="88">
        <v>33000</v>
      </c>
      <c r="BF220" s="88">
        <v>33000</v>
      </c>
      <c r="BG220" s="88">
        <v>33000</v>
      </c>
      <c r="BH220" s="88">
        <v>33000</v>
      </c>
      <c r="BI220" s="88">
        <v>33000</v>
      </c>
      <c r="BJ220" s="88">
        <v>33000</v>
      </c>
      <c r="BK220" s="88">
        <v>148.5414084611283</v>
      </c>
      <c r="BL220" s="88">
        <v>148.48738874232211</v>
      </c>
      <c r="BM220" s="88">
        <v>148.43340829970359</v>
      </c>
      <c r="BN220" s="88">
        <v>148.3776392618685</v>
      </c>
      <c r="BO220" s="88">
        <v>148.32191211511</v>
      </c>
      <c r="BP220" s="88">
        <v>148.26622681224649</v>
      </c>
      <c r="BQ220" s="88">
        <v>148.21058330616239</v>
      </c>
      <c r="BR220" s="88">
        <v>148.15407039317051</v>
      </c>
      <c r="BS220" s="88">
        <v>148.09851102286339</v>
      </c>
      <c r="BT220" s="88">
        <v>1473.9647130399539</v>
      </c>
      <c r="BU220" s="88">
        <v>1473.9070178887339</v>
      </c>
      <c r="BV220" s="88">
        <v>1473.849365961494</v>
      </c>
      <c r="BW220" s="88">
        <v>0</v>
      </c>
      <c r="BX220" s="88">
        <v>0</v>
      </c>
      <c r="BY220" s="88">
        <v>0</v>
      </c>
      <c r="BZ220" s="88">
        <v>0</v>
      </c>
      <c r="CA220" s="88">
        <v>0</v>
      </c>
      <c r="CB220" s="88">
        <v>0</v>
      </c>
      <c r="CC220" s="88">
        <v>0</v>
      </c>
      <c r="CD220" s="88">
        <v>0</v>
      </c>
      <c r="CE220" s="88">
        <v>0</v>
      </c>
      <c r="CF220" s="88">
        <v>1320.0000000000009</v>
      </c>
      <c r="CG220" s="88">
        <v>1320.0000000000009</v>
      </c>
      <c r="CH220" s="88">
        <v>1320.0000000000009</v>
      </c>
      <c r="CI220" s="88">
        <v>33000</v>
      </c>
      <c r="CJ220" s="88">
        <v>33000</v>
      </c>
      <c r="CK220" s="88">
        <v>33000</v>
      </c>
      <c r="CL220" s="88">
        <v>33000</v>
      </c>
      <c r="CM220" s="88">
        <v>33000</v>
      </c>
      <c r="CN220" s="88">
        <v>33000</v>
      </c>
      <c r="CO220" s="88">
        <v>33000</v>
      </c>
      <c r="CP220" s="88">
        <v>33000</v>
      </c>
      <c r="CQ220" s="88">
        <v>33000</v>
      </c>
      <c r="CR220" s="88">
        <v>33000</v>
      </c>
      <c r="CS220" s="88">
        <v>33000</v>
      </c>
      <c r="CT220" s="88">
        <v>33000</v>
      </c>
      <c r="CU220" s="88">
        <v>148.5414084611283</v>
      </c>
      <c r="CV220" s="88">
        <v>148.48738874232211</v>
      </c>
      <c r="CW220" s="88">
        <v>148.43340829970359</v>
      </c>
      <c r="CX220" s="88">
        <v>148.3776392618685</v>
      </c>
      <c r="CY220" s="88">
        <v>148.32191211511</v>
      </c>
      <c r="CZ220" s="88">
        <v>148.26622681224649</v>
      </c>
      <c r="DA220" s="88">
        <v>148.21058330616239</v>
      </c>
      <c r="DB220" s="88">
        <v>148.15407039317051</v>
      </c>
      <c r="DC220" s="88">
        <v>148.09851102286339</v>
      </c>
      <c r="DD220" s="88">
        <v>148.04299330764439</v>
      </c>
      <c r="DE220" s="88">
        <v>147.9875172007055</v>
      </c>
      <c r="DF220" s="88">
        <v>147.93208265528281</v>
      </c>
      <c r="DG220" s="93">
        <v>46661</v>
      </c>
      <c r="DH220" s="91">
        <v>0.04</v>
      </c>
      <c r="DI220" t="s">
        <v>302</v>
      </c>
      <c r="DJ220" s="93"/>
      <c r="DK220" s="91"/>
      <c r="DM220" s="93"/>
      <c r="DN220" s="91"/>
      <c r="DP220" s="93"/>
      <c r="DQ220" s="91"/>
    </row>
    <row r="221" spans="1:121" x14ac:dyDescent="0.3">
      <c r="A221" t="s">
        <v>28</v>
      </c>
      <c r="B221" t="s">
        <v>45</v>
      </c>
      <c r="C221" t="s">
        <v>73</v>
      </c>
      <c r="D221" t="s">
        <v>361</v>
      </c>
      <c r="E221" t="s">
        <v>584</v>
      </c>
      <c r="F221" s="86">
        <v>72000</v>
      </c>
      <c r="G221" s="87">
        <v>12</v>
      </c>
      <c r="H221" s="88">
        <v>1.02</v>
      </c>
      <c r="I221" s="88">
        <v>1.0175000000000001</v>
      </c>
      <c r="J221" s="89">
        <v>0.89399161196207155</v>
      </c>
      <c r="K221" s="88">
        <v>1.002457002457003</v>
      </c>
      <c r="L221" s="88">
        <v>1.00672085504778</v>
      </c>
      <c r="M221" s="88">
        <v>1</v>
      </c>
      <c r="N221" s="90">
        <v>0.58399999999999996</v>
      </c>
      <c r="O221" s="90">
        <v>0.58936951246669456</v>
      </c>
      <c r="P221" s="90">
        <v>0.57929310657698541</v>
      </c>
      <c r="Q221" s="91">
        <v>0</v>
      </c>
      <c r="R221" s="88">
        <v>1</v>
      </c>
      <c r="S221" s="88">
        <v>0.99194025098798855</v>
      </c>
      <c r="T221" s="91">
        <v>-2.4509803921570761E-3</v>
      </c>
      <c r="U221" s="91">
        <v>2.4570024570023108E-3</v>
      </c>
      <c r="V221" s="87">
        <v>0</v>
      </c>
      <c r="W221" s="91">
        <v>0</v>
      </c>
      <c r="X221" s="87">
        <v>1</v>
      </c>
      <c r="Y221" s="90">
        <v>0.58936951246669456</v>
      </c>
      <c r="Z221" s="90">
        <v>0.57929310657698541</v>
      </c>
      <c r="AA221" s="92">
        <v>0</v>
      </c>
      <c r="AB221" s="88">
        <v>0</v>
      </c>
      <c r="AC221" s="87">
        <v>1</v>
      </c>
      <c r="AD221" s="87">
        <v>0</v>
      </c>
      <c r="AE221" s="88">
        <v>1.01</v>
      </c>
      <c r="AF221" s="88">
        <v>1.0180294435905091</v>
      </c>
      <c r="AG221" s="88">
        <v>1.028210552505344</v>
      </c>
      <c r="AH221" s="88">
        <v>73440</v>
      </c>
      <c r="AI221" s="88">
        <v>73259.999999999985</v>
      </c>
      <c r="AJ221" s="88">
        <v>64367.396061269152</v>
      </c>
      <c r="AK221" s="88">
        <v>72176.90417690418</v>
      </c>
      <c r="AL221" s="88">
        <v>72483.901563440173</v>
      </c>
      <c r="AM221" s="88">
        <v>72000</v>
      </c>
      <c r="AN221" s="88">
        <v>42048</v>
      </c>
      <c r="AO221" s="88">
        <v>42434.60489760201</v>
      </c>
      <c r="AP221" s="88">
        <v>41709.103673542952</v>
      </c>
      <c r="AQ221" s="88">
        <v>0</v>
      </c>
      <c r="AR221" s="88">
        <v>72000.000000000015</v>
      </c>
      <c r="AS221" s="88">
        <v>71419.698071135179</v>
      </c>
      <c r="AT221" s="88">
        <v>42434.60489760201</v>
      </c>
      <c r="AU221" s="88">
        <v>41709.103673542952</v>
      </c>
      <c r="AV221" s="88">
        <v>64800</v>
      </c>
      <c r="AW221" s="88">
        <v>64080</v>
      </c>
      <c r="AX221" s="88">
        <v>65520</v>
      </c>
      <c r="AY221" s="88">
        <v>72000</v>
      </c>
      <c r="AZ221" s="88">
        <v>72000</v>
      </c>
      <c r="BA221" s="88">
        <v>72000</v>
      </c>
      <c r="BB221" s="88">
        <v>72000</v>
      </c>
      <c r="BC221" s="88">
        <v>72000</v>
      </c>
      <c r="BD221" s="88">
        <v>72000</v>
      </c>
      <c r="BE221" s="88">
        <v>72000</v>
      </c>
      <c r="BF221" s="88">
        <v>72000</v>
      </c>
      <c r="BG221" s="88">
        <v>72000</v>
      </c>
      <c r="BH221" s="88">
        <v>72000</v>
      </c>
      <c r="BI221" s="88">
        <v>72000</v>
      </c>
      <c r="BJ221" s="88">
        <v>72000</v>
      </c>
      <c r="BK221" s="88">
        <v>2775.0067234424132</v>
      </c>
      <c r="BL221" s="88">
        <v>2773.0482134420758</v>
      </c>
      <c r="BM221" s="88">
        <v>2771.0954414539801</v>
      </c>
      <c r="BN221" s="88">
        <v>2769.082480105109</v>
      </c>
      <c r="BO221" s="88">
        <v>2767.0755978018719</v>
      </c>
      <c r="BP221" s="88">
        <v>2765.0747670481369</v>
      </c>
      <c r="BQ221" s="88">
        <v>1297.137216189539</v>
      </c>
      <c r="BR221" s="88">
        <v>1295.155487654634</v>
      </c>
      <c r="BS221" s="88">
        <v>1293.211623157747</v>
      </c>
      <c r="BT221" s="88">
        <v>1291.273584905658</v>
      </c>
      <c r="BU221" s="88">
        <v>1289.34134674353</v>
      </c>
      <c r="BV221" s="88">
        <v>1287.414882672799</v>
      </c>
      <c r="BW221" s="88">
        <v>1440.0000000000009</v>
      </c>
      <c r="BX221" s="88">
        <v>1440.0000000000009</v>
      </c>
      <c r="BY221" s="88">
        <v>1440.0000000000009</v>
      </c>
      <c r="BZ221" s="88">
        <v>1440.0000000000009</v>
      </c>
      <c r="CA221" s="88">
        <v>1440.0000000000009</v>
      </c>
      <c r="CB221" s="88">
        <v>1440.0000000000009</v>
      </c>
      <c r="CC221" s="88">
        <v>0</v>
      </c>
      <c r="CD221" s="88">
        <v>0</v>
      </c>
      <c r="CE221" s="88">
        <v>0</v>
      </c>
      <c r="CF221" s="88">
        <v>0</v>
      </c>
      <c r="CG221" s="88">
        <v>0</v>
      </c>
      <c r="CH221" s="88">
        <v>0</v>
      </c>
      <c r="CI221" s="88">
        <v>72000</v>
      </c>
      <c r="CJ221" s="88">
        <v>72000</v>
      </c>
      <c r="CK221" s="88">
        <v>72000</v>
      </c>
      <c r="CL221" s="88">
        <v>72000</v>
      </c>
      <c r="CM221" s="88">
        <v>72000</v>
      </c>
      <c r="CN221" s="88">
        <v>72000</v>
      </c>
      <c r="CO221" s="88">
        <v>72000</v>
      </c>
      <c r="CP221" s="88">
        <v>72000</v>
      </c>
      <c r="CQ221" s="88">
        <v>72000</v>
      </c>
      <c r="CR221" s="88">
        <v>72000</v>
      </c>
      <c r="CS221" s="88">
        <v>72000</v>
      </c>
      <c r="CT221" s="88">
        <v>72000</v>
      </c>
      <c r="CU221" s="88">
        <v>1308.8301210219699</v>
      </c>
      <c r="CV221" s="88">
        <v>1306.910013178511</v>
      </c>
      <c r="CW221" s="88">
        <v>1304.995530837228</v>
      </c>
      <c r="CX221" s="88">
        <v>1303.0220393187369</v>
      </c>
      <c r="CY221" s="88">
        <v>1301.054507648892</v>
      </c>
      <c r="CZ221" s="88">
        <v>1299.0929088707139</v>
      </c>
      <c r="DA221" s="88">
        <v>1297.137216189539</v>
      </c>
      <c r="DB221" s="88">
        <v>1295.155487654634</v>
      </c>
      <c r="DC221" s="88">
        <v>1293.211623157747</v>
      </c>
      <c r="DD221" s="88">
        <v>1291.273584905658</v>
      </c>
      <c r="DE221" s="88">
        <v>1289.34134674353</v>
      </c>
      <c r="DF221" s="88">
        <v>1287.414882672799</v>
      </c>
      <c r="DG221" s="93">
        <v>46204</v>
      </c>
      <c r="DH221" s="91">
        <v>0.02</v>
      </c>
      <c r="DI221" t="s">
        <v>301</v>
      </c>
      <c r="DJ221" s="93"/>
      <c r="DK221" s="91"/>
      <c r="DM221" s="93"/>
      <c r="DN221" s="91"/>
      <c r="DP221" s="93"/>
      <c r="DQ221" s="91"/>
    </row>
    <row r="222" spans="1:121" x14ac:dyDescent="0.3">
      <c r="A222" t="s">
        <v>28</v>
      </c>
      <c r="B222" t="s">
        <v>45</v>
      </c>
      <c r="C222" t="s">
        <v>78</v>
      </c>
      <c r="D222" t="s">
        <v>363</v>
      </c>
      <c r="E222" t="s">
        <v>585</v>
      </c>
      <c r="F222" s="86">
        <v>60000</v>
      </c>
      <c r="G222" s="87">
        <v>12</v>
      </c>
      <c r="H222" s="88">
        <v>1.03</v>
      </c>
      <c r="I222" s="88">
        <v>1.024895833333334</v>
      </c>
      <c r="J222" s="89">
        <v>0.89000000000000024</v>
      </c>
      <c r="K222" s="88">
        <v>1.0049801809126939</v>
      </c>
      <c r="L222" s="88">
        <v>1.01123595505618</v>
      </c>
      <c r="M222" s="88">
        <v>1</v>
      </c>
      <c r="N222" s="90">
        <v>0.61199999999999999</v>
      </c>
      <c r="O222" s="90">
        <v>0.6219585209513615</v>
      </c>
      <c r="P222" s="90">
        <v>0.61887640449438175</v>
      </c>
      <c r="Q222" s="91">
        <v>0</v>
      </c>
      <c r="R222" s="88">
        <v>0.99999999999999978</v>
      </c>
      <c r="S222" s="88">
        <v>1.01123595505618</v>
      </c>
      <c r="T222" s="91">
        <v>-4.9555016181225264E-3</v>
      </c>
      <c r="U222" s="91">
        <v>4.9801809126941432E-3</v>
      </c>
      <c r="V222" s="87">
        <v>0</v>
      </c>
      <c r="W222" s="91">
        <v>0</v>
      </c>
      <c r="X222" s="87">
        <v>1</v>
      </c>
      <c r="Y222" s="90">
        <v>0.6219585209513615</v>
      </c>
      <c r="Z222" s="90">
        <v>0.61887640449438175</v>
      </c>
      <c r="AA222" s="92">
        <v>0</v>
      </c>
      <c r="AB222" s="88">
        <v>0</v>
      </c>
      <c r="AC222" s="87">
        <v>1</v>
      </c>
      <c r="AD222" s="87">
        <v>0</v>
      </c>
      <c r="AE222" s="88">
        <v>1.0175000000000001</v>
      </c>
      <c r="AF222" s="88">
        <v>1</v>
      </c>
      <c r="AG222" s="88">
        <v>1.0175000000000001</v>
      </c>
      <c r="AH222" s="88">
        <v>61800</v>
      </c>
      <c r="AI222" s="88">
        <v>61493.750000000029</v>
      </c>
      <c r="AJ222" s="88">
        <v>53400.000000000007</v>
      </c>
      <c r="AK222" s="88">
        <v>60298.810854761643</v>
      </c>
      <c r="AL222" s="88">
        <v>60674.157303370783</v>
      </c>
      <c r="AM222" s="88">
        <v>60000</v>
      </c>
      <c r="AN222" s="88">
        <v>36720</v>
      </c>
      <c r="AO222" s="88">
        <v>37317.511257081693</v>
      </c>
      <c r="AP222" s="88">
        <v>37132.584269662897</v>
      </c>
      <c r="AQ222" s="88">
        <v>0</v>
      </c>
      <c r="AR222" s="88">
        <v>59999.999999999993</v>
      </c>
      <c r="AS222" s="88">
        <v>60674.157303370783</v>
      </c>
      <c r="AT222" s="88">
        <v>37317.511257081693</v>
      </c>
      <c r="AU222" s="88">
        <v>37132.584269662897</v>
      </c>
      <c r="AV222" s="88">
        <v>54000</v>
      </c>
      <c r="AW222" s="88">
        <v>53400</v>
      </c>
      <c r="AX222" s="88">
        <v>53400</v>
      </c>
      <c r="AY222" s="88">
        <v>60000</v>
      </c>
      <c r="AZ222" s="88">
        <v>60000</v>
      </c>
      <c r="BA222" s="88">
        <v>60000</v>
      </c>
      <c r="BB222" s="88">
        <v>60000</v>
      </c>
      <c r="BC222" s="88">
        <v>60000</v>
      </c>
      <c r="BD222" s="88">
        <v>60000</v>
      </c>
      <c r="BE222" s="88">
        <v>60000</v>
      </c>
      <c r="BF222" s="88">
        <v>60000</v>
      </c>
      <c r="BG222" s="88">
        <v>60000</v>
      </c>
      <c r="BH222" s="88">
        <v>60000</v>
      </c>
      <c r="BI222" s="88">
        <v>60000</v>
      </c>
      <c r="BJ222" s="88">
        <v>60000</v>
      </c>
      <c r="BK222" s="88">
        <v>1800.000000000002</v>
      </c>
      <c r="BL222" s="88">
        <v>1800.000000000002</v>
      </c>
      <c r="BM222" s="88">
        <v>1800.000000000002</v>
      </c>
      <c r="BN222" s="88">
        <v>1800.000000000002</v>
      </c>
      <c r="BO222" s="88">
        <v>1800.000000000002</v>
      </c>
      <c r="BP222" s="88">
        <v>1800.000000000002</v>
      </c>
      <c r="BQ222" s="88">
        <v>1800.000000000002</v>
      </c>
      <c r="BR222" s="88">
        <v>0</v>
      </c>
      <c r="BS222" s="88">
        <v>0</v>
      </c>
      <c r="BT222" s="88">
        <v>0</v>
      </c>
      <c r="BU222" s="88">
        <v>0</v>
      </c>
      <c r="BV222" s="88">
        <v>0</v>
      </c>
      <c r="BW222" s="88">
        <v>1800.000000000002</v>
      </c>
      <c r="BX222" s="88">
        <v>1800.000000000002</v>
      </c>
      <c r="BY222" s="88">
        <v>1800.000000000002</v>
      </c>
      <c r="BZ222" s="88">
        <v>1800.000000000002</v>
      </c>
      <c r="CA222" s="88">
        <v>1800.000000000002</v>
      </c>
      <c r="CB222" s="88">
        <v>1800.000000000002</v>
      </c>
      <c r="CC222" s="88">
        <v>1800.000000000002</v>
      </c>
      <c r="CD222" s="88">
        <v>0</v>
      </c>
      <c r="CE222" s="88">
        <v>0</v>
      </c>
      <c r="CF222" s="88">
        <v>0</v>
      </c>
      <c r="CG222" s="88">
        <v>0</v>
      </c>
      <c r="CH222" s="88">
        <v>0</v>
      </c>
      <c r="CI222" s="88">
        <v>60000</v>
      </c>
      <c r="CJ222" s="88">
        <v>60000</v>
      </c>
      <c r="CK222" s="88">
        <v>60000</v>
      </c>
      <c r="CL222" s="88">
        <v>60000</v>
      </c>
      <c r="CM222" s="88">
        <v>60000</v>
      </c>
      <c r="CN222" s="88">
        <v>60000</v>
      </c>
      <c r="CO222" s="88">
        <v>60000</v>
      </c>
      <c r="CP222" s="88">
        <v>60000</v>
      </c>
      <c r="CQ222" s="88">
        <v>60000</v>
      </c>
      <c r="CR222" s="88">
        <v>60000</v>
      </c>
      <c r="CS222" s="88">
        <v>60000</v>
      </c>
      <c r="CT222" s="88">
        <v>60000</v>
      </c>
      <c r="CU222" s="88">
        <v>0</v>
      </c>
      <c r="CV222" s="88">
        <v>0</v>
      </c>
      <c r="CW222" s="88">
        <v>0</v>
      </c>
      <c r="CX222" s="88">
        <v>0</v>
      </c>
      <c r="CY222" s="88">
        <v>0</v>
      </c>
      <c r="CZ222" s="88">
        <v>0</v>
      </c>
      <c r="DA222" s="88">
        <v>0</v>
      </c>
      <c r="DB222" s="88">
        <v>0</v>
      </c>
      <c r="DC222" s="88">
        <v>0</v>
      </c>
      <c r="DD222" s="88">
        <v>0</v>
      </c>
      <c r="DE222" s="88">
        <v>0</v>
      </c>
      <c r="DF222" s="88">
        <v>0</v>
      </c>
      <c r="DG222" s="93">
        <v>46235</v>
      </c>
      <c r="DH222" s="91">
        <v>0.03</v>
      </c>
      <c r="DI222" t="s">
        <v>301</v>
      </c>
      <c r="DJ222" s="93"/>
      <c r="DK222" s="91"/>
      <c r="DM222" s="93"/>
      <c r="DN222" s="91"/>
      <c r="DP222" s="93"/>
      <c r="DQ222" s="91"/>
    </row>
    <row r="223" spans="1:121" x14ac:dyDescent="0.3">
      <c r="A223" t="s">
        <v>28</v>
      </c>
      <c r="B223" t="s">
        <v>45</v>
      </c>
      <c r="C223" t="s">
        <v>80</v>
      </c>
      <c r="D223" t="s">
        <v>365</v>
      </c>
      <c r="E223" t="s">
        <v>586</v>
      </c>
      <c r="F223" s="86">
        <v>48000</v>
      </c>
      <c r="G223" s="87">
        <v>12</v>
      </c>
      <c r="H223" s="88">
        <v>1</v>
      </c>
      <c r="I223" s="88">
        <v>1</v>
      </c>
      <c r="J223" s="89">
        <v>0.89299370897155361</v>
      </c>
      <c r="K223" s="88">
        <v>1</v>
      </c>
      <c r="L223" s="88">
        <v>1.0078458458979691</v>
      </c>
      <c r="M223" s="88">
        <v>1</v>
      </c>
      <c r="N223" s="90">
        <v>0.59599999999999997</v>
      </c>
      <c r="O223" s="90">
        <v>0.60067612415518945</v>
      </c>
      <c r="P223" s="90">
        <v>0.59403010735316986</v>
      </c>
      <c r="Q223" s="91">
        <v>0</v>
      </c>
      <c r="R223" s="88">
        <v>1</v>
      </c>
      <c r="S223" s="88">
        <v>0.99669481099525148</v>
      </c>
      <c r="T223" s="91">
        <v>0</v>
      </c>
      <c r="U223" s="91">
        <v>0</v>
      </c>
      <c r="V223" s="87">
        <v>0</v>
      </c>
      <c r="W223" s="91">
        <v>0</v>
      </c>
      <c r="X223" s="87">
        <v>1</v>
      </c>
      <c r="Y223" s="90">
        <v>0.60067612415518945</v>
      </c>
      <c r="Z223" s="90">
        <v>0.59403010735316986</v>
      </c>
      <c r="AA223" s="92">
        <v>0</v>
      </c>
      <c r="AB223" s="88">
        <v>0</v>
      </c>
      <c r="AC223" s="87">
        <v>0</v>
      </c>
      <c r="AD223" s="87">
        <v>0</v>
      </c>
      <c r="AE223" s="88">
        <v>1</v>
      </c>
      <c r="AF223" s="88">
        <v>1.0135066962933139</v>
      </c>
      <c r="AG223" s="88">
        <v>1.0135066962933139</v>
      </c>
      <c r="AH223" s="88">
        <v>48000</v>
      </c>
      <c r="AI223" s="88">
        <v>48000</v>
      </c>
      <c r="AJ223" s="88">
        <v>42863.698030634572</v>
      </c>
      <c r="AK223" s="88">
        <v>48000</v>
      </c>
      <c r="AL223" s="88">
        <v>48376.60060310251</v>
      </c>
      <c r="AM223" s="88">
        <v>48000</v>
      </c>
      <c r="AN223" s="88">
        <v>28608</v>
      </c>
      <c r="AO223" s="88">
        <v>28832.453959449089</v>
      </c>
      <c r="AP223" s="88">
        <v>28513.44515295215</v>
      </c>
      <c r="AQ223" s="88">
        <v>0</v>
      </c>
      <c r="AR223" s="88">
        <v>48000</v>
      </c>
      <c r="AS223" s="88">
        <v>47841.350927772073</v>
      </c>
      <c r="AT223" s="88">
        <v>28832.453959449089</v>
      </c>
      <c r="AU223" s="88">
        <v>28513.44515295215</v>
      </c>
      <c r="AV223" s="88">
        <v>43200</v>
      </c>
      <c r="AW223" s="88">
        <v>42720</v>
      </c>
      <c r="AX223" s="88">
        <v>43440</v>
      </c>
      <c r="AY223" s="88">
        <v>48000</v>
      </c>
      <c r="AZ223" s="88">
        <v>48000</v>
      </c>
      <c r="BA223" s="88">
        <v>48000</v>
      </c>
      <c r="BB223" s="88">
        <v>48000</v>
      </c>
      <c r="BC223" s="88">
        <v>48000</v>
      </c>
      <c r="BD223" s="88">
        <v>48000</v>
      </c>
      <c r="BE223" s="88">
        <v>48000</v>
      </c>
      <c r="BF223" s="88">
        <v>48000</v>
      </c>
      <c r="BG223" s="88">
        <v>48000</v>
      </c>
      <c r="BH223" s="88">
        <v>48000</v>
      </c>
      <c r="BI223" s="88">
        <v>48000</v>
      </c>
      <c r="BJ223" s="88">
        <v>48000</v>
      </c>
      <c r="BK223" s="88">
        <v>652.32365479965188</v>
      </c>
      <c r="BL223" s="88">
        <v>651.60794426124369</v>
      </c>
      <c r="BM223" s="88">
        <v>650.89380251515297</v>
      </c>
      <c r="BN223" s="88">
        <v>650.15709655872206</v>
      </c>
      <c r="BO223" s="88">
        <v>649.42205637962047</v>
      </c>
      <c r="BP223" s="88">
        <v>648.68867633445859</v>
      </c>
      <c r="BQ223" s="88">
        <v>647.95695080533028</v>
      </c>
      <c r="BR223" s="88">
        <v>647.21491943676665</v>
      </c>
      <c r="BS223" s="88">
        <v>646.48651308102239</v>
      </c>
      <c r="BT223" s="88">
        <v>645.75974444819553</v>
      </c>
      <c r="BU223" s="88">
        <v>645.03460802120571</v>
      </c>
      <c r="BV223" s="88">
        <v>644.31109830769981</v>
      </c>
      <c r="BW223" s="88">
        <v>0</v>
      </c>
      <c r="BX223" s="88">
        <v>0</v>
      </c>
      <c r="BY223" s="88">
        <v>0</v>
      </c>
      <c r="BZ223" s="88">
        <v>0</v>
      </c>
      <c r="CA223" s="88">
        <v>0</v>
      </c>
      <c r="CB223" s="88">
        <v>0</v>
      </c>
      <c r="CC223" s="88">
        <v>0</v>
      </c>
      <c r="CD223" s="88">
        <v>0</v>
      </c>
      <c r="CE223" s="88">
        <v>0</v>
      </c>
      <c r="CF223" s="88">
        <v>0</v>
      </c>
      <c r="CG223" s="88">
        <v>0</v>
      </c>
      <c r="CH223" s="88">
        <v>0</v>
      </c>
      <c r="CI223" s="88">
        <v>48000</v>
      </c>
      <c r="CJ223" s="88">
        <v>48000</v>
      </c>
      <c r="CK223" s="88">
        <v>48000</v>
      </c>
      <c r="CL223" s="88">
        <v>48000</v>
      </c>
      <c r="CM223" s="88">
        <v>48000</v>
      </c>
      <c r="CN223" s="88">
        <v>48000</v>
      </c>
      <c r="CO223" s="88">
        <v>48000</v>
      </c>
      <c r="CP223" s="88">
        <v>48000</v>
      </c>
      <c r="CQ223" s="88">
        <v>48000</v>
      </c>
      <c r="CR223" s="88">
        <v>48000</v>
      </c>
      <c r="CS223" s="88">
        <v>48000</v>
      </c>
      <c r="CT223" s="88">
        <v>48000</v>
      </c>
      <c r="CU223" s="88">
        <v>652.32365479965188</v>
      </c>
      <c r="CV223" s="88">
        <v>651.60794426124369</v>
      </c>
      <c r="CW223" s="88">
        <v>650.89380251515297</v>
      </c>
      <c r="CX223" s="88">
        <v>650.15709655872206</v>
      </c>
      <c r="CY223" s="88">
        <v>649.42205637962047</v>
      </c>
      <c r="CZ223" s="88">
        <v>648.68867633445859</v>
      </c>
      <c r="DA223" s="88">
        <v>647.95695080533028</v>
      </c>
      <c r="DB223" s="88">
        <v>647.21491943676665</v>
      </c>
      <c r="DC223" s="88">
        <v>646.48651308102239</v>
      </c>
      <c r="DD223" s="88">
        <v>645.75974444819553</v>
      </c>
      <c r="DE223" s="88">
        <v>645.03460802120571</v>
      </c>
      <c r="DF223" s="88">
        <v>644.31109830769981</v>
      </c>
      <c r="DG223" s="93"/>
      <c r="DH223" s="91"/>
      <c r="DJ223" s="93"/>
      <c r="DK223" s="91"/>
      <c r="DM223" s="93"/>
      <c r="DN223" s="91"/>
      <c r="DP223" s="93"/>
      <c r="DQ223" s="91"/>
    </row>
    <row r="224" spans="1:121" x14ac:dyDescent="0.3">
      <c r="A224" t="s">
        <v>28</v>
      </c>
      <c r="B224" t="s">
        <v>45</v>
      </c>
      <c r="C224" t="s">
        <v>82</v>
      </c>
      <c r="D224" t="s">
        <v>367</v>
      </c>
      <c r="E224" t="s">
        <v>587</v>
      </c>
      <c r="F224" s="86">
        <v>36000</v>
      </c>
      <c r="G224" s="87">
        <v>12</v>
      </c>
      <c r="H224" s="88">
        <v>1.05</v>
      </c>
      <c r="I224" s="88">
        <v>1.04775</v>
      </c>
      <c r="J224" s="89">
        <v>0.88900209700948218</v>
      </c>
      <c r="K224" s="88">
        <v>1.002147458840372</v>
      </c>
      <c r="L224" s="88">
        <v>1.0123710652961491</v>
      </c>
      <c r="M224" s="88">
        <v>1</v>
      </c>
      <c r="N224" s="90">
        <v>0.57999999999999996</v>
      </c>
      <c r="O224" s="90">
        <v>0.58843615248423264</v>
      </c>
      <c r="P224" s="90">
        <v>0.56739648189604019</v>
      </c>
      <c r="Q224" s="91">
        <v>0</v>
      </c>
      <c r="R224" s="88">
        <v>0.96269554753309272</v>
      </c>
      <c r="S224" s="88">
        <v>1.016177750981917</v>
      </c>
      <c r="T224" s="91">
        <v>-2.1428571428572241E-3</v>
      </c>
      <c r="U224" s="91">
        <v>4.0980672870436718E-2</v>
      </c>
      <c r="V224" s="87">
        <v>0</v>
      </c>
      <c r="W224" s="91">
        <v>0</v>
      </c>
      <c r="X224" s="87">
        <v>1</v>
      </c>
      <c r="Y224" s="90">
        <v>0.58843615248423264</v>
      </c>
      <c r="Z224" s="90">
        <v>0.56739648189604019</v>
      </c>
      <c r="AA224" s="92">
        <v>0</v>
      </c>
      <c r="AB224" s="88">
        <v>0</v>
      </c>
      <c r="AC224" s="87">
        <v>1</v>
      </c>
      <c r="AD224" s="87">
        <v>1</v>
      </c>
      <c r="AE224" s="88">
        <v>1.0685</v>
      </c>
      <c r="AF224" s="88">
        <v>0.99551801636857096</v>
      </c>
      <c r="AG224" s="88">
        <v>1.0637110198491739</v>
      </c>
      <c r="AH224" s="88">
        <v>37800</v>
      </c>
      <c r="AI224" s="88">
        <v>37719</v>
      </c>
      <c r="AJ224" s="88">
        <v>32004.075492341359</v>
      </c>
      <c r="AK224" s="88">
        <v>36077.308518253412</v>
      </c>
      <c r="AL224" s="88">
        <v>36445.358350661358</v>
      </c>
      <c r="AM224" s="88">
        <v>36000</v>
      </c>
      <c r="AN224" s="88">
        <v>20880</v>
      </c>
      <c r="AO224" s="88">
        <v>21183.70148943238</v>
      </c>
      <c r="AP224" s="88">
        <v>20426.273348257451</v>
      </c>
      <c r="AQ224" s="88">
        <v>0</v>
      </c>
      <c r="AR224" s="88">
        <v>34657.039711191341</v>
      </c>
      <c r="AS224" s="88">
        <v>36582.399035349001</v>
      </c>
      <c r="AT224" s="88">
        <v>21183.70148943238</v>
      </c>
      <c r="AU224" s="88">
        <v>20426.273348257451</v>
      </c>
      <c r="AV224" s="88">
        <v>32400</v>
      </c>
      <c r="AW224" s="88">
        <v>32040</v>
      </c>
      <c r="AX224" s="88">
        <v>31860</v>
      </c>
      <c r="AY224" s="88">
        <v>36000</v>
      </c>
      <c r="AZ224" s="88">
        <v>36000</v>
      </c>
      <c r="BA224" s="88">
        <v>36000</v>
      </c>
      <c r="BB224" s="88">
        <v>36000</v>
      </c>
      <c r="BC224" s="88">
        <v>36000</v>
      </c>
      <c r="BD224" s="88">
        <v>36000</v>
      </c>
      <c r="BE224" s="88">
        <v>36000</v>
      </c>
      <c r="BF224" s="88">
        <v>36000</v>
      </c>
      <c r="BG224" s="88">
        <v>36000</v>
      </c>
      <c r="BH224" s="88">
        <v>36000</v>
      </c>
      <c r="BI224" s="88">
        <v>36000</v>
      </c>
      <c r="BJ224" s="88">
        <v>36000</v>
      </c>
      <c r="BK224" s="88">
        <v>1630.926369579741</v>
      </c>
      <c r="BL224" s="88">
        <v>1630.865226665361</v>
      </c>
      <c r="BM224" s="88">
        <v>1630.8040395121691</v>
      </c>
      <c r="BN224" s="88">
        <v>3135.9703609196031</v>
      </c>
      <c r="BO224" s="88">
        <v>3135.9044714574129</v>
      </c>
      <c r="BP224" s="88">
        <v>3135.8385326507341</v>
      </c>
      <c r="BQ224" s="88">
        <v>3135.7725444441071</v>
      </c>
      <c r="BR224" s="88">
        <v>3135.7054237850439</v>
      </c>
      <c r="BS224" s="88">
        <v>3135.639335799704</v>
      </c>
      <c r="BT224" s="88">
        <v>1271.974474520634</v>
      </c>
      <c r="BU224" s="88">
        <v>1271.9114391143951</v>
      </c>
      <c r="BV224" s="88">
        <v>1271.8483563944669</v>
      </c>
      <c r="BW224" s="88">
        <v>1800.000000000002</v>
      </c>
      <c r="BX224" s="88">
        <v>1800.000000000002</v>
      </c>
      <c r="BY224" s="88">
        <v>1800.000000000002</v>
      </c>
      <c r="BZ224" s="88">
        <v>3312.0000000000032</v>
      </c>
      <c r="CA224" s="88">
        <v>3312.0000000000032</v>
      </c>
      <c r="CB224" s="88">
        <v>3312.0000000000032</v>
      </c>
      <c r="CC224" s="88">
        <v>3312.0000000000032</v>
      </c>
      <c r="CD224" s="88">
        <v>3312.0000000000032</v>
      </c>
      <c r="CE224" s="88">
        <v>3312.0000000000032</v>
      </c>
      <c r="CF224" s="88">
        <v>1440.0000000000009</v>
      </c>
      <c r="CG224" s="88">
        <v>1440.0000000000009</v>
      </c>
      <c r="CH224" s="88">
        <v>1440.0000000000009</v>
      </c>
      <c r="CI224" s="88">
        <v>36000</v>
      </c>
      <c r="CJ224" s="88">
        <v>36000</v>
      </c>
      <c r="CK224" s="88">
        <v>36000</v>
      </c>
      <c r="CL224" s="88">
        <v>36000</v>
      </c>
      <c r="CM224" s="88">
        <v>36000</v>
      </c>
      <c r="CN224" s="88">
        <v>36000</v>
      </c>
      <c r="CO224" s="88">
        <v>36000</v>
      </c>
      <c r="CP224" s="88">
        <v>36000</v>
      </c>
      <c r="CQ224" s="88">
        <v>36000</v>
      </c>
      <c r="CR224" s="88">
        <v>36000</v>
      </c>
      <c r="CS224" s="88">
        <v>36000</v>
      </c>
      <c r="CT224" s="88">
        <v>36000</v>
      </c>
      <c r="CU224" s="88">
        <v>-161.02250516215341</v>
      </c>
      <c r="CV224" s="88">
        <v>-161.08073650918169</v>
      </c>
      <c r="CW224" s="88">
        <v>-161.1390099884118</v>
      </c>
      <c r="CX224" s="88">
        <v>-161.19930318718141</v>
      </c>
      <c r="CY224" s="88">
        <v>-161.2596415225176</v>
      </c>
      <c r="CZ224" s="88">
        <v>-161.3200250451157</v>
      </c>
      <c r="DA224" s="88">
        <v>-161.38045380576699</v>
      </c>
      <c r="DB224" s="88">
        <v>-161.44191961076879</v>
      </c>
      <c r="DC224" s="88">
        <v>-161.5024397438618</v>
      </c>
      <c r="DD224" s="88">
        <v>-161.5630052686252</v>
      </c>
      <c r="DE224" s="88">
        <v>-161.62361623616221</v>
      </c>
      <c r="DF224" s="88">
        <v>-161.68427269762779</v>
      </c>
      <c r="DG224" s="93">
        <v>46296</v>
      </c>
      <c r="DH224" s="91">
        <v>0.05</v>
      </c>
      <c r="DI224" t="s">
        <v>301</v>
      </c>
      <c r="DJ224" s="93">
        <v>46478</v>
      </c>
      <c r="DK224" s="91">
        <v>0.04</v>
      </c>
      <c r="DL224" t="s">
        <v>302</v>
      </c>
      <c r="DM224" s="93"/>
      <c r="DN224" s="91"/>
      <c r="DP224" s="93"/>
      <c r="DQ224" s="91"/>
    </row>
    <row r="225" spans="1:121" x14ac:dyDescent="0.3">
      <c r="A225" t="s">
        <v>28</v>
      </c>
      <c r="B225" t="s">
        <v>45</v>
      </c>
      <c r="C225" t="s">
        <v>85</v>
      </c>
      <c r="D225" t="s">
        <v>369</v>
      </c>
      <c r="E225" t="s">
        <v>588</v>
      </c>
      <c r="F225" s="86">
        <v>24000</v>
      </c>
      <c r="G225" s="87">
        <v>12</v>
      </c>
      <c r="H225" s="88">
        <v>1.06</v>
      </c>
      <c r="I225" s="88">
        <v>1.039166666666667</v>
      </c>
      <c r="J225" s="89">
        <v>0.89199580598103567</v>
      </c>
      <c r="K225" s="88">
        <v>1.020048115477145</v>
      </c>
      <c r="L225" s="88">
        <v>1.0089733538715031</v>
      </c>
      <c r="M225" s="88">
        <v>1</v>
      </c>
      <c r="N225" s="90">
        <v>0.60799999999999998</v>
      </c>
      <c r="O225" s="90">
        <v>0.62575443185543489</v>
      </c>
      <c r="P225" s="90">
        <v>0.60890906309316239</v>
      </c>
      <c r="Q225" s="91">
        <v>0</v>
      </c>
      <c r="R225" s="88">
        <v>0.99999999999999978</v>
      </c>
      <c r="S225" s="88">
        <v>1.0014951695611229</v>
      </c>
      <c r="T225" s="91">
        <v>-1.965408805031443E-2</v>
      </c>
      <c r="U225" s="91">
        <v>2.0048115477145249E-2</v>
      </c>
      <c r="V225" s="87">
        <v>0</v>
      </c>
      <c r="W225" s="91">
        <v>0</v>
      </c>
      <c r="X225" s="87">
        <v>1</v>
      </c>
      <c r="Y225" s="90">
        <v>0.62575443185543489</v>
      </c>
      <c r="Z225" s="90">
        <v>0.60890906309316239</v>
      </c>
      <c r="AA225" s="92">
        <v>0</v>
      </c>
      <c r="AB225" s="88">
        <v>0</v>
      </c>
      <c r="AC225" s="87">
        <v>1</v>
      </c>
      <c r="AD225" s="87">
        <v>0</v>
      </c>
      <c r="AE225" s="88">
        <v>1.05</v>
      </c>
      <c r="AF225" s="88">
        <v>1.0089942603284909</v>
      </c>
      <c r="AG225" s="88">
        <v>1.0594443107508149</v>
      </c>
      <c r="AH225" s="88">
        <v>25440</v>
      </c>
      <c r="AI225" s="88">
        <v>24940</v>
      </c>
      <c r="AJ225" s="88">
        <v>21407.899343544861</v>
      </c>
      <c r="AK225" s="88">
        <v>24481.154771451482</v>
      </c>
      <c r="AL225" s="88">
        <v>24215.360492916068</v>
      </c>
      <c r="AM225" s="88">
        <v>24000</v>
      </c>
      <c r="AN225" s="88">
        <v>14592</v>
      </c>
      <c r="AO225" s="88">
        <v>15018.10636453044</v>
      </c>
      <c r="AP225" s="88">
        <v>14613.8175142359</v>
      </c>
      <c r="AQ225" s="88">
        <v>0</v>
      </c>
      <c r="AR225" s="88">
        <v>24000</v>
      </c>
      <c r="AS225" s="88">
        <v>24035.884069466942</v>
      </c>
      <c r="AT225" s="88">
        <v>15018.10636453044</v>
      </c>
      <c r="AU225" s="88">
        <v>14613.8175142359</v>
      </c>
      <c r="AV225" s="88">
        <v>21600</v>
      </c>
      <c r="AW225" s="88">
        <v>21360</v>
      </c>
      <c r="AX225" s="88">
        <v>21600</v>
      </c>
      <c r="AY225" s="88">
        <v>24000</v>
      </c>
      <c r="AZ225" s="88">
        <v>24000</v>
      </c>
      <c r="BA225" s="88">
        <v>24000</v>
      </c>
      <c r="BB225" s="88">
        <v>24000</v>
      </c>
      <c r="BC225" s="88">
        <v>24000</v>
      </c>
      <c r="BD225" s="88">
        <v>24000</v>
      </c>
      <c r="BE225" s="88">
        <v>24000</v>
      </c>
      <c r="BF225" s="88">
        <v>24000</v>
      </c>
      <c r="BG225" s="88">
        <v>24000</v>
      </c>
      <c r="BH225" s="88">
        <v>24000</v>
      </c>
      <c r="BI225" s="88">
        <v>24000</v>
      </c>
      <c r="BJ225" s="88">
        <v>24000</v>
      </c>
      <c r="BK225" s="88">
        <v>1669.753436181662</v>
      </c>
      <c r="BL225" s="88">
        <v>1669.585857337127</v>
      </c>
      <c r="BM225" s="88">
        <v>1669.4185227735991</v>
      </c>
      <c r="BN225" s="88">
        <v>1669.2457721268991</v>
      </c>
      <c r="BO225" s="88">
        <v>1669.0732814446551</v>
      </c>
      <c r="BP225" s="88">
        <v>1668.9010501405139</v>
      </c>
      <c r="BQ225" s="88">
        <v>1668.7290776298451</v>
      </c>
      <c r="BR225" s="88">
        <v>1668.554550489207</v>
      </c>
      <c r="BS225" s="88">
        <v>1668.383098037285</v>
      </c>
      <c r="BT225" s="88">
        <v>1668.2119026260521</v>
      </c>
      <c r="BU225" s="88">
        <v>215.13298460178021</v>
      </c>
      <c r="BV225" s="88">
        <v>214.97196284617101</v>
      </c>
      <c r="BW225" s="88">
        <v>1440.0000000000009</v>
      </c>
      <c r="BX225" s="88">
        <v>1440.0000000000009</v>
      </c>
      <c r="BY225" s="88">
        <v>1440.0000000000009</v>
      </c>
      <c r="BZ225" s="88">
        <v>1440.0000000000009</v>
      </c>
      <c r="CA225" s="88">
        <v>1440.0000000000009</v>
      </c>
      <c r="CB225" s="88">
        <v>1440.0000000000009</v>
      </c>
      <c r="CC225" s="88">
        <v>1440.0000000000009</v>
      </c>
      <c r="CD225" s="88">
        <v>1440.0000000000009</v>
      </c>
      <c r="CE225" s="88">
        <v>1440.0000000000009</v>
      </c>
      <c r="CF225" s="88">
        <v>1440.0000000000009</v>
      </c>
      <c r="CG225" s="88">
        <v>0</v>
      </c>
      <c r="CH225" s="88">
        <v>0</v>
      </c>
      <c r="CI225" s="88">
        <v>24000</v>
      </c>
      <c r="CJ225" s="88">
        <v>24000</v>
      </c>
      <c r="CK225" s="88">
        <v>24000</v>
      </c>
      <c r="CL225" s="88">
        <v>24000</v>
      </c>
      <c r="CM225" s="88">
        <v>24000</v>
      </c>
      <c r="CN225" s="88">
        <v>24000</v>
      </c>
      <c r="CO225" s="88">
        <v>24000</v>
      </c>
      <c r="CP225" s="88">
        <v>24000</v>
      </c>
      <c r="CQ225" s="88">
        <v>24000</v>
      </c>
      <c r="CR225" s="88">
        <v>24000</v>
      </c>
      <c r="CS225" s="88">
        <v>24000</v>
      </c>
      <c r="CT225" s="88">
        <v>24000</v>
      </c>
      <c r="CU225" s="88">
        <v>216.74852469968189</v>
      </c>
      <c r="CV225" s="88">
        <v>216.59043145011839</v>
      </c>
      <c r="CW225" s="88">
        <v>216.43256865433889</v>
      </c>
      <c r="CX225" s="88">
        <v>216.2695963461303</v>
      </c>
      <c r="CY225" s="88">
        <v>216.10686928741171</v>
      </c>
      <c r="CZ225" s="88">
        <v>215.9443869250097</v>
      </c>
      <c r="DA225" s="88">
        <v>215.7821487073974</v>
      </c>
      <c r="DB225" s="88">
        <v>215.61750046151221</v>
      </c>
      <c r="DC225" s="88">
        <v>215.45575286536331</v>
      </c>
      <c r="DD225" s="88">
        <v>215.29424776042561</v>
      </c>
      <c r="DE225" s="88">
        <v>215.13298460178021</v>
      </c>
      <c r="DF225" s="88">
        <v>214.97196284617101</v>
      </c>
      <c r="DG225" s="93">
        <v>46327</v>
      </c>
      <c r="DH225" s="91">
        <v>0.06</v>
      </c>
      <c r="DI225" t="s">
        <v>301</v>
      </c>
      <c r="DJ225" s="93"/>
      <c r="DK225" s="91"/>
      <c r="DM225" s="93"/>
      <c r="DN225" s="91"/>
      <c r="DP225" s="93"/>
      <c r="DQ225" s="91"/>
    </row>
    <row r="226" spans="1:121" x14ac:dyDescent="0.3">
      <c r="A226" t="s">
        <v>28</v>
      </c>
      <c r="B226" t="s">
        <v>45</v>
      </c>
      <c r="C226" t="s">
        <v>87</v>
      </c>
      <c r="D226" t="s">
        <v>371</v>
      </c>
      <c r="E226" t="s">
        <v>589</v>
      </c>
      <c r="F226" s="86">
        <v>63000</v>
      </c>
      <c r="G226" s="87">
        <v>12</v>
      </c>
      <c r="H226" s="88">
        <v>1</v>
      </c>
      <c r="I226" s="88">
        <v>1</v>
      </c>
      <c r="J226" s="89">
        <v>0.88800419401896435</v>
      </c>
      <c r="K226" s="88">
        <v>1</v>
      </c>
      <c r="L226" s="88">
        <v>1.0135087267175451</v>
      </c>
      <c r="M226" s="88">
        <v>1</v>
      </c>
      <c r="N226" s="90">
        <v>0.59199999999999997</v>
      </c>
      <c r="O226" s="90">
        <v>0.59999716621678645</v>
      </c>
      <c r="P226" s="90">
        <v>0.60453150578766135</v>
      </c>
      <c r="Q226" s="91">
        <v>0</v>
      </c>
      <c r="R226" s="88">
        <v>1</v>
      </c>
      <c r="S226" s="88">
        <v>1.0211680841007791</v>
      </c>
      <c r="T226" s="91">
        <v>0</v>
      </c>
      <c r="U226" s="91">
        <v>0</v>
      </c>
      <c r="V226" s="87">
        <v>0</v>
      </c>
      <c r="W226" s="91">
        <v>0</v>
      </c>
      <c r="X226" s="87">
        <v>1</v>
      </c>
      <c r="Y226" s="90">
        <v>0.59999716621678645</v>
      </c>
      <c r="Z226" s="90">
        <v>0.60453150578766135</v>
      </c>
      <c r="AA226" s="92">
        <v>0</v>
      </c>
      <c r="AB226" s="88">
        <v>0</v>
      </c>
      <c r="AC226" s="87">
        <v>0</v>
      </c>
      <c r="AD226" s="87">
        <v>0</v>
      </c>
      <c r="AE226" s="88">
        <v>1</v>
      </c>
      <c r="AF226" s="88">
        <v>0.99104602551311949</v>
      </c>
      <c r="AG226" s="88">
        <v>0.99104602551311949</v>
      </c>
      <c r="AH226" s="88">
        <v>63000</v>
      </c>
      <c r="AI226" s="88">
        <v>63000</v>
      </c>
      <c r="AJ226" s="88">
        <v>55944.264223194747</v>
      </c>
      <c r="AK226" s="88">
        <v>63000</v>
      </c>
      <c r="AL226" s="88">
        <v>63851.049783205322</v>
      </c>
      <c r="AM226" s="88">
        <v>63000</v>
      </c>
      <c r="AN226" s="88">
        <v>37296</v>
      </c>
      <c r="AO226" s="88">
        <v>37799.821471657553</v>
      </c>
      <c r="AP226" s="88">
        <v>38085.484864622667</v>
      </c>
      <c r="AQ226" s="88">
        <v>0</v>
      </c>
      <c r="AR226" s="88">
        <v>63000</v>
      </c>
      <c r="AS226" s="88">
        <v>64333.589298349099</v>
      </c>
      <c r="AT226" s="88">
        <v>37799.821471657553</v>
      </c>
      <c r="AU226" s="88">
        <v>38085.484864622667</v>
      </c>
      <c r="AV226" s="88">
        <v>56700</v>
      </c>
      <c r="AW226" s="88">
        <v>56070</v>
      </c>
      <c r="AX226" s="88">
        <v>55440</v>
      </c>
      <c r="AY226" s="88">
        <v>63000</v>
      </c>
      <c r="AZ226" s="88">
        <v>63000</v>
      </c>
      <c r="BA226" s="88">
        <v>63000</v>
      </c>
      <c r="BB226" s="88">
        <v>63000</v>
      </c>
      <c r="BC226" s="88">
        <v>63000</v>
      </c>
      <c r="BD226" s="88">
        <v>63000</v>
      </c>
      <c r="BE226" s="88">
        <v>63000</v>
      </c>
      <c r="BF226" s="88">
        <v>63000</v>
      </c>
      <c r="BG226" s="88">
        <v>63000</v>
      </c>
      <c r="BH226" s="88">
        <v>63000</v>
      </c>
      <c r="BI226" s="88">
        <v>63000</v>
      </c>
      <c r="BJ226" s="88">
        <v>63000</v>
      </c>
      <c r="BK226" s="88">
        <v>-561.80598819950569</v>
      </c>
      <c r="BL226" s="88">
        <v>-562.21119288036562</v>
      </c>
      <c r="BM226" s="88">
        <v>-562.61698249391281</v>
      </c>
      <c r="BN226" s="88">
        <v>-563.03714404642392</v>
      </c>
      <c r="BO226" s="88">
        <v>-563.45793362002519</v>
      </c>
      <c r="BP226" s="88">
        <v>-563.87935262383041</v>
      </c>
      <c r="BQ226" s="88">
        <v>-564.30140247119198</v>
      </c>
      <c r="BR226" s="88">
        <v>-564.73101906996203</v>
      </c>
      <c r="BS226" s="88">
        <v>-565.15434526149897</v>
      </c>
      <c r="BT226" s="88">
        <v>-565.57830658550552</v>
      </c>
      <c r="BU226" s="88">
        <v>-566.00290447239354</v>
      </c>
      <c r="BV226" s="88">
        <v>-566.4281403569322</v>
      </c>
      <c r="BW226" s="88">
        <v>0</v>
      </c>
      <c r="BX226" s="88">
        <v>0</v>
      </c>
      <c r="BY226" s="88">
        <v>0</v>
      </c>
      <c r="BZ226" s="88">
        <v>0</v>
      </c>
      <c r="CA226" s="88">
        <v>0</v>
      </c>
      <c r="CB226" s="88">
        <v>0</v>
      </c>
      <c r="CC226" s="88">
        <v>0</v>
      </c>
      <c r="CD226" s="88">
        <v>0</v>
      </c>
      <c r="CE226" s="88">
        <v>0</v>
      </c>
      <c r="CF226" s="88">
        <v>0</v>
      </c>
      <c r="CG226" s="88">
        <v>0</v>
      </c>
      <c r="CH226" s="88">
        <v>0</v>
      </c>
      <c r="CI226" s="88">
        <v>63000</v>
      </c>
      <c r="CJ226" s="88">
        <v>63000</v>
      </c>
      <c r="CK226" s="88">
        <v>63000</v>
      </c>
      <c r="CL226" s="88">
        <v>63000</v>
      </c>
      <c r="CM226" s="88">
        <v>63000</v>
      </c>
      <c r="CN226" s="88">
        <v>63000</v>
      </c>
      <c r="CO226" s="88">
        <v>63000</v>
      </c>
      <c r="CP226" s="88">
        <v>63000</v>
      </c>
      <c r="CQ226" s="88">
        <v>63000</v>
      </c>
      <c r="CR226" s="88">
        <v>63000</v>
      </c>
      <c r="CS226" s="88">
        <v>63000</v>
      </c>
      <c r="CT226" s="88">
        <v>63000</v>
      </c>
      <c r="CU226" s="88">
        <v>-561.80598819950569</v>
      </c>
      <c r="CV226" s="88">
        <v>-562.21119288036562</v>
      </c>
      <c r="CW226" s="88">
        <v>-562.61698249391281</v>
      </c>
      <c r="CX226" s="88">
        <v>-563.03714404642392</v>
      </c>
      <c r="CY226" s="88">
        <v>-563.45793362002519</v>
      </c>
      <c r="CZ226" s="88">
        <v>-563.87935262383041</v>
      </c>
      <c r="DA226" s="88">
        <v>-564.30140247119198</v>
      </c>
      <c r="DB226" s="88">
        <v>-564.73101906996203</v>
      </c>
      <c r="DC226" s="88">
        <v>-565.15434526149897</v>
      </c>
      <c r="DD226" s="88">
        <v>-565.57830658550552</v>
      </c>
      <c r="DE226" s="88">
        <v>-566.00290447239354</v>
      </c>
      <c r="DF226" s="88">
        <v>-566.4281403569322</v>
      </c>
      <c r="DG226" s="93"/>
      <c r="DH226" s="91"/>
      <c r="DJ226" s="93"/>
      <c r="DK226" s="91"/>
      <c r="DM226" s="93"/>
      <c r="DN226" s="91"/>
      <c r="DP226" s="93"/>
      <c r="DQ226" s="91"/>
    </row>
    <row r="227" spans="1:121" x14ac:dyDescent="0.3">
      <c r="A227" t="s">
        <v>28</v>
      </c>
      <c r="B227" t="s">
        <v>45</v>
      </c>
      <c r="C227" t="s">
        <v>89</v>
      </c>
      <c r="D227" t="s">
        <v>373</v>
      </c>
      <c r="E227" t="s">
        <v>590</v>
      </c>
      <c r="F227" s="86">
        <v>51000</v>
      </c>
      <c r="G227" s="87">
        <v>12</v>
      </c>
      <c r="H227" s="88">
        <v>1.03</v>
      </c>
      <c r="I227" s="88">
        <v>1.03</v>
      </c>
      <c r="J227" s="89">
        <v>0.89099790299051795</v>
      </c>
      <c r="K227" s="88">
        <v>0.99999999999999978</v>
      </c>
      <c r="L227" s="88">
        <v>1.010103387425793</v>
      </c>
      <c r="M227" s="88">
        <v>1</v>
      </c>
      <c r="N227" s="90">
        <v>0.62</v>
      </c>
      <c r="O227" s="90">
        <v>0.62626410020399137</v>
      </c>
      <c r="P227" s="90">
        <v>0.62393203480675541</v>
      </c>
      <c r="Q227" s="91">
        <v>0</v>
      </c>
      <c r="R227" s="88">
        <v>0.99999999999999978</v>
      </c>
      <c r="S227" s="88">
        <v>1.006341991623799</v>
      </c>
      <c r="T227" s="91">
        <v>0</v>
      </c>
      <c r="U227" s="91">
        <v>0</v>
      </c>
      <c r="V227" s="87">
        <v>0</v>
      </c>
      <c r="W227" s="91">
        <v>0</v>
      </c>
      <c r="X227" s="87">
        <v>1</v>
      </c>
      <c r="Y227" s="90">
        <v>0.62626410020399137</v>
      </c>
      <c r="Z227" s="90">
        <v>0.62393203480675541</v>
      </c>
      <c r="AA227" s="92">
        <v>0</v>
      </c>
      <c r="AB227" s="88">
        <v>0</v>
      </c>
      <c r="AC227" s="87">
        <v>1</v>
      </c>
      <c r="AD227" s="87">
        <v>0</v>
      </c>
      <c r="AE227" s="88">
        <v>1</v>
      </c>
      <c r="AF227" s="88">
        <v>1.004492054902975</v>
      </c>
      <c r="AG227" s="88">
        <v>1.004492054902975</v>
      </c>
      <c r="AH227" s="88">
        <v>52530</v>
      </c>
      <c r="AI227" s="88">
        <v>52530.000000000007</v>
      </c>
      <c r="AJ227" s="88">
        <v>45440.893052516418</v>
      </c>
      <c r="AK227" s="88">
        <v>50999.999999999993</v>
      </c>
      <c r="AL227" s="88">
        <v>51515.27275871543</v>
      </c>
      <c r="AM227" s="88">
        <v>51000</v>
      </c>
      <c r="AN227" s="88">
        <v>31620</v>
      </c>
      <c r="AO227" s="88">
        <v>31939.469110403559</v>
      </c>
      <c r="AP227" s="88">
        <v>31820.533775144529</v>
      </c>
      <c r="AQ227" s="88">
        <v>0</v>
      </c>
      <c r="AR227" s="88">
        <v>50999.999999999993</v>
      </c>
      <c r="AS227" s="88">
        <v>51323.441572813761</v>
      </c>
      <c r="AT227" s="88">
        <v>31939.469110403559</v>
      </c>
      <c r="AU227" s="88">
        <v>31820.533775144529</v>
      </c>
      <c r="AV227" s="88">
        <v>45900</v>
      </c>
      <c r="AW227" s="88">
        <v>45390</v>
      </c>
      <c r="AX227" s="88">
        <v>45645</v>
      </c>
      <c r="AY227" s="88">
        <v>51000</v>
      </c>
      <c r="AZ227" s="88">
        <v>51000</v>
      </c>
      <c r="BA227" s="88">
        <v>51000</v>
      </c>
      <c r="BB227" s="88">
        <v>51000</v>
      </c>
      <c r="BC227" s="88">
        <v>51000</v>
      </c>
      <c r="BD227" s="88">
        <v>51000</v>
      </c>
      <c r="BE227" s="88">
        <v>51000</v>
      </c>
      <c r="BF227" s="88">
        <v>51000</v>
      </c>
      <c r="BG227" s="88">
        <v>51000</v>
      </c>
      <c r="BH227" s="88">
        <v>51000</v>
      </c>
      <c r="BI227" s="88">
        <v>51000</v>
      </c>
      <c r="BJ227" s="88">
        <v>51000</v>
      </c>
      <c r="BK227" s="88">
        <v>229.56399489447099</v>
      </c>
      <c r="BL227" s="88">
        <v>229.4805098744979</v>
      </c>
      <c r="BM227" s="88">
        <v>229.39708555408751</v>
      </c>
      <c r="BN227" s="88">
        <v>229.31089704106961</v>
      </c>
      <c r="BO227" s="88">
        <v>229.22477326880639</v>
      </c>
      <c r="BP227" s="88">
        <v>229.13871416438101</v>
      </c>
      <c r="BQ227" s="88">
        <v>229.05271965497829</v>
      </c>
      <c r="BR227" s="88">
        <v>228.96538151671811</v>
      </c>
      <c r="BS227" s="88">
        <v>228.8795170353344</v>
      </c>
      <c r="BT227" s="88">
        <v>228.79371692999581</v>
      </c>
      <c r="BU227" s="88">
        <v>228.707981128363</v>
      </c>
      <c r="BV227" s="88">
        <v>228.62230955816429</v>
      </c>
      <c r="BW227" s="88">
        <v>0</v>
      </c>
      <c r="BX227" s="88">
        <v>0</v>
      </c>
      <c r="BY227" s="88">
        <v>0</v>
      </c>
      <c r="BZ227" s="88">
        <v>0</v>
      </c>
      <c r="CA227" s="88">
        <v>0</v>
      </c>
      <c r="CB227" s="88">
        <v>0</v>
      </c>
      <c r="CC227" s="88">
        <v>0</v>
      </c>
      <c r="CD227" s="88">
        <v>0</v>
      </c>
      <c r="CE227" s="88">
        <v>0</v>
      </c>
      <c r="CF227" s="88">
        <v>0</v>
      </c>
      <c r="CG227" s="88">
        <v>0</v>
      </c>
      <c r="CH227" s="88">
        <v>0</v>
      </c>
      <c r="CI227" s="88">
        <v>51000</v>
      </c>
      <c r="CJ227" s="88">
        <v>51000</v>
      </c>
      <c r="CK227" s="88">
        <v>51000</v>
      </c>
      <c r="CL227" s="88">
        <v>51000</v>
      </c>
      <c r="CM227" s="88">
        <v>51000</v>
      </c>
      <c r="CN227" s="88">
        <v>51000</v>
      </c>
      <c r="CO227" s="88">
        <v>51000</v>
      </c>
      <c r="CP227" s="88">
        <v>51000</v>
      </c>
      <c r="CQ227" s="88">
        <v>51000</v>
      </c>
      <c r="CR227" s="88">
        <v>51000</v>
      </c>
      <c r="CS227" s="88">
        <v>51000</v>
      </c>
      <c r="CT227" s="88">
        <v>51000</v>
      </c>
      <c r="CU227" s="88">
        <v>229.56399489447099</v>
      </c>
      <c r="CV227" s="88">
        <v>229.4805098744979</v>
      </c>
      <c r="CW227" s="88">
        <v>229.39708555408751</v>
      </c>
      <c r="CX227" s="88">
        <v>229.31089704106961</v>
      </c>
      <c r="CY227" s="88">
        <v>229.22477326880639</v>
      </c>
      <c r="CZ227" s="88">
        <v>229.13871416438101</v>
      </c>
      <c r="DA227" s="88">
        <v>229.05271965497829</v>
      </c>
      <c r="DB227" s="88">
        <v>228.96538151671811</v>
      </c>
      <c r="DC227" s="88">
        <v>228.8795170353344</v>
      </c>
      <c r="DD227" s="88">
        <v>228.79371692999581</v>
      </c>
      <c r="DE227" s="88">
        <v>228.707981128363</v>
      </c>
      <c r="DF227" s="88">
        <v>228.62230955816429</v>
      </c>
      <c r="DG227" s="93">
        <v>46023</v>
      </c>
      <c r="DH227" s="91">
        <v>0.03</v>
      </c>
      <c r="DI227" t="s">
        <v>301</v>
      </c>
      <c r="DJ227" s="93"/>
      <c r="DK227" s="91"/>
      <c r="DM227" s="93"/>
      <c r="DN227" s="91"/>
      <c r="DP227" s="93"/>
      <c r="DQ227" s="91"/>
    </row>
    <row r="228" spans="1:121" x14ac:dyDescent="0.3">
      <c r="A228" t="s">
        <v>28</v>
      </c>
      <c r="B228" t="s">
        <v>45</v>
      </c>
      <c r="C228" t="s">
        <v>91</v>
      </c>
      <c r="D228" t="s">
        <v>375</v>
      </c>
      <c r="E228" t="s">
        <v>591</v>
      </c>
      <c r="F228" s="86">
        <v>39000</v>
      </c>
      <c r="G228" s="87">
        <v>12</v>
      </c>
      <c r="H228" s="88">
        <v>1.04</v>
      </c>
      <c r="I228" s="88">
        <v>1.0434722222222219</v>
      </c>
      <c r="J228" s="89">
        <v>0.89399161196207155</v>
      </c>
      <c r="K228" s="88">
        <v>0.99667243444695852</v>
      </c>
      <c r="L228" s="88">
        <v>1.00672085504778</v>
      </c>
      <c r="M228" s="88">
        <v>1</v>
      </c>
      <c r="N228" s="90">
        <v>0.60399999999999998</v>
      </c>
      <c r="O228" s="90">
        <v>0.60603603894703284</v>
      </c>
      <c r="P228" s="90">
        <v>0.57988301700451172</v>
      </c>
      <c r="Q228" s="91">
        <v>0</v>
      </c>
      <c r="R228" s="88">
        <v>0.96787202580992038</v>
      </c>
      <c r="S228" s="88">
        <v>0.99194025098798855</v>
      </c>
      <c r="T228" s="91">
        <v>3.3386752136752569E-3</v>
      </c>
      <c r="U228" s="91">
        <v>2.9756422201517641E-2</v>
      </c>
      <c r="V228" s="87">
        <v>0</v>
      </c>
      <c r="W228" s="91">
        <v>0</v>
      </c>
      <c r="X228" s="87">
        <v>1</v>
      </c>
      <c r="Y228" s="90">
        <v>0.60603603894703284</v>
      </c>
      <c r="Z228" s="90">
        <v>0.57988301700451172</v>
      </c>
      <c r="AA228" s="92">
        <v>0</v>
      </c>
      <c r="AB228" s="88">
        <v>0</v>
      </c>
      <c r="AC228" s="87">
        <v>1</v>
      </c>
      <c r="AD228" s="87">
        <v>1</v>
      </c>
      <c r="AE228" s="88">
        <v>1.02</v>
      </c>
      <c r="AF228" s="88">
        <v>1.0180294435905091</v>
      </c>
      <c r="AG228" s="88">
        <v>1.038388944842646</v>
      </c>
      <c r="AH228" s="88">
        <v>40560</v>
      </c>
      <c r="AI228" s="88">
        <v>40695.416666666672</v>
      </c>
      <c r="AJ228" s="88">
        <v>34865.672866520792</v>
      </c>
      <c r="AK228" s="88">
        <v>38870.224943431393</v>
      </c>
      <c r="AL228" s="88">
        <v>39262.113346863429</v>
      </c>
      <c r="AM228" s="88">
        <v>39000</v>
      </c>
      <c r="AN228" s="88">
        <v>23556</v>
      </c>
      <c r="AO228" s="88">
        <v>23635.40551893428</v>
      </c>
      <c r="AP228" s="88">
        <v>22615.437663175959</v>
      </c>
      <c r="AQ228" s="88">
        <v>0</v>
      </c>
      <c r="AR228" s="88">
        <v>37747.009006586894</v>
      </c>
      <c r="AS228" s="88">
        <v>38685.669788531552</v>
      </c>
      <c r="AT228" s="88">
        <v>23635.40551893428</v>
      </c>
      <c r="AU228" s="88">
        <v>22615.437663175959</v>
      </c>
      <c r="AV228" s="88">
        <v>35100</v>
      </c>
      <c r="AW228" s="88">
        <v>34710</v>
      </c>
      <c r="AX228" s="88">
        <v>35490</v>
      </c>
      <c r="AY228" s="88">
        <v>39000</v>
      </c>
      <c r="AZ228" s="88">
        <v>39000</v>
      </c>
      <c r="BA228" s="88">
        <v>39000</v>
      </c>
      <c r="BB228" s="88">
        <v>39000</v>
      </c>
      <c r="BC228" s="88">
        <v>39000</v>
      </c>
      <c r="BD228" s="88">
        <v>39000</v>
      </c>
      <c r="BE228" s="88">
        <v>39000</v>
      </c>
      <c r="BF228" s="88">
        <v>39000</v>
      </c>
      <c r="BG228" s="88">
        <v>39000</v>
      </c>
      <c r="BH228" s="88">
        <v>39000</v>
      </c>
      <c r="BI228" s="88">
        <v>39000</v>
      </c>
      <c r="BJ228" s="88">
        <v>39000</v>
      </c>
      <c r="BK228" s="88">
        <v>2297.307634842381</v>
      </c>
      <c r="BL228" s="88">
        <v>707.90959047169349</v>
      </c>
      <c r="BM228" s="88">
        <v>706.87257920349862</v>
      </c>
      <c r="BN228" s="88">
        <v>705.80360463098259</v>
      </c>
      <c r="BO228" s="88">
        <v>704.73785830981672</v>
      </c>
      <c r="BP228" s="88">
        <v>703.67532563830321</v>
      </c>
      <c r="BQ228" s="88">
        <v>702.61599210266672</v>
      </c>
      <c r="BR228" s="88">
        <v>2289.6042580454409</v>
      </c>
      <c r="BS228" s="88">
        <v>2288.5092143788679</v>
      </c>
      <c r="BT228" s="88">
        <v>2287.4174528301878</v>
      </c>
      <c r="BU228" s="88">
        <v>2286.3289586655269</v>
      </c>
      <c r="BV228" s="88">
        <v>2285.2437172390082</v>
      </c>
      <c r="BW228" s="88">
        <v>1560.0000000000009</v>
      </c>
      <c r="BX228" s="88">
        <v>0</v>
      </c>
      <c r="BY228" s="88">
        <v>0</v>
      </c>
      <c r="BZ228" s="88">
        <v>0</v>
      </c>
      <c r="CA228" s="88">
        <v>0</v>
      </c>
      <c r="CB228" s="88">
        <v>0</v>
      </c>
      <c r="CC228" s="88">
        <v>0</v>
      </c>
      <c r="CD228" s="88">
        <v>1560.0000000000009</v>
      </c>
      <c r="CE228" s="88">
        <v>1560.0000000000009</v>
      </c>
      <c r="CF228" s="88">
        <v>1560.0000000000009</v>
      </c>
      <c r="CG228" s="88">
        <v>1560.0000000000009</v>
      </c>
      <c r="CH228" s="88">
        <v>1560.0000000000009</v>
      </c>
      <c r="CI228" s="88">
        <v>39000</v>
      </c>
      <c r="CJ228" s="88">
        <v>39000</v>
      </c>
      <c r="CK228" s="88">
        <v>39000</v>
      </c>
      <c r="CL228" s="88">
        <v>39000</v>
      </c>
      <c r="CM228" s="88">
        <v>39000</v>
      </c>
      <c r="CN228" s="88">
        <v>39000</v>
      </c>
      <c r="CO228" s="88">
        <v>39000</v>
      </c>
      <c r="CP228" s="88">
        <v>39000</v>
      </c>
      <c r="CQ228" s="88">
        <v>39000</v>
      </c>
      <c r="CR228" s="88">
        <v>39000</v>
      </c>
      <c r="CS228" s="88">
        <v>39000</v>
      </c>
      <c r="CT228" s="88">
        <v>39000</v>
      </c>
      <c r="CU228" s="88">
        <v>708.94964888690026</v>
      </c>
      <c r="CV228" s="88">
        <v>707.90959047169349</v>
      </c>
      <c r="CW228" s="88">
        <v>706.87257920349862</v>
      </c>
      <c r="CX228" s="88">
        <v>705.80360463098259</v>
      </c>
      <c r="CY228" s="88">
        <v>704.73785830981672</v>
      </c>
      <c r="CZ228" s="88">
        <v>703.67532563830321</v>
      </c>
      <c r="DA228" s="88">
        <v>702.61599210266672</v>
      </c>
      <c r="DB228" s="88">
        <v>701.54255581292693</v>
      </c>
      <c r="DC228" s="88">
        <v>700.48962921044631</v>
      </c>
      <c r="DD228" s="88">
        <v>699.43985849056503</v>
      </c>
      <c r="DE228" s="88">
        <v>698.39322948607889</v>
      </c>
      <c r="DF228" s="88">
        <v>697.34972811443276</v>
      </c>
      <c r="DG228" s="93">
        <v>46054</v>
      </c>
      <c r="DH228" s="91">
        <v>0.04</v>
      </c>
      <c r="DI228" t="s">
        <v>301</v>
      </c>
      <c r="DJ228" s="93">
        <v>46600</v>
      </c>
      <c r="DK228" s="91">
        <v>0.04</v>
      </c>
      <c r="DL228" t="s">
        <v>302</v>
      </c>
      <c r="DM228" s="93"/>
      <c r="DN228" s="91"/>
      <c r="DP228" s="93"/>
      <c r="DQ228" s="91"/>
    </row>
    <row r="229" spans="1:121" x14ac:dyDescent="0.3">
      <c r="A229" t="s">
        <v>28</v>
      </c>
      <c r="B229" t="s">
        <v>45</v>
      </c>
      <c r="C229" t="s">
        <v>92</v>
      </c>
      <c r="D229" t="s">
        <v>377</v>
      </c>
      <c r="E229" t="s">
        <v>592</v>
      </c>
      <c r="F229" s="86">
        <v>27000</v>
      </c>
      <c r="G229" s="87">
        <v>12</v>
      </c>
      <c r="H229" s="88">
        <v>1</v>
      </c>
      <c r="I229" s="88">
        <v>1</v>
      </c>
      <c r="J229" s="89">
        <v>0.89000000000000024</v>
      </c>
      <c r="K229" s="88">
        <v>1</v>
      </c>
      <c r="L229" s="88">
        <v>1.01123595505618</v>
      </c>
      <c r="M229" s="88">
        <v>1</v>
      </c>
      <c r="N229" s="90">
        <v>0.58799999999999997</v>
      </c>
      <c r="O229" s="90">
        <v>0.59460674157303361</v>
      </c>
      <c r="P229" s="90">
        <v>0.59460674157303361</v>
      </c>
      <c r="Q229" s="91">
        <v>0</v>
      </c>
      <c r="R229" s="88">
        <v>1</v>
      </c>
      <c r="S229" s="88">
        <v>1.01123595505618</v>
      </c>
      <c r="T229" s="91">
        <v>0</v>
      </c>
      <c r="U229" s="91">
        <v>0</v>
      </c>
      <c r="V229" s="87">
        <v>0</v>
      </c>
      <c r="W229" s="91">
        <v>0</v>
      </c>
      <c r="X229" s="87">
        <v>1</v>
      </c>
      <c r="Y229" s="90">
        <v>0.59460674157303361</v>
      </c>
      <c r="Z229" s="90">
        <v>0.59460674157303361</v>
      </c>
      <c r="AA229" s="92">
        <v>0</v>
      </c>
      <c r="AB229" s="88">
        <v>0</v>
      </c>
      <c r="AC229" s="87">
        <v>0</v>
      </c>
      <c r="AD229" s="87">
        <v>0</v>
      </c>
      <c r="AE229" s="88">
        <v>1</v>
      </c>
      <c r="AF229" s="88">
        <v>1</v>
      </c>
      <c r="AG229" s="88">
        <v>1</v>
      </c>
      <c r="AH229" s="88">
        <v>27000</v>
      </c>
      <c r="AI229" s="88">
        <v>27000</v>
      </c>
      <c r="AJ229" s="88">
        <v>24030.000000000011</v>
      </c>
      <c r="AK229" s="88">
        <v>27000</v>
      </c>
      <c r="AL229" s="88">
        <v>27303.370786516851</v>
      </c>
      <c r="AM229" s="88">
        <v>27000</v>
      </c>
      <c r="AN229" s="88">
        <v>15876</v>
      </c>
      <c r="AO229" s="88">
        <v>16054.382022471909</v>
      </c>
      <c r="AP229" s="88">
        <v>16054.382022471909</v>
      </c>
      <c r="AQ229" s="88">
        <v>0</v>
      </c>
      <c r="AR229" s="88">
        <v>27000</v>
      </c>
      <c r="AS229" s="88">
        <v>27303.370786516851</v>
      </c>
      <c r="AT229" s="88">
        <v>16054.382022471909</v>
      </c>
      <c r="AU229" s="88">
        <v>16054.382022471909</v>
      </c>
      <c r="AV229" s="88">
        <v>24300</v>
      </c>
      <c r="AW229" s="88">
        <v>24030</v>
      </c>
      <c r="AX229" s="88">
        <v>24030</v>
      </c>
      <c r="AY229" s="88">
        <v>27000</v>
      </c>
      <c r="AZ229" s="88">
        <v>27000</v>
      </c>
      <c r="BA229" s="88">
        <v>27000</v>
      </c>
      <c r="BB229" s="88">
        <v>27000</v>
      </c>
      <c r="BC229" s="88">
        <v>27000</v>
      </c>
      <c r="BD229" s="88">
        <v>27000</v>
      </c>
      <c r="BE229" s="88">
        <v>27000</v>
      </c>
      <c r="BF229" s="88">
        <v>27000</v>
      </c>
      <c r="BG229" s="88">
        <v>27000</v>
      </c>
      <c r="BH229" s="88">
        <v>27000</v>
      </c>
      <c r="BI229" s="88">
        <v>27000</v>
      </c>
      <c r="BJ229" s="88">
        <v>27000</v>
      </c>
      <c r="BK229" s="88">
        <v>0</v>
      </c>
      <c r="BL229" s="88">
        <v>0</v>
      </c>
      <c r="BM229" s="88">
        <v>0</v>
      </c>
      <c r="BN229" s="88">
        <v>0</v>
      </c>
      <c r="BO229" s="88">
        <v>0</v>
      </c>
      <c r="BP229" s="88">
        <v>0</v>
      </c>
      <c r="BQ229" s="88">
        <v>0</v>
      </c>
      <c r="BR229" s="88">
        <v>0</v>
      </c>
      <c r="BS229" s="88">
        <v>0</v>
      </c>
      <c r="BT229" s="88">
        <v>0</v>
      </c>
      <c r="BU229" s="88">
        <v>0</v>
      </c>
      <c r="BV229" s="88">
        <v>0</v>
      </c>
      <c r="BW229" s="88">
        <v>0</v>
      </c>
      <c r="BX229" s="88">
        <v>0</v>
      </c>
      <c r="BY229" s="88">
        <v>0</v>
      </c>
      <c r="BZ229" s="88">
        <v>0</v>
      </c>
      <c r="CA229" s="88">
        <v>0</v>
      </c>
      <c r="CB229" s="88">
        <v>0</v>
      </c>
      <c r="CC229" s="88">
        <v>0</v>
      </c>
      <c r="CD229" s="88">
        <v>0</v>
      </c>
      <c r="CE229" s="88">
        <v>0</v>
      </c>
      <c r="CF229" s="88">
        <v>0</v>
      </c>
      <c r="CG229" s="88">
        <v>0</v>
      </c>
      <c r="CH229" s="88">
        <v>0</v>
      </c>
      <c r="CI229" s="88">
        <v>27000</v>
      </c>
      <c r="CJ229" s="88">
        <v>27000</v>
      </c>
      <c r="CK229" s="88">
        <v>27000</v>
      </c>
      <c r="CL229" s="88">
        <v>27000</v>
      </c>
      <c r="CM229" s="88">
        <v>27000</v>
      </c>
      <c r="CN229" s="88">
        <v>27000</v>
      </c>
      <c r="CO229" s="88">
        <v>27000</v>
      </c>
      <c r="CP229" s="88">
        <v>27000</v>
      </c>
      <c r="CQ229" s="88">
        <v>27000</v>
      </c>
      <c r="CR229" s="88">
        <v>27000</v>
      </c>
      <c r="CS229" s="88">
        <v>27000</v>
      </c>
      <c r="CT229" s="88">
        <v>27000</v>
      </c>
      <c r="CU229" s="88">
        <v>0</v>
      </c>
      <c r="CV229" s="88">
        <v>0</v>
      </c>
      <c r="CW229" s="88">
        <v>0</v>
      </c>
      <c r="CX229" s="88">
        <v>0</v>
      </c>
      <c r="CY229" s="88">
        <v>0</v>
      </c>
      <c r="CZ229" s="88">
        <v>0</v>
      </c>
      <c r="DA229" s="88">
        <v>0</v>
      </c>
      <c r="DB229" s="88">
        <v>0</v>
      </c>
      <c r="DC229" s="88">
        <v>0</v>
      </c>
      <c r="DD229" s="88">
        <v>0</v>
      </c>
      <c r="DE229" s="88">
        <v>0</v>
      </c>
      <c r="DF229" s="88">
        <v>0</v>
      </c>
      <c r="DG229" s="93"/>
      <c r="DH229" s="91"/>
      <c r="DJ229" s="93"/>
      <c r="DK229" s="91"/>
      <c r="DM229" s="93"/>
      <c r="DN229" s="91"/>
      <c r="DP229" s="93"/>
      <c r="DQ229" s="91"/>
    </row>
    <row r="230" spans="1:121" x14ac:dyDescent="0.3">
      <c r="A230" t="s">
        <v>28</v>
      </c>
      <c r="B230" t="s">
        <v>45</v>
      </c>
      <c r="C230" t="s">
        <v>94</v>
      </c>
      <c r="D230" t="s">
        <v>379</v>
      </c>
      <c r="E230" t="s">
        <v>593</v>
      </c>
      <c r="F230" s="86">
        <v>66000</v>
      </c>
      <c r="G230" s="87">
        <v>12</v>
      </c>
      <c r="H230" s="88">
        <v>1.06</v>
      </c>
      <c r="I230" s="88">
        <v>1.058125</v>
      </c>
      <c r="J230" s="89">
        <v>0.89299370897155361</v>
      </c>
      <c r="K230" s="88">
        <v>1.0017720023626699</v>
      </c>
      <c r="L230" s="88">
        <v>1.0078458458979691</v>
      </c>
      <c r="M230" s="88">
        <v>1</v>
      </c>
      <c r="N230" s="90">
        <v>0.61599999999999999</v>
      </c>
      <c r="O230" s="90">
        <v>0.62193315868875387</v>
      </c>
      <c r="P230" s="90">
        <v>0.61396400357307479</v>
      </c>
      <c r="Q230" s="91">
        <v>0</v>
      </c>
      <c r="R230" s="88">
        <v>0.99999999999999978</v>
      </c>
      <c r="S230" s="88">
        <v>0.99669481099525148</v>
      </c>
      <c r="T230" s="91">
        <v>-1.768867924528128E-3</v>
      </c>
      <c r="U230" s="91">
        <v>1.7720023626699439E-3</v>
      </c>
      <c r="V230" s="87">
        <v>0</v>
      </c>
      <c r="W230" s="91">
        <v>0</v>
      </c>
      <c r="X230" s="87">
        <v>1</v>
      </c>
      <c r="Y230" s="90">
        <v>0.62193315868875387</v>
      </c>
      <c r="Z230" s="90">
        <v>0.61396400357307479</v>
      </c>
      <c r="AA230" s="92">
        <v>0</v>
      </c>
      <c r="AB230" s="88">
        <v>0</v>
      </c>
      <c r="AC230" s="87">
        <v>1</v>
      </c>
      <c r="AD230" s="87">
        <v>0</v>
      </c>
      <c r="AE230" s="88">
        <v>1.0149999999999999</v>
      </c>
      <c r="AF230" s="88">
        <v>1.0135066962933139</v>
      </c>
      <c r="AG230" s="88">
        <v>1.0287103239393121</v>
      </c>
      <c r="AH230" s="88">
        <v>69960</v>
      </c>
      <c r="AI230" s="88">
        <v>69836.250000000015</v>
      </c>
      <c r="AJ230" s="88">
        <v>58937.584792122543</v>
      </c>
      <c r="AK230" s="88">
        <v>66116.952155936204</v>
      </c>
      <c r="AL230" s="88">
        <v>66517.825829265945</v>
      </c>
      <c r="AM230" s="88">
        <v>66000</v>
      </c>
      <c r="AN230" s="88">
        <v>40656</v>
      </c>
      <c r="AO230" s="88">
        <v>41047.588473457763</v>
      </c>
      <c r="AP230" s="88">
        <v>40521.624235822943</v>
      </c>
      <c r="AQ230" s="88">
        <v>0</v>
      </c>
      <c r="AR230" s="88">
        <v>65999.999999999985</v>
      </c>
      <c r="AS230" s="88">
        <v>65781.857525686602</v>
      </c>
      <c r="AT230" s="88">
        <v>41047.588473457763</v>
      </c>
      <c r="AU230" s="88">
        <v>40521.624235822943</v>
      </c>
      <c r="AV230" s="88">
        <v>59400</v>
      </c>
      <c r="AW230" s="88">
        <v>58740</v>
      </c>
      <c r="AX230" s="88">
        <v>59730</v>
      </c>
      <c r="AY230" s="88">
        <v>66000</v>
      </c>
      <c r="AZ230" s="88">
        <v>66000</v>
      </c>
      <c r="BA230" s="88">
        <v>66000</v>
      </c>
      <c r="BB230" s="88">
        <v>66000</v>
      </c>
      <c r="BC230" s="88">
        <v>66000</v>
      </c>
      <c r="BD230" s="88">
        <v>66000</v>
      </c>
      <c r="BE230" s="88">
        <v>66000</v>
      </c>
      <c r="BF230" s="88">
        <v>66000</v>
      </c>
      <c r="BG230" s="88">
        <v>66000</v>
      </c>
      <c r="BH230" s="88">
        <v>66000</v>
      </c>
      <c r="BI230" s="88">
        <v>66000</v>
      </c>
      <c r="BJ230" s="88">
        <v>66000</v>
      </c>
      <c r="BK230" s="88">
        <v>4910.761726870498</v>
      </c>
      <c r="BL230" s="88">
        <v>4909.7185787607623</v>
      </c>
      <c r="BM230" s="88">
        <v>4908.677717165835</v>
      </c>
      <c r="BN230" s="88">
        <v>893.96600776824278</v>
      </c>
      <c r="BO230" s="88">
        <v>892.95532752197812</v>
      </c>
      <c r="BP230" s="88">
        <v>891.94692995988055</v>
      </c>
      <c r="BQ230" s="88">
        <v>890.94080735732905</v>
      </c>
      <c r="BR230" s="88">
        <v>889.92051422555414</v>
      </c>
      <c r="BS230" s="88">
        <v>888.91895548640582</v>
      </c>
      <c r="BT230" s="88">
        <v>887.91964861626877</v>
      </c>
      <c r="BU230" s="88">
        <v>886.92258602915786</v>
      </c>
      <c r="BV230" s="88">
        <v>885.92776017308722</v>
      </c>
      <c r="BW230" s="88">
        <v>3960.0000000000041</v>
      </c>
      <c r="BX230" s="88">
        <v>3960.0000000000041</v>
      </c>
      <c r="BY230" s="88">
        <v>3960.0000000000041</v>
      </c>
      <c r="BZ230" s="88">
        <v>0</v>
      </c>
      <c r="CA230" s="88">
        <v>0</v>
      </c>
      <c r="CB230" s="88">
        <v>0</v>
      </c>
      <c r="CC230" s="88">
        <v>0</v>
      </c>
      <c r="CD230" s="88">
        <v>0</v>
      </c>
      <c r="CE230" s="88">
        <v>0</v>
      </c>
      <c r="CF230" s="88">
        <v>0</v>
      </c>
      <c r="CG230" s="88">
        <v>0</v>
      </c>
      <c r="CH230" s="88">
        <v>0</v>
      </c>
      <c r="CI230" s="88">
        <v>66000</v>
      </c>
      <c r="CJ230" s="88">
        <v>66000</v>
      </c>
      <c r="CK230" s="88">
        <v>66000</v>
      </c>
      <c r="CL230" s="88">
        <v>66000</v>
      </c>
      <c r="CM230" s="88">
        <v>66000</v>
      </c>
      <c r="CN230" s="88">
        <v>66000</v>
      </c>
      <c r="CO230" s="88">
        <v>66000</v>
      </c>
      <c r="CP230" s="88">
        <v>66000</v>
      </c>
      <c r="CQ230" s="88">
        <v>66000</v>
      </c>
      <c r="CR230" s="88">
        <v>66000</v>
      </c>
      <c r="CS230" s="88">
        <v>66000</v>
      </c>
      <c r="CT230" s="88">
        <v>66000</v>
      </c>
      <c r="CU230" s="88">
        <v>896.9450253495213</v>
      </c>
      <c r="CV230" s="88">
        <v>895.96092335921003</v>
      </c>
      <c r="CW230" s="88">
        <v>894.97897845833529</v>
      </c>
      <c r="CX230" s="88">
        <v>893.96600776824278</v>
      </c>
      <c r="CY230" s="88">
        <v>892.95532752197812</v>
      </c>
      <c r="CZ230" s="88">
        <v>891.94692995988055</v>
      </c>
      <c r="DA230" s="88">
        <v>890.94080735732905</v>
      </c>
      <c r="DB230" s="88">
        <v>889.92051422555414</v>
      </c>
      <c r="DC230" s="88">
        <v>888.91895548640582</v>
      </c>
      <c r="DD230" s="88">
        <v>887.91964861626877</v>
      </c>
      <c r="DE230" s="88">
        <v>886.92258602915786</v>
      </c>
      <c r="DF230" s="88">
        <v>885.92776017308722</v>
      </c>
      <c r="DG230" s="93">
        <v>46113</v>
      </c>
      <c r="DH230" s="91">
        <v>0.06</v>
      </c>
      <c r="DI230" t="s">
        <v>301</v>
      </c>
      <c r="DJ230" s="93"/>
      <c r="DK230" s="91"/>
      <c r="DM230" s="93"/>
      <c r="DN230" s="91"/>
      <c r="DP230" s="93"/>
      <c r="DQ230" s="91"/>
    </row>
    <row r="231" spans="1:121" x14ac:dyDescent="0.3">
      <c r="A231" t="s">
        <v>28</v>
      </c>
      <c r="B231" t="s">
        <v>45</v>
      </c>
      <c r="C231" t="s">
        <v>95</v>
      </c>
      <c r="D231" t="s">
        <v>381</v>
      </c>
      <c r="E231" t="s">
        <v>594</v>
      </c>
      <c r="F231" s="86">
        <v>54000</v>
      </c>
      <c r="G231" s="87">
        <v>12</v>
      </c>
      <c r="H231" s="88">
        <v>1.02</v>
      </c>
      <c r="I231" s="88">
        <v>1.018888888888889</v>
      </c>
      <c r="J231" s="89">
        <v>0.88900209700948218</v>
      </c>
      <c r="K231" s="88">
        <v>1.001090512540894</v>
      </c>
      <c r="L231" s="88">
        <v>1.0123710652961491</v>
      </c>
      <c r="M231" s="88">
        <v>1</v>
      </c>
      <c r="N231" s="90">
        <v>0.6</v>
      </c>
      <c r="O231" s="90">
        <v>0.60808504118333573</v>
      </c>
      <c r="P231" s="90">
        <v>0.60970665058915019</v>
      </c>
      <c r="Q231" s="91">
        <v>0</v>
      </c>
      <c r="R231" s="88">
        <v>1</v>
      </c>
      <c r="S231" s="88">
        <v>1.016177750981917</v>
      </c>
      <c r="T231" s="91">
        <v>-1.089324618736343E-3</v>
      </c>
      <c r="U231" s="91">
        <v>1.090512540893984E-3</v>
      </c>
      <c r="V231" s="87">
        <v>0</v>
      </c>
      <c r="W231" s="91">
        <v>0</v>
      </c>
      <c r="X231" s="87">
        <v>1</v>
      </c>
      <c r="Y231" s="90">
        <v>0.60808504118333573</v>
      </c>
      <c r="Z231" s="90">
        <v>0.60970665058915019</v>
      </c>
      <c r="AA231" s="92">
        <v>0</v>
      </c>
      <c r="AB231" s="88">
        <v>0</v>
      </c>
      <c r="AC231" s="87">
        <v>1</v>
      </c>
      <c r="AD231" s="87">
        <v>0</v>
      </c>
      <c r="AE231" s="88">
        <v>1.006666666666667</v>
      </c>
      <c r="AF231" s="88">
        <v>0.99551801636857096</v>
      </c>
      <c r="AG231" s="88">
        <v>1.0021548477780691</v>
      </c>
      <c r="AH231" s="88">
        <v>55080</v>
      </c>
      <c r="AI231" s="88">
        <v>55020</v>
      </c>
      <c r="AJ231" s="88">
        <v>48006.113238512044</v>
      </c>
      <c r="AK231" s="88">
        <v>54058.887677208288</v>
      </c>
      <c r="AL231" s="88">
        <v>54668.037525992047</v>
      </c>
      <c r="AM231" s="88">
        <v>54000</v>
      </c>
      <c r="AN231" s="88">
        <v>32400</v>
      </c>
      <c r="AO231" s="88">
        <v>32836.59222390013</v>
      </c>
      <c r="AP231" s="88">
        <v>32924.159131814107</v>
      </c>
      <c r="AQ231" s="88">
        <v>0</v>
      </c>
      <c r="AR231" s="88">
        <v>54000.000000000007</v>
      </c>
      <c r="AS231" s="88">
        <v>54873.598553023498</v>
      </c>
      <c r="AT231" s="88">
        <v>32836.59222390013</v>
      </c>
      <c r="AU231" s="88">
        <v>32924.159131814107</v>
      </c>
      <c r="AV231" s="88">
        <v>48600</v>
      </c>
      <c r="AW231" s="88">
        <v>48060</v>
      </c>
      <c r="AX231" s="88">
        <v>47790</v>
      </c>
      <c r="AY231" s="88">
        <v>54000</v>
      </c>
      <c r="AZ231" s="88">
        <v>54000</v>
      </c>
      <c r="BA231" s="88">
        <v>54000</v>
      </c>
      <c r="BB231" s="88">
        <v>54000</v>
      </c>
      <c r="BC231" s="88">
        <v>54000</v>
      </c>
      <c r="BD231" s="88">
        <v>54000</v>
      </c>
      <c r="BE231" s="88">
        <v>54000</v>
      </c>
      <c r="BF231" s="88">
        <v>54000</v>
      </c>
      <c r="BG231" s="88">
        <v>54000</v>
      </c>
      <c r="BH231" s="88">
        <v>54000</v>
      </c>
      <c r="BI231" s="88">
        <v>54000</v>
      </c>
      <c r="BJ231" s="88">
        <v>54000</v>
      </c>
      <c r="BK231" s="88">
        <v>833.63556710190517</v>
      </c>
      <c r="BL231" s="88">
        <v>833.54647314094836</v>
      </c>
      <c r="BM231" s="88">
        <v>833.45731471773195</v>
      </c>
      <c r="BN231" s="88">
        <v>833.36506612361245</v>
      </c>
      <c r="BO231" s="88">
        <v>-241.8894622837764</v>
      </c>
      <c r="BP231" s="88">
        <v>-241.98003756767349</v>
      </c>
      <c r="BQ231" s="88">
        <v>-242.0706807086506</v>
      </c>
      <c r="BR231" s="88">
        <v>-242.1628794161532</v>
      </c>
      <c r="BS231" s="88">
        <v>-242.25365961579271</v>
      </c>
      <c r="BT231" s="88">
        <v>-242.34450790293781</v>
      </c>
      <c r="BU231" s="88">
        <v>-242.43542435424331</v>
      </c>
      <c r="BV231" s="88">
        <v>-242.52640904644159</v>
      </c>
      <c r="BW231" s="88">
        <v>1080.0000000000009</v>
      </c>
      <c r="BX231" s="88">
        <v>1080.0000000000009</v>
      </c>
      <c r="BY231" s="88">
        <v>1080.0000000000009</v>
      </c>
      <c r="BZ231" s="88">
        <v>1080.0000000000009</v>
      </c>
      <c r="CA231" s="88">
        <v>0</v>
      </c>
      <c r="CB231" s="88">
        <v>0</v>
      </c>
      <c r="CC231" s="88">
        <v>0</v>
      </c>
      <c r="CD231" s="88">
        <v>0</v>
      </c>
      <c r="CE231" s="88">
        <v>0</v>
      </c>
      <c r="CF231" s="88">
        <v>0</v>
      </c>
      <c r="CG231" s="88">
        <v>0</v>
      </c>
      <c r="CH231" s="88">
        <v>0</v>
      </c>
      <c r="CI231" s="88">
        <v>54000</v>
      </c>
      <c r="CJ231" s="88">
        <v>54000</v>
      </c>
      <c r="CK231" s="88">
        <v>54000</v>
      </c>
      <c r="CL231" s="88">
        <v>54000</v>
      </c>
      <c r="CM231" s="88">
        <v>54000</v>
      </c>
      <c r="CN231" s="88">
        <v>54000</v>
      </c>
      <c r="CO231" s="88">
        <v>54000</v>
      </c>
      <c r="CP231" s="88">
        <v>54000</v>
      </c>
      <c r="CQ231" s="88">
        <v>54000</v>
      </c>
      <c r="CR231" s="88">
        <v>54000</v>
      </c>
      <c r="CS231" s="88">
        <v>54000</v>
      </c>
      <c r="CT231" s="88">
        <v>54000</v>
      </c>
      <c r="CU231" s="88">
        <v>-241.53375774323021</v>
      </c>
      <c r="CV231" s="88">
        <v>-241.62110476377259</v>
      </c>
      <c r="CW231" s="88">
        <v>-241.70851498261769</v>
      </c>
      <c r="CX231" s="88">
        <v>-241.79895478077219</v>
      </c>
      <c r="CY231" s="88">
        <v>-241.8894622837764</v>
      </c>
      <c r="CZ231" s="88">
        <v>-241.98003756767349</v>
      </c>
      <c r="DA231" s="88">
        <v>-242.0706807086506</v>
      </c>
      <c r="DB231" s="88">
        <v>-242.1628794161532</v>
      </c>
      <c r="DC231" s="88">
        <v>-242.25365961579271</v>
      </c>
      <c r="DD231" s="88">
        <v>-242.34450790293781</v>
      </c>
      <c r="DE231" s="88">
        <v>-242.43542435424331</v>
      </c>
      <c r="DF231" s="88">
        <v>-242.52640904644159</v>
      </c>
      <c r="DG231" s="93">
        <v>46143</v>
      </c>
      <c r="DH231" s="91">
        <v>0.02</v>
      </c>
      <c r="DI231" t="s">
        <v>301</v>
      </c>
      <c r="DJ231" s="93"/>
      <c r="DK231" s="91"/>
      <c r="DM231" s="93"/>
      <c r="DN231" s="91"/>
      <c r="DP231" s="93"/>
      <c r="DQ231" s="91"/>
    </row>
    <row r="232" spans="1:121" x14ac:dyDescent="0.3">
      <c r="A232" t="s">
        <v>28</v>
      </c>
      <c r="B232" t="s">
        <v>45</v>
      </c>
      <c r="C232" t="s">
        <v>96</v>
      </c>
      <c r="D232" t="s">
        <v>383</v>
      </c>
      <c r="E232" t="s">
        <v>595</v>
      </c>
      <c r="F232" s="86">
        <v>42000</v>
      </c>
      <c r="G232" s="87">
        <v>12</v>
      </c>
      <c r="H232" s="88">
        <v>1</v>
      </c>
      <c r="I232" s="88">
        <v>1.016805555555556</v>
      </c>
      <c r="J232" s="89">
        <v>0.89199580598103567</v>
      </c>
      <c r="K232" s="88">
        <v>0.98347220325092199</v>
      </c>
      <c r="L232" s="88">
        <v>1.0089733538715031</v>
      </c>
      <c r="M232" s="88">
        <v>1</v>
      </c>
      <c r="N232" s="90">
        <v>0.58399999999999996</v>
      </c>
      <c r="O232" s="90">
        <v>0.57950159245443178</v>
      </c>
      <c r="P232" s="90">
        <v>0.56245317069194689</v>
      </c>
      <c r="Q232" s="91">
        <v>0</v>
      </c>
      <c r="R232" s="88">
        <v>0.96166688927474264</v>
      </c>
      <c r="S232" s="88">
        <v>1.0014951695611229</v>
      </c>
      <c r="T232" s="91">
        <v>1.6805555555555522E-2</v>
      </c>
      <c r="U232" s="91">
        <v>2.2674498019396468E-2</v>
      </c>
      <c r="V232" s="87">
        <v>0</v>
      </c>
      <c r="W232" s="91">
        <v>0</v>
      </c>
      <c r="X232" s="87">
        <v>1</v>
      </c>
      <c r="Y232" s="90">
        <v>0.57950159245443178</v>
      </c>
      <c r="Z232" s="90">
        <v>0.56245317069194689</v>
      </c>
      <c r="AA232" s="92">
        <v>0</v>
      </c>
      <c r="AB232" s="88">
        <v>0</v>
      </c>
      <c r="AC232" s="87">
        <v>0</v>
      </c>
      <c r="AD232" s="87">
        <v>1</v>
      </c>
      <c r="AE232" s="88">
        <v>1.036666666666666</v>
      </c>
      <c r="AF232" s="88">
        <v>1.0089942603284909</v>
      </c>
      <c r="AG232" s="88">
        <v>1.045990593446533</v>
      </c>
      <c r="AH232" s="88">
        <v>42000</v>
      </c>
      <c r="AI232" s="88">
        <v>42705.833333333328</v>
      </c>
      <c r="AJ232" s="88">
        <v>37463.823851203488</v>
      </c>
      <c r="AK232" s="88">
        <v>41305.832536538721</v>
      </c>
      <c r="AL232" s="88">
        <v>42376.880862603117</v>
      </c>
      <c r="AM232" s="88">
        <v>42000</v>
      </c>
      <c r="AN232" s="88">
        <v>24528</v>
      </c>
      <c r="AO232" s="88">
        <v>24339.06688308614</v>
      </c>
      <c r="AP232" s="88">
        <v>23623.033169061771</v>
      </c>
      <c r="AQ232" s="88">
        <v>0</v>
      </c>
      <c r="AR232" s="88">
        <v>40390.009349539192</v>
      </c>
      <c r="AS232" s="88">
        <v>42062.797121567142</v>
      </c>
      <c r="AT232" s="88">
        <v>24339.06688308614</v>
      </c>
      <c r="AU232" s="88">
        <v>23623.033169061771</v>
      </c>
      <c r="AV232" s="88">
        <v>37800</v>
      </c>
      <c r="AW232" s="88">
        <v>37380</v>
      </c>
      <c r="AX232" s="88">
        <v>37800</v>
      </c>
      <c r="AY232" s="88">
        <v>42000</v>
      </c>
      <c r="AZ232" s="88">
        <v>42000</v>
      </c>
      <c r="BA232" s="88">
        <v>42000</v>
      </c>
      <c r="BB232" s="88">
        <v>42000</v>
      </c>
      <c r="BC232" s="88">
        <v>42000</v>
      </c>
      <c r="BD232" s="88">
        <v>42000</v>
      </c>
      <c r="BE232" s="88">
        <v>42000</v>
      </c>
      <c r="BF232" s="88">
        <v>42000</v>
      </c>
      <c r="BG232" s="88">
        <v>42000</v>
      </c>
      <c r="BH232" s="88">
        <v>42000</v>
      </c>
      <c r="BI232" s="88">
        <v>42000</v>
      </c>
      <c r="BJ232" s="88">
        <v>42000</v>
      </c>
      <c r="BK232" s="88">
        <v>379.30991822444332</v>
      </c>
      <c r="BL232" s="88">
        <v>2074.1945852392141</v>
      </c>
      <c r="BM232" s="88">
        <v>2073.907274950896</v>
      </c>
      <c r="BN232" s="88">
        <v>2073.6106653499592</v>
      </c>
      <c r="BO232" s="88">
        <v>2073.3145021030882</v>
      </c>
      <c r="BP232" s="88">
        <v>2073.0187842035189</v>
      </c>
      <c r="BQ232" s="88">
        <v>2072.7235106474609</v>
      </c>
      <c r="BR232" s="88">
        <v>2072.423850839954</v>
      </c>
      <c r="BS232" s="88">
        <v>2072.1294702149648</v>
      </c>
      <c r="BT232" s="88">
        <v>2071.8355309239719</v>
      </c>
      <c r="BU232" s="88">
        <v>2071.5420319752429</v>
      </c>
      <c r="BV232" s="88">
        <v>2071.2489723800309</v>
      </c>
      <c r="BW232" s="88">
        <v>0</v>
      </c>
      <c r="BX232" s="88">
        <v>1680.000000000002</v>
      </c>
      <c r="BY232" s="88">
        <v>1680.000000000002</v>
      </c>
      <c r="BZ232" s="88">
        <v>1680.000000000002</v>
      </c>
      <c r="CA232" s="88">
        <v>1680.000000000002</v>
      </c>
      <c r="CB232" s="88">
        <v>1680.000000000002</v>
      </c>
      <c r="CC232" s="88">
        <v>1680.000000000002</v>
      </c>
      <c r="CD232" s="88">
        <v>1680.000000000002</v>
      </c>
      <c r="CE232" s="88">
        <v>1680.000000000002</v>
      </c>
      <c r="CF232" s="88">
        <v>1680.000000000002</v>
      </c>
      <c r="CG232" s="88">
        <v>1680.000000000002</v>
      </c>
      <c r="CH232" s="88">
        <v>1680.000000000002</v>
      </c>
      <c r="CI232" s="88">
        <v>42000</v>
      </c>
      <c r="CJ232" s="88">
        <v>42000</v>
      </c>
      <c r="CK232" s="88">
        <v>42000</v>
      </c>
      <c r="CL232" s="88">
        <v>42000</v>
      </c>
      <c r="CM232" s="88">
        <v>42000</v>
      </c>
      <c r="CN232" s="88">
        <v>42000</v>
      </c>
      <c r="CO232" s="88">
        <v>42000</v>
      </c>
      <c r="CP232" s="88">
        <v>42000</v>
      </c>
      <c r="CQ232" s="88">
        <v>42000</v>
      </c>
      <c r="CR232" s="88">
        <v>42000</v>
      </c>
      <c r="CS232" s="88">
        <v>42000</v>
      </c>
      <c r="CT232" s="88">
        <v>42000</v>
      </c>
      <c r="CU232" s="88">
        <v>379.30991822444332</v>
      </c>
      <c r="CV232" s="88">
        <v>379.03325503770708</v>
      </c>
      <c r="CW232" s="88">
        <v>378.75699514509307</v>
      </c>
      <c r="CX232" s="88">
        <v>378.47179360572801</v>
      </c>
      <c r="CY232" s="88">
        <v>378.18702125297062</v>
      </c>
      <c r="CZ232" s="88">
        <v>377.90267711876697</v>
      </c>
      <c r="DA232" s="88">
        <v>377.61876023794548</v>
      </c>
      <c r="DB232" s="88">
        <v>377.3306258076463</v>
      </c>
      <c r="DC232" s="88">
        <v>377.04756751438578</v>
      </c>
      <c r="DD232" s="88">
        <v>376.76493358074481</v>
      </c>
      <c r="DE232" s="88">
        <v>376.48272305311542</v>
      </c>
      <c r="DF232" s="88">
        <v>376.20093498079927</v>
      </c>
      <c r="DG232" s="93">
        <v>46419</v>
      </c>
      <c r="DH232" s="91">
        <v>0.04</v>
      </c>
      <c r="DI232" t="s">
        <v>302</v>
      </c>
      <c r="DJ232" s="93"/>
      <c r="DK232" s="91"/>
      <c r="DM232" s="93"/>
      <c r="DN232" s="91"/>
      <c r="DP232" s="93"/>
      <c r="DQ232" s="91"/>
    </row>
    <row r="233" spans="1:121" x14ac:dyDescent="0.3">
      <c r="A233" t="s">
        <v>28</v>
      </c>
      <c r="B233" t="s">
        <v>47</v>
      </c>
      <c r="C233" t="s">
        <v>43</v>
      </c>
      <c r="D233" t="s">
        <v>385</v>
      </c>
      <c r="E233" t="s">
        <v>596</v>
      </c>
      <c r="F233" s="86">
        <v>30000</v>
      </c>
      <c r="G233" s="87">
        <v>12</v>
      </c>
      <c r="H233" s="88">
        <v>1.04</v>
      </c>
      <c r="I233" s="88">
        <v>1.0349999999999999</v>
      </c>
      <c r="J233" s="89">
        <v>0.88800419401896435</v>
      </c>
      <c r="K233" s="88">
        <v>1.0048309178743959</v>
      </c>
      <c r="L233" s="88">
        <v>1.0135087267175451</v>
      </c>
      <c r="M233" s="88">
        <v>1</v>
      </c>
      <c r="N233" s="90">
        <v>0.61199999999999999</v>
      </c>
      <c r="O233" s="90">
        <v>0.62326380133447601</v>
      </c>
      <c r="P233" s="90">
        <v>0.62495486746967677</v>
      </c>
      <c r="Q233" s="91">
        <v>0</v>
      </c>
      <c r="R233" s="88">
        <v>0.99999999999999978</v>
      </c>
      <c r="S233" s="88">
        <v>1.0211680841007791</v>
      </c>
      <c r="T233" s="91">
        <v>-4.8076923076921796E-3</v>
      </c>
      <c r="U233" s="91">
        <v>4.8309178743961567E-3</v>
      </c>
      <c r="V233" s="87">
        <v>0</v>
      </c>
      <c r="W233" s="91">
        <v>0</v>
      </c>
      <c r="X233" s="87">
        <v>1</v>
      </c>
      <c r="Y233" s="90">
        <v>0.62326380133447601</v>
      </c>
      <c r="Z233" s="90">
        <v>0.62495486746967677</v>
      </c>
      <c r="AA233" s="92">
        <v>0</v>
      </c>
      <c r="AB233" s="88">
        <v>0</v>
      </c>
      <c r="AC233" s="87">
        <v>1</v>
      </c>
      <c r="AD233" s="87">
        <v>0</v>
      </c>
      <c r="AE233" s="88">
        <v>1.02</v>
      </c>
      <c r="AF233" s="88">
        <v>0.99104602551311949</v>
      </c>
      <c r="AG233" s="88">
        <v>1.010867347809741</v>
      </c>
      <c r="AH233" s="88">
        <v>31200</v>
      </c>
      <c r="AI233" s="88">
        <v>31050</v>
      </c>
      <c r="AJ233" s="88">
        <v>26640.12582056893</v>
      </c>
      <c r="AK233" s="88">
        <v>30144.92753623188</v>
      </c>
      <c r="AL233" s="88">
        <v>30405.26180152634</v>
      </c>
      <c r="AM233" s="88">
        <v>30000</v>
      </c>
      <c r="AN233" s="88">
        <v>18360</v>
      </c>
      <c r="AO233" s="88">
        <v>18697.91404003428</v>
      </c>
      <c r="AP233" s="88">
        <v>18748.6460240903</v>
      </c>
      <c r="AQ233" s="88">
        <v>0</v>
      </c>
      <c r="AR233" s="88">
        <v>29999.999999999989</v>
      </c>
      <c r="AS233" s="88">
        <v>30635.042523023381</v>
      </c>
      <c r="AT233" s="88">
        <v>18697.91404003428</v>
      </c>
      <c r="AU233" s="88">
        <v>18748.6460240903</v>
      </c>
      <c r="AV233" s="88">
        <v>27000</v>
      </c>
      <c r="AW233" s="88">
        <v>26700</v>
      </c>
      <c r="AX233" s="88">
        <v>26400</v>
      </c>
      <c r="AY233" s="88">
        <v>30000</v>
      </c>
      <c r="AZ233" s="88">
        <v>30000</v>
      </c>
      <c r="BA233" s="88">
        <v>30000</v>
      </c>
      <c r="BB233" s="88">
        <v>30000</v>
      </c>
      <c r="BC233" s="88">
        <v>30000</v>
      </c>
      <c r="BD233" s="88">
        <v>30000</v>
      </c>
      <c r="BE233" s="88">
        <v>30000</v>
      </c>
      <c r="BF233" s="88">
        <v>30000</v>
      </c>
      <c r="BG233" s="88">
        <v>30000</v>
      </c>
      <c r="BH233" s="88">
        <v>30000</v>
      </c>
      <c r="BI233" s="88">
        <v>30000</v>
      </c>
      <c r="BJ233" s="88">
        <v>30000</v>
      </c>
      <c r="BK233" s="88">
        <v>921.77227251071918</v>
      </c>
      <c r="BL233" s="88">
        <v>921.57159971639089</v>
      </c>
      <c r="BM233" s="88">
        <v>921.3706372411101</v>
      </c>
      <c r="BN233" s="88">
        <v>921.16255723415202</v>
      </c>
      <c r="BO233" s="88">
        <v>920.95416620722403</v>
      </c>
      <c r="BP233" s="88">
        <v>920.74546346248451</v>
      </c>
      <c r="BQ233" s="88">
        <v>-268.71495355771049</v>
      </c>
      <c r="BR233" s="88">
        <v>-268.91953289045807</v>
      </c>
      <c r="BS233" s="88">
        <v>-269.12111679118999</v>
      </c>
      <c r="BT233" s="88">
        <v>-269.32300313595499</v>
      </c>
      <c r="BU233" s="88">
        <v>-269.52519260590168</v>
      </c>
      <c r="BV233" s="88">
        <v>-269.72768588425339</v>
      </c>
      <c r="BW233" s="88">
        <v>1200.0000000000009</v>
      </c>
      <c r="BX233" s="88">
        <v>1200.0000000000009</v>
      </c>
      <c r="BY233" s="88">
        <v>1200.0000000000009</v>
      </c>
      <c r="BZ233" s="88">
        <v>1200.0000000000009</v>
      </c>
      <c r="CA233" s="88">
        <v>1200.0000000000009</v>
      </c>
      <c r="CB233" s="88">
        <v>1200.0000000000009</v>
      </c>
      <c r="CC233" s="88">
        <v>0</v>
      </c>
      <c r="CD233" s="88">
        <v>0</v>
      </c>
      <c r="CE233" s="88">
        <v>0</v>
      </c>
      <c r="CF233" s="88">
        <v>0</v>
      </c>
      <c r="CG233" s="88">
        <v>0</v>
      </c>
      <c r="CH233" s="88">
        <v>0</v>
      </c>
      <c r="CI233" s="88">
        <v>30000</v>
      </c>
      <c r="CJ233" s="88">
        <v>30000</v>
      </c>
      <c r="CK233" s="88">
        <v>30000</v>
      </c>
      <c r="CL233" s="88">
        <v>30000</v>
      </c>
      <c r="CM233" s="88">
        <v>30000</v>
      </c>
      <c r="CN233" s="88">
        <v>30000</v>
      </c>
      <c r="CO233" s="88">
        <v>30000</v>
      </c>
      <c r="CP233" s="88">
        <v>30000</v>
      </c>
      <c r="CQ233" s="88">
        <v>30000</v>
      </c>
      <c r="CR233" s="88">
        <v>30000</v>
      </c>
      <c r="CS233" s="88">
        <v>30000</v>
      </c>
      <c r="CT233" s="88">
        <v>30000</v>
      </c>
      <c r="CU233" s="88">
        <v>-267.52666104738358</v>
      </c>
      <c r="CV233" s="88">
        <v>-267.71961565731692</v>
      </c>
      <c r="CW233" s="88">
        <v>-267.91284880662522</v>
      </c>
      <c r="CX233" s="88">
        <v>-268.11292573639241</v>
      </c>
      <c r="CY233" s="88">
        <v>-268.3133017238215</v>
      </c>
      <c r="CZ233" s="88">
        <v>-268.51397743991919</v>
      </c>
      <c r="DA233" s="88">
        <v>-268.71495355771049</v>
      </c>
      <c r="DB233" s="88">
        <v>-268.91953289045807</v>
      </c>
      <c r="DC233" s="88">
        <v>-269.12111679118999</v>
      </c>
      <c r="DD233" s="88">
        <v>-269.32300313595499</v>
      </c>
      <c r="DE233" s="88">
        <v>-269.52519260590168</v>
      </c>
      <c r="DF233" s="88">
        <v>-269.72768588425339</v>
      </c>
      <c r="DG233" s="93">
        <v>46204</v>
      </c>
      <c r="DH233" s="91">
        <v>0.04</v>
      </c>
      <c r="DI233" t="s">
        <v>301</v>
      </c>
      <c r="DJ233" s="93"/>
      <c r="DK233" s="91"/>
      <c r="DM233" s="93"/>
      <c r="DN233" s="91"/>
      <c r="DP233" s="93"/>
      <c r="DQ233" s="91"/>
    </row>
    <row r="234" spans="1:121" x14ac:dyDescent="0.3">
      <c r="A234" t="s">
        <v>28</v>
      </c>
      <c r="B234" t="s">
        <v>47</v>
      </c>
      <c r="C234" t="s">
        <v>46</v>
      </c>
      <c r="D234" t="s">
        <v>387</v>
      </c>
      <c r="E234" t="s">
        <v>597</v>
      </c>
      <c r="F234" s="86">
        <v>69000</v>
      </c>
      <c r="G234" s="87">
        <v>12</v>
      </c>
      <c r="H234" s="88">
        <v>1.05</v>
      </c>
      <c r="I234" s="88">
        <v>1.041493055555555</v>
      </c>
      <c r="J234" s="89">
        <v>0.89099790299051795</v>
      </c>
      <c r="K234" s="88">
        <v>1.0081680280046681</v>
      </c>
      <c r="L234" s="88">
        <v>1.010103387425793</v>
      </c>
      <c r="M234" s="88">
        <v>1</v>
      </c>
      <c r="N234" s="90">
        <v>0.59599999999999997</v>
      </c>
      <c r="O234" s="90">
        <v>0.60693894834841011</v>
      </c>
      <c r="P234" s="90">
        <v>0.59977982700778432</v>
      </c>
      <c r="Q234" s="91">
        <v>0</v>
      </c>
      <c r="R234" s="88">
        <v>1</v>
      </c>
      <c r="S234" s="88">
        <v>1.006341991623799</v>
      </c>
      <c r="T234" s="91">
        <v>-8.1018518518519711E-3</v>
      </c>
      <c r="U234" s="91">
        <v>8.168028004667649E-3</v>
      </c>
      <c r="V234" s="87">
        <v>0</v>
      </c>
      <c r="W234" s="91">
        <v>0</v>
      </c>
      <c r="X234" s="87">
        <v>1</v>
      </c>
      <c r="Y234" s="90">
        <v>0.60693894834841011</v>
      </c>
      <c r="Z234" s="90">
        <v>0.59977982700778432</v>
      </c>
      <c r="AA234" s="92">
        <v>0</v>
      </c>
      <c r="AB234" s="88">
        <v>0</v>
      </c>
      <c r="AC234" s="87">
        <v>1</v>
      </c>
      <c r="AD234" s="87">
        <v>0</v>
      </c>
      <c r="AE234" s="88">
        <v>1.029166666666667</v>
      </c>
      <c r="AF234" s="88">
        <v>1.004492054902975</v>
      </c>
      <c r="AG234" s="88">
        <v>1.033789862802849</v>
      </c>
      <c r="AH234" s="88">
        <v>72450</v>
      </c>
      <c r="AI234" s="88">
        <v>71863.020833333328</v>
      </c>
      <c r="AJ234" s="88">
        <v>61478.855306345737</v>
      </c>
      <c r="AK234" s="88">
        <v>69563.593932322066</v>
      </c>
      <c r="AL234" s="88">
        <v>69697.133732379705</v>
      </c>
      <c r="AM234" s="88">
        <v>69000</v>
      </c>
      <c r="AN234" s="88">
        <v>41124</v>
      </c>
      <c r="AO234" s="88">
        <v>41878.7874360403</v>
      </c>
      <c r="AP234" s="88">
        <v>41384.808063537123</v>
      </c>
      <c r="AQ234" s="88">
        <v>0</v>
      </c>
      <c r="AR234" s="88">
        <v>69000</v>
      </c>
      <c r="AS234" s="88">
        <v>69437.597422042149</v>
      </c>
      <c r="AT234" s="88">
        <v>41878.7874360403</v>
      </c>
      <c r="AU234" s="88">
        <v>41384.808063537123</v>
      </c>
      <c r="AV234" s="88">
        <v>62100</v>
      </c>
      <c r="AW234" s="88">
        <v>61410</v>
      </c>
      <c r="AX234" s="88">
        <v>61755</v>
      </c>
      <c r="AY234" s="88">
        <v>69000</v>
      </c>
      <c r="AZ234" s="88">
        <v>69000</v>
      </c>
      <c r="BA234" s="88">
        <v>69000</v>
      </c>
      <c r="BB234" s="88">
        <v>69000</v>
      </c>
      <c r="BC234" s="88">
        <v>69000</v>
      </c>
      <c r="BD234" s="88">
        <v>69000</v>
      </c>
      <c r="BE234" s="88">
        <v>69000</v>
      </c>
      <c r="BF234" s="88">
        <v>69000</v>
      </c>
      <c r="BG234" s="88">
        <v>69000</v>
      </c>
      <c r="BH234" s="88">
        <v>69000</v>
      </c>
      <c r="BI234" s="88">
        <v>69000</v>
      </c>
      <c r="BJ234" s="88">
        <v>69000</v>
      </c>
      <c r="BK234" s="88">
        <v>3776.1159103942059</v>
      </c>
      <c r="BL234" s="88">
        <v>3775.99731255701</v>
      </c>
      <c r="BM234" s="88">
        <v>3775.8788009488931</v>
      </c>
      <c r="BN234" s="88">
        <v>3775.7563625612829</v>
      </c>
      <c r="BO234" s="88">
        <v>3775.634016143636</v>
      </c>
      <c r="BP234" s="88">
        <v>3775.5117615923509</v>
      </c>
      <c r="BQ234" s="88">
        <v>3775.3895988039799</v>
      </c>
      <c r="BR234" s="88">
        <v>309.77669264026571</v>
      </c>
      <c r="BS234" s="88">
        <v>309.66052304780533</v>
      </c>
      <c r="BT234" s="88">
        <v>309.54444055234728</v>
      </c>
      <c r="BU234" s="88">
        <v>309.42844505602051</v>
      </c>
      <c r="BV234" s="88">
        <v>309.31253646104591</v>
      </c>
      <c r="BW234" s="88">
        <v>3450.0000000000032</v>
      </c>
      <c r="BX234" s="88">
        <v>3450.0000000000032</v>
      </c>
      <c r="BY234" s="88">
        <v>3450.0000000000032</v>
      </c>
      <c r="BZ234" s="88">
        <v>3450.0000000000032</v>
      </c>
      <c r="CA234" s="88">
        <v>3450.0000000000032</v>
      </c>
      <c r="CB234" s="88">
        <v>3450.0000000000032</v>
      </c>
      <c r="CC234" s="88">
        <v>3450.0000000000032</v>
      </c>
      <c r="CD234" s="88">
        <v>0</v>
      </c>
      <c r="CE234" s="88">
        <v>0</v>
      </c>
      <c r="CF234" s="88">
        <v>0</v>
      </c>
      <c r="CG234" s="88">
        <v>0</v>
      </c>
      <c r="CH234" s="88">
        <v>0</v>
      </c>
      <c r="CI234" s="88">
        <v>69000</v>
      </c>
      <c r="CJ234" s="88">
        <v>69000</v>
      </c>
      <c r="CK234" s="88">
        <v>69000</v>
      </c>
      <c r="CL234" s="88">
        <v>69000</v>
      </c>
      <c r="CM234" s="88">
        <v>69000</v>
      </c>
      <c r="CN234" s="88">
        <v>69000</v>
      </c>
      <c r="CO234" s="88">
        <v>69000</v>
      </c>
      <c r="CP234" s="88">
        <v>69000</v>
      </c>
      <c r="CQ234" s="88">
        <v>69000</v>
      </c>
      <c r="CR234" s="88">
        <v>69000</v>
      </c>
      <c r="CS234" s="88">
        <v>69000</v>
      </c>
      <c r="CT234" s="88">
        <v>69000</v>
      </c>
      <c r="CU234" s="88">
        <v>310.58658132781369</v>
      </c>
      <c r="CV234" s="88">
        <v>310.4736310066736</v>
      </c>
      <c r="CW234" s="88">
        <v>310.36076280847118</v>
      </c>
      <c r="CX234" s="88">
        <v>310.24415482027058</v>
      </c>
      <c r="CY234" s="88">
        <v>310.12763442250281</v>
      </c>
      <c r="CZ234" s="88">
        <v>310.01120151651548</v>
      </c>
      <c r="DA234" s="88">
        <v>309.89485600379419</v>
      </c>
      <c r="DB234" s="88">
        <v>309.77669264026571</v>
      </c>
      <c r="DC234" s="88">
        <v>309.66052304780533</v>
      </c>
      <c r="DD234" s="88">
        <v>309.54444055234728</v>
      </c>
      <c r="DE234" s="88">
        <v>309.42844505602051</v>
      </c>
      <c r="DF234" s="88">
        <v>309.31253646104591</v>
      </c>
      <c r="DG234" s="93">
        <v>46235</v>
      </c>
      <c r="DH234" s="91">
        <v>0.05</v>
      </c>
      <c r="DI234" t="s">
        <v>301</v>
      </c>
      <c r="DJ234" s="93"/>
      <c r="DK234" s="91"/>
      <c r="DM234" s="93"/>
      <c r="DN234" s="91"/>
      <c r="DP234" s="93"/>
      <c r="DQ234" s="91"/>
    </row>
    <row r="235" spans="1:121" x14ac:dyDescent="0.3">
      <c r="A235" t="s">
        <v>28</v>
      </c>
      <c r="B235" t="s">
        <v>47</v>
      </c>
      <c r="C235" t="s">
        <v>48</v>
      </c>
      <c r="D235" t="s">
        <v>389</v>
      </c>
      <c r="E235" t="s">
        <v>598</v>
      </c>
      <c r="F235" s="86">
        <v>57000</v>
      </c>
      <c r="G235" s="87">
        <v>12</v>
      </c>
      <c r="H235" s="88">
        <v>1</v>
      </c>
      <c r="I235" s="88">
        <v>1</v>
      </c>
      <c r="J235" s="89">
        <v>0.89399161196207155</v>
      </c>
      <c r="K235" s="88">
        <v>1</v>
      </c>
      <c r="L235" s="88">
        <v>1.00672085504778</v>
      </c>
      <c r="M235" s="88">
        <v>1</v>
      </c>
      <c r="N235" s="90">
        <v>0.57999999999999996</v>
      </c>
      <c r="O235" s="90">
        <v>0.58389809592771247</v>
      </c>
      <c r="P235" s="90">
        <v>0.57532534557303328</v>
      </c>
      <c r="Q235" s="91">
        <v>0</v>
      </c>
      <c r="R235" s="88">
        <v>1</v>
      </c>
      <c r="S235" s="88">
        <v>0.99194025098798855</v>
      </c>
      <c r="T235" s="91">
        <v>0</v>
      </c>
      <c r="U235" s="91">
        <v>0</v>
      </c>
      <c r="V235" s="87">
        <v>0</v>
      </c>
      <c r="W235" s="91">
        <v>0</v>
      </c>
      <c r="X235" s="87">
        <v>1</v>
      </c>
      <c r="Y235" s="90">
        <v>0.58389809592771247</v>
      </c>
      <c r="Z235" s="90">
        <v>0.57532534557303328</v>
      </c>
      <c r="AA235" s="92">
        <v>0</v>
      </c>
      <c r="AB235" s="88">
        <v>0</v>
      </c>
      <c r="AC235" s="87">
        <v>0</v>
      </c>
      <c r="AD235" s="87">
        <v>0</v>
      </c>
      <c r="AE235" s="88">
        <v>1</v>
      </c>
      <c r="AF235" s="88">
        <v>1.0180294435905091</v>
      </c>
      <c r="AG235" s="88">
        <v>1.0180294435905091</v>
      </c>
      <c r="AH235" s="88">
        <v>57000</v>
      </c>
      <c r="AI235" s="88">
        <v>57000</v>
      </c>
      <c r="AJ235" s="88">
        <v>50957.521881838082</v>
      </c>
      <c r="AK235" s="88">
        <v>57000</v>
      </c>
      <c r="AL235" s="88">
        <v>57383.088737723469</v>
      </c>
      <c r="AM235" s="88">
        <v>57000</v>
      </c>
      <c r="AN235" s="88">
        <v>33060</v>
      </c>
      <c r="AO235" s="88">
        <v>33282.191467879609</v>
      </c>
      <c r="AP235" s="88">
        <v>32793.544697662903</v>
      </c>
      <c r="AQ235" s="88">
        <v>0</v>
      </c>
      <c r="AR235" s="88">
        <v>57000</v>
      </c>
      <c r="AS235" s="88">
        <v>56540.594306315354</v>
      </c>
      <c r="AT235" s="88">
        <v>33282.191467879609</v>
      </c>
      <c r="AU235" s="88">
        <v>32793.544697662903</v>
      </c>
      <c r="AV235" s="88">
        <v>51300</v>
      </c>
      <c r="AW235" s="88">
        <v>50730</v>
      </c>
      <c r="AX235" s="88">
        <v>51870</v>
      </c>
      <c r="AY235" s="88">
        <v>57000</v>
      </c>
      <c r="AZ235" s="88">
        <v>57000</v>
      </c>
      <c r="BA235" s="88">
        <v>57000</v>
      </c>
      <c r="BB235" s="88">
        <v>57000</v>
      </c>
      <c r="BC235" s="88">
        <v>57000</v>
      </c>
      <c r="BD235" s="88">
        <v>57000</v>
      </c>
      <c r="BE235" s="88">
        <v>57000</v>
      </c>
      <c r="BF235" s="88">
        <v>57000</v>
      </c>
      <c r="BG235" s="88">
        <v>57000</v>
      </c>
      <c r="BH235" s="88">
        <v>57000</v>
      </c>
      <c r="BI235" s="88">
        <v>57000</v>
      </c>
      <c r="BJ235" s="88">
        <v>57000</v>
      </c>
      <c r="BK235" s="88">
        <v>1036.157179142393</v>
      </c>
      <c r="BL235" s="88">
        <v>1034.637093766321</v>
      </c>
      <c r="BM235" s="88">
        <v>1033.1214619128059</v>
      </c>
      <c r="BN235" s="88">
        <v>1031.5591144606669</v>
      </c>
      <c r="BO235" s="88">
        <v>1030.0014852220399</v>
      </c>
      <c r="BP235" s="88">
        <v>1028.4485528559819</v>
      </c>
      <c r="BQ235" s="88">
        <v>1026.900296150051</v>
      </c>
      <c r="BR235" s="88">
        <v>1025.3314277265849</v>
      </c>
      <c r="BS235" s="88">
        <v>1023.7925349998829</v>
      </c>
      <c r="BT235" s="88">
        <v>1022.25825471698</v>
      </c>
      <c r="BU235" s="88">
        <v>1020.728566171961</v>
      </c>
      <c r="BV235" s="88">
        <v>1019.203448782632</v>
      </c>
      <c r="BW235" s="88">
        <v>0</v>
      </c>
      <c r="BX235" s="88">
        <v>0</v>
      </c>
      <c r="BY235" s="88">
        <v>0</v>
      </c>
      <c r="BZ235" s="88">
        <v>0</v>
      </c>
      <c r="CA235" s="88">
        <v>0</v>
      </c>
      <c r="CB235" s="88">
        <v>0</v>
      </c>
      <c r="CC235" s="88">
        <v>0</v>
      </c>
      <c r="CD235" s="88">
        <v>0</v>
      </c>
      <c r="CE235" s="88">
        <v>0</v>
      </c>
      <c r="CF235" s="88">
        <v>0</v>
      </c>
      <c r="CG235" s="88">
        <v>0</v>
      </c>
      <c r="CH235" s="88">
        <v>0</v>
      </c>
      <c r="CI235" s="88">
        <v>57000</v>
      </c>
      <c r="CJ235" s="88">
        <v>57000</v>
      </c>
      <c r="CK235" s="88">
        <v>57000</v>
      </c>
      <c r="CL235" s="88">
        <v>57000</v>
      </c>
      <c r="CM235" s="88">
        <v>57000</v>
      </c>
      <c r="CN235" s="88">
        <v>57000</v>
      </c>
      <c r="CO235" s="88">
        <v>57000</v>
      </c>
      <c r="CP235" s="88">
        <v>57000</v>
      </c>
      <c r="CQ235" s="88">
        <v>57000</v>
      </c>
      <c r="CR235" s="88">
        <v>57000</v>
      </c>
      <c r="CS235" s="88">
        <v>57000</v>
      </c>
      <c r="CT235" s="88">
        <v>57000</v>
      </c>
      <c r="CU235" s="88">
        <v>1036.157179142393</v>
      </c>
      <c r="CV235" s="88">
        <v>1034.637093766321</v>
      </c>
      <c r="CW235" s="88">
        <v>1033.1214619128059</v>
      </c>
      <c r="CX235" s="88">
        <v>1031.5591144606669</v>
      </c>
      <c r="CY235" s="88">
        <v>1030.0014852220399</v>
      </c>
      <c r="CZ235" s="88">
        <v>1028.4485528559819</v>
      </c>
      <c r="DA235" s="88">
        <v>1026.900296150051</v>
      </c>
      <c r="DB235" s="88">
        <v>1025.3314277265849</v>
      </c>
      <c r="DC235" s="88">
        <v>1023.7925349998829</v>
      </c>
      <c r="DD235" s="88">
        <v>1022.25825471698</v>
      </c>
      <c r="DE235" s="88">
        <v>1020.728566171961</v>
      </c>
      <c r="DF235" s="88">
        <v>1019.203448782632</v>
      </c>
      <c r="DG235" s="93"/>
      <c r="DH235" s="91"/>
      <c r="DJ235" s="93"/>
      <c r="DK235" s="91"/>
      <c r="DM235" s="93"/>
      <c r="DN235" s="91"/>
      <c r="DP235" s="93"/>
      <c r="DQ235" s="91"/>
    </row>
    <row r="236" spans="1:121" x14ac:dyDescent="0.3">
      <c r="A236" t="s">
        <v>28</v>
      </c>
      <c r="B236" t="s">
        <v>47</v>
      </c>
      <c r="C236" t="s">
        <v>50</v>
      </c>
      <c r="D236" t="s">
        <v>391</v>
      </c>
      <c r="E236" t="s">
        <v>599</v>
      </c>
      <c r="F236" s="86">
        <v>45000</v>
      </c>
      <c r="G236" s="87">
        <v>12</v>
      </c>
      <c r="H236" s="88">
        <v>1.02</v>
      </c>
      <c r="I236" s="88">
        <v>1.0213166666666671</v>
      </c>
      <c r="J236" s="89">
        <v>0.89000000000000024</v>
      </c>
      <c r="K236" s="88">
        <v>0.99871081447151555</v>
      </c>
      <c r="L236" s="88">
        <v>1.01123595505618</v>
      </c>
      <c r="M236" s="88">
        <v>1</v>
      </c>
      <c r="N236" s="90">
        <v>0.60799999999999998</v>
      </c>
      <c r="O236" s="90">
        <v>0.61403882885259908</v>
      </c>
      <c r="P236" s="90">
        <v>0.59316448035025193</v>
      </c>
      <c r="Q236" s="91">
        <v>0</v>
      </c>
      <c r="R236" s="88">
        <v>0.96475948010183543</v>
      </c>
      <c r="S236" s="88">
        <v>1.01123595505618</v>
      </c>
      <c r="T236" s="91">
        <v>1.290849673202477E-3</v>
      </c>
      <c r="U236" s="91">
        <v>3.5191501166794703E-2</v>
      </c>
      <c r="V236" s="87">
        <v>0</v>
      </c>
      <c r="W236" s="91">
        <v>0</v>
      </c>
      <c r="X236" s="87">
        <v>1</v>
      </c>
      <c r="Y236" s="90">
        <v>0.61403882885259908</v>
      </c>
      <c r="Z236" s="90">
        <v>0.59316448035025193</v>
      </c>
      <c r="AA236" s="92">
        <v>0</v>
      </c>
      <c r="AB236" s="88">
        <v>0</v>
      </c>
      <c r="AC236" s="87">
        <v>1</v>
      </c>
      <c r="AD236" s="87">
        <v>1</v>
      </c>
      <c r="AE236" s="88">
        <v>1.0386</v>
      </c>
      <c r="AF236" s="88">
        <v>1</v>
      </c>
      <c r="AG236" s="88">
        <v>1.0386</v>
      </c>
      <c r="AH236" s="88">
        <v>45900</v>
      </c>
      <c r="AI236" s="88">
        <v>45959.25</v>
      </c>
      <c r="AJ236" s="88">
        <v>40050.000000000007</v>
      </c>
      <c r="AK236" s="88">
        <v>44941.986651218198</v>
      </c>
      <c r="AL236" s="88">
        <v>45505.617977528083</v>
      </c>
      <c r="AM236" s="88">
        <v>45000</v>
      </c>
      <c r="AN236" s="88">
        <v>27360</v>
      </c>
      <c r="AO236" s="88">
        <v>27631.747298366961</v>
      </c>
      <c r="AP236" s="88">
        <v>26692.401615761341</v>
      </c>
      <c r="AQ236" s="88">
        <v>0</v>
      </c>
      <c r="AR236" s="88">
        <v>43414.176604582593</v>
      </c>
      <c r="AS236" s="88">
        <v>45505.617977528083</v>
      </c>
      <c r="AT236" s="88">
        <v>27631.747298366961</v>
      </c>
      <c r="AU236" s="88">
        <v>26692.401615761341</v>
      </c>
      <c r="AV236" s="88">
        <v>40500</v>
      </c>
      <c r="AW236" s="88">
        <v>40050</v>
      </c>
      <c r="AX236" s="88">
        <v>40050</v>
      </c>
      <c r="AY236" s="88">
        <v>45000</v>
      </c>
      <c r="AZ236" s="88">
        <v>45000</v>
      </c>
      <c r="BA236" s="88">
        <v>45000</v>
      </c>
      <c r="BB236" s="88">
        <v>45000</v>
      </c>
      <c r="BC236" s="88">
        <v>45000</v>
      </c>
      <c r="BD236" s="88">
        <v>45000</v>
      </c>
      <c r="BE236" s="88">
        <v>45000</v>
      </c>
      <c r="BF236" s="88">
        <v>45000</v>
      </c>
      <c r="BG236" s="88">
        <v>45000</v>
      </c>
      <c r="BH236" s="88">
        <v>45000</v>
      </c>
      <c r="BI236" s="88">
        <v>45000</v>
      </c>
      <c r="BJ236" s="88">
        <v>45000</v>
      </c>
      <c r="BK236" s="88">
        <v>900.0000000000008</v>
      </c>
      <c r="BL236" s="88">
        <v>900.0000000000008</v>
      </c>
      <c r="BM236" s="88">
        <v>900.0000000000008</v>
      </c>
      <c r="BN236" s="88">
        <v>900.0000000000008</v>
      </c>
      <c r="BO236" s="88">
        <v>900.0000000000008</v>
      </c>
      <c r="BP236" s="88">
        <v>2735.9999999999991</v>
      </c>
      <c r="BQ236" s="88">
        <v>2735.9999999999991</v>
      </c>
      <c r="BR236" s="88">
        <v>2735.9999999999991</v>
      </c>
      <c r="BS236" s="88">
        <v>2735.9999999999991</v>
      </c>
      <c r="BT236" s="88">
        <v>1800.000000000002</v>
      </c>
      <c r="BU236" s="88">
        <v>1800.000000000002</v>
      </c>
      <c r="BV236" s="88">
        <v>1800.000000000002</v>
      </c>
      <c r="BW236" s="88">
        <v>900.0000000000008</v>
      </c>
      <c r="BX236" s="88">
        <v>900.0000000000008</v>
      </c>
      <c r="BY236" s="88">
        <v>900.0000000000008</v>
      </c>
      <c r="BZ236" s="88">
        <v>900.0000000000008</v>
      </c>
      <c r="CA236" s="88">
        <v>900.0000000000008</v>
      </c>
      <c r="CB236" s="88">
        <v>2735.9999999999991</v>
      </c>
      <c r="CC236" s="88">
        <v>2735.9999999999991</v>
      </c>
      <c r="CD236" s="88">
        <v>2735.9999999999991</v>
      </c>
      <c r="CE236" s="88">
        <v>2735.9999999999991</v>
      </c>
      <c r="CF236" s="88">
        <v>1800.000000000002</v>
      </c>
      <c r="CG236" s="88">
        <v>1800.000000000002</v>
      </c>
      <c r="CH236" s="88">
        <v>1800.000000000002</v>
      </c>
      <c r="CI236" s="88">
        <v>45000</v>
      </c>
      <c r="CJ236" s="88">
        <v>45000</v>
      </c>
      <c r="CK236" s="88">
        <v>45000</v>
      </c>
      <c r="CL236" s="88">
        <v>45000</v>
      </c>
      <c r="CM236" s="88">
        <v>45000</v>
      </c>
      <c r="CN236" s="88">
        <v>45000</v>
      </c>
      <c r="CO236" s="88">
        <v>45000</v>
      </c>
      <c r="CP236" s="88">
        <v>45000</v>
      </c>
      <c r="CQ236" s="88">
        <v>45000</v>
      </c>
      <c r="CR236" s="88">
        <v>45000</v>
      </c>
      <c r="CS236" s="88">
        <v>45000</v>
      </c>
      <c r="CT236" s="88">
        <v>45000</v>
      </c>
      <c r="CU236" s="88">
        <v>0</v>
      </c>
      <c r="CV236" s="88">
        <v>0</v>
      </c>
      <c r="CW236" s="88">
        <v>0</v>
      </c>
      <c r="CX236" s="88">
        <v>0</v>
      </c>
      <c r="CY236" s="88">
        <v>0</v>
      </c>
      <c r="CZ236" s="88">
        <v>0</v>
      </c>
      <c r="DA236" s="88">
        <v>0</v>
      </c>
      <c r="DB236" s="88">
        <v>0</v>
      </c>
      <c r="DC236" s="88">
        <v>0</v>
      </c>
      <c r="DD236" s="88">
        <v>0</v>
      </c>
      <c r="DE236" s="88">
        <v>0</v>
      </c>
      <c r="DF236" s="88">
        <v>0</v>
      </c>
      <c r="DG236" s="93">
        <v>46296</v>
      </c>
      <c r="DH236" s="91">
        <v>0.02</v>
      </c>
      <c r="DI236" t="s">
        <v>301</v>
      </c>
      <c r="DJ236" s="93">
        <v>46539</v>
      </c>
      <c r="DK236" s="91">
        <v>0.04</v>
      </c>
      <c r="DL236" t="s">
        <v>302</v>
      </c>
      <c r="DM236" s="93"/>
      <c r="DN236" s="91"/>
      <c r="DP236" s="93"/>
      <c r="DQ236" s="91"/>
    </row>
    <row r="237" spans="1:121" x14ac:dyDescent="0.3">
      <c r="A237" t="s">
        <v>28</v>
      </c>
      <c r="B237" t="s">
        <v>47</v>
      </c>
      <c r="C237" t="s">
        <v>57</v>
      </c>
      <c r="D237" t="s">
        <v>393</v>
      </c>
      <c r="E237" t="s">
        <v>600</v>
      </c>
      <c r="F237" s="86">
        <v>33000</v>
      </c>
      <c r="G237" s="87">
        <v>12</v>
      </c>
      <c r="H237" s="88">
        <v>1</v>
      </c>
      <c r="I237" s="88">
        <v>1</v>
      </c>
      <c r="J237" s="89">
        <v>0.89299370897155361</v>
      </c>
      <c r="K237" s="88">
        <v>1</v>
      </c>
      <c r="L237" s="88">
        <v>1.0078458458979691</v>
      </c>
      <c r="M237" s="88">
        <v>1</v>
      </c>
      <c r="N237" s="90">
        <v>0.59199999999999997</v>
      </c>
      <c r="O237" s="90">
        <v>0.59664474077159757</v>
      </c>
      <c r="P237" s="90">
        <v>0.5900433281091888</v>
      </c>
      <c r="Q237" s="91">
        <v>0</v>
      </c>
      <c r="R237" s="88">
        <v>1</v>
      </c>
      <c r="S237" s="88">
        <v>0.99669481099525148</v>
      </c>
      <c r="T237" s="91">
        <v>0</v>
      </c>
      <c r="U237" s="91">
        <v>0</v>
      </c>
      <c r="V237" s="87">
        <v>0</v>
      </c>
      <c r="W237" s="91">
        <v>0</v>
      </c>
      <c r="X237" s="87">
        <v>1</v>
      </c>
      <c r="Y237" s="90">
        <v>0.59664474077159757</v>
      </c>
      <c r="Z237" s="90">
        <v>0.5900433281091888</v>
      </c>
      <c r="AA237" s="92">
        <v>0</v>
      </c>
      <c r="AB237" s="88">
        <v>0</v>
      </c>
      <c r="AC237" s="87">
        <v>0</v>
      </c>
      <c r="AD237" s="87">
        <v>0</v>
      </c>
      <c r="AE237" s="88">
        <v>1</v>
      </c>
      <c r="AF237" s="88">
        <v>1.0135066962933139</v>
      </c>
      <c r="AG237" s="88">
        <v>1.0135066962933139</v>
      </c>
      <c r="AH237" s="88">
        <v>33000</v>
      </c>
      <c r="AI237" s="88">
        <v>33000</v>
      </c>
      <c r="AJ237" s="88">
        <v>29468.792396061272</v>
      </c>
      <c r="AK237" s="88">
        <v>33000</v>
      </c>
      <c r="AL237" s="88">
        <v>33258.912914632972</v>
      </c>
      <c r="AM237" s="88">
        <v>33000</v>
      </c>
      <c r="AN237" s="88">
        <v>19536</v>
      </c>
      <c r="AO237" s="88">
        <v>19689.276445462721</v>
      </c>
      <c r="AP237" s="88">
        <v>19471.429827603231</v>
      </c>
      <c r="AQ237" s="88">
        <v>0</v>
      </c>
      <c r="AR237" s="88">
        <v>33000</v>
      </c>
      <c r="AS237" s="88">
        <v>32890.928762843301</v>
      </c>
      <c r="AT237" s="88">
        <v>19689.276445462721</v>
      </c>
      <c r="AU237" s="88">
        <v>19471.429827603231</v>
      </c>
      <c r="AV237" s="88">
        <v>29700</v>
      </c>
      <c r="AW237" s="88">
        <v>29370</v>
      </c>
      <c r="AX237" s="88">
        <v>29865</v>
      </c>
      <c r="AY237" s="88">
        <v>33000</v>
      </c>
      <c r="AZ237" s="88">
        <v>33000</v>
      </c>
      <c r="BA237" s="88">
        <v>33000</v>
      </c>
      <c r="BB237" s="88">
        <v>33000</v>
      </c>
      <c r="BC237" s="88">
        <v>33000</v>
      </c>
      <c r="BD237" s="88">
        <v>33000</v>
      </c>
      <c r="BE237" s="88">
        <v>33000</v>
      </c>
      <c r="BF237" s="88">
        <v>33000</v>
      </c>
      <c r="BG237" s="88">
        <v>33000</v>
      </c>
      <c r="BH237" s="88">
        <v>33000</v>
      </c>
      <c r="BI237" s="88">
        <v>33000</v>
      </c>
      <c r="BJ237" s="88">
        <v>33000</v>
      </c>
      <c r="BK237" s="88">
        <v>448.47251267476071</v>
      </c>
      <c r="BL237" s="88">
        <v>447.98046167960501</v>
      </c>
      <c r="BM237" s="88">
        <v>447.48948922916759</v>
      </c>
      <c r="BN237" s="88">
        <v>446.98300388412139</v>
      </c>
      <c r="BO237" s="88">
        <v>446.47766376098912</v>
      </c>
      <c r="BP237" s="88">
        <v>445.97346497994027</v>
      </c>
      <c r="BQ237" s="88">
        <v>445.47040367866452</v>
      </c>
      <c r="BR237" s="88">
        <v>444.96025711277707</v>
      </c>
      <c r="BS237" s="88">
        <v>444.45947774320291</v>
      </c>
      <c r="BT237" s="88">
        <v>443.95982430813439</v>
      </c>
      <c r="BU237" s="88">
        <v>443.46129301457893</v>
      </c>
      <c r="BV237" s="88">
        <v>442.96388008654361</v>
      </c>
      <c r="BW237" s="88">
        <v>0</v>
      </c>
      <c r="BX237" s="88">
        <v>0</v>
      </c>
      <c r="BY237" s="88">
        <v>0</v>
      </c>
      <c r="BZ237" s="88">
        <v>0</v>
      </c>
      <c r="CA237" s="88">
        <v>0</v>
      </c>
      <c r="CB237" s="88">
        <v>0</v>
      </c>
      <c r="CC237" s="88">
        <v>0</v>
      </c>
      <c r="CD237" s="88">
        <v>0</v>
      </c>
      <c r="CE237" s="88">
        <v>0</v>
      </c>
      <c r="CF237" s="88">
        <v>0</v>
      </c>
      <c r="CG237" s="88">
        <v>0</v>
      </c>
      <c r="CH237" s="88">
        <v>0</v>
      </c>
      <c r="CI237" s="88">
        <v>33000</v>
      </c>
      <c r="CJ237" s="88">
        <v>33000</v>
      </c>
      <c r="CK237" s="88">
        <v>33000</v>
      </c>
      <c r="CL237" s="88">
        <v>33000</v>
      </c>
      <c r="CM237" s="88">
        <v>33000</v>
      </c>
      <c r="CN237" s="88">
        <v>33000</v>
      </c>
      <c r="CO237" s="88">
        <v>33000</v>
      </c>
      <c r="CP237" s="88">
        <v>33000</v>
      </c>
      <c r="CQ237" s="88">
        <v>33000</v>
      </c>
      <c r="CR237" s="88">
        <v>33000</v>
      </c>
      <c r="CS237" s="88">
        <v>33000</v>
      </c>
      <c r="CT237" s="88">
        <v>33000</v>
      </c>
      <c r="CU237" s="88">
        <v>448.47251267476071</v>
      </c>
      <c r="CV237" s="88">
        <v>447.98046167960501</v>
      </c>
      <c r="CW237" s="88">
        <v>447.48948922916759</v>
      </c>
      <c r="CX237" s="88">
        <v>446.98300388412139</v>
      </c>
      <c r="CY237" s="88">
        <v>446.47766376098912</v>
      </c>
      <c r="CZ237" s="88">
        <v>445.97346497994027</v>
      </c>
      <c r="DA237" s="88">
        <v>445.47040367866452</v>
      </c>
      <c r="DB237" s="88">
        <v>444.96025711277707</v>
      </c>
      <c r="DC237" s="88">
        <v>444.45947774320291</v>
      </c>
      <c r="DD237" s="88">
        <v>443.95982430813439</v>
      </c>
      <c r="DE237" s="88">
        <v>443.46129301457893</v>
      </c>
      <c r="DF237" s="88">
        <v>442.96388008654361</v>
      </c>
      <c r="DG237" s="93"/>
      <c r="DH237" s="91"/>
      <c r="DJ237" s="93"/>
      <c r="DK237" s="91"/>
      <c r="DM237" s="93"/>
      <c r="DN237" s="91"/>
      <c r="DP237" s="93"/>
      <c r="DQ237" s="91"/>
    </row>
    <row r="238" spans="1:121" x14ac:dyDescent="0.3">
      <c r="A238" t="s">
        <v>28</v>
      </c>
      <c r="B238" t="s">
        <v>47</v>
      </c>
      <c r="C238" t="s">
        <v>58</v>
      </c>
      <c r="D238" t="s">
        <v>395</v>
      </c>
      <c r="E238" t="s">
        <v>601</v>
      </c>
      <c r="F238" s="86">
        <v>72000</v>
      </c>
      <c r="G238" s="87">
        <v>12</v>
      </c>
      <c r="H238" s="88">
        <v>1</v>
      </c>
      <c r="I238" s="88">
        <v>1</v>
      </c>
      <c r="J238" s="89">
        <v>0.88900209700948218</v>
      </c>
      <c r="K238" s="88">
        <v>1</v>
      </c>
      <c r="L238" s="88">
        <v>1.0123710652961491</v>
      </c>
      <c r="M238" s="88">
        <v>1</v>
      </c>
      <c r="N238" s="90">
        <v>0.62</v>
      </c>
      <c r="O238" s="90">
        <v>0.6276700604836124</v>
      </c>
      <c r="P238" s="90">
        <v>0.63003020560878842</v>
      </c>
      <c r="Q238" s="91">
        <v>0</v>
      </c>
      <c r="R238" s="88">
        <v>1</v>
      </c>
      <c r="S238" s="88">
        <v>1.016177750981917</v>
      </c>
      <c r="T238" s="91">
        <v>0</v>
      </c>
      <c r="U238" s="91">
        <v>0</v>
      </c>
      <c r="V238" s="87">
        <v>0</v>
      </c>
      <c r="W238" s="91">
        <v>0</v>
      </c>
      <c r="X238" s="87">
        <v>1</v>
      </c>
      <c r="Y238" s="90">
        <v>0.6276700604836124</v>
      </c>
      <c r="Z238" s="90">
        <v>0.63003020560878842</v>
      </c>
      <c r="AA238" s="92">
        <v>0</v>
      </c>
      <c r="AB238" s="88">
        <v>0</v>
      </c>
      <c r="AC238" s="87">
        <v>0</v>
      </c>
      <c r="AD238" s="87">
        <v>0</v>
      </c>
      <c r="AE238" s="88">
        <v>1</v>
      </c>
      <c r="AF238" s="88">
        <v>0.99551801636857096</v>
      </c>
      <c r="AG238" s="88">
        <v>0.99551801636857096</v>
      </c>
      <c r="AH238" s="88">
        <v>72000</v>
      </c>
      <c r="AI238" s="88">
        <v>72000</v>
      </c>
      <c r="AJ238" s="88">
        <v>64008.150984682718</v>
      </c>
      <c r="AK238" s="88">
        <v>72000</v>
      </c>
      <c r="AL238" s="88">
        <v>72890.71670132273</v>
      </c>
      <c r="AM238" s="88">
        <v>72000</v>
      </c>
      <c r="AN238" s="88">
        <v>44640</v>
      </c>
      <c r="AO238" s="88">
        <v>45192.24435482009</v>
      </c>
      <c r="AP238" s="88">
        <v>45362.174803832757</v>
      </c>
      <c r="AQ238" s="88">
        <v>0</v>
      </c>
      <c r="AR238" s="88">
        <v>72000</v>
      </c>
      <c r="AS238" s="88">
        <v>73164.798070698002</v>
      </c>
      <c r="AT238" s="88">
        <v>45192.24435482009</v>
      </c>
      <c r="AU238" s="88">
        <v>45362.174803832757</v>
      </c>
      <c r="AV238" s="88">
        <v>64800</v>
      </c>
      <c r="AW238" s="88">
        <v>64080</v>
      </c>
      <c r="AX238" s="88">
        <v>63720</v>
      </c>
      <c r="AY238" s="88">
        <v>72000</v>
      </c>
      <c r="AZ238" s="88">
        <v>72000</v>
      </c>
      <c r="BA238" s="88">
        <v>72000</v>
      </c>
      <c r="BB238" s="88">
        <v>72000</v>
      </c>
      <c r="BC238" s="88">
        <v>72000</v>
      </c>
      <c r="BD238" s="88">
        <v>72000</v>
      </c>
      <c r="BE238" s="88">
        <v>72000</v>
      </c>
      <c r="BF238" s="88">
        <v>72000</v>
      </c>
      <c r="BG238" s="88">
        <v>72000</v>
      </c>
      <c r="BH238" s="88">
        <v>72000</v>
      </c>
      <c r="BI238" s="88">
        <v>72000</v>
      </c>
      <c r="BJ238" s="88">
        <v>72000</v>
      </c>
      <c r="BK238" s="88">
        <v>-322.04501032430687</v>
      </c>
      <c r="BL238" s="88">
        <v>-322.16147301836349</v>
      </c>
      <c r="BM238" s="88">
        <v>-322.2780199768236</v>
      </c>
      <c r="BN238" s="88">
        <v>-322.39860637436288</v>
      </c>
      <c r="BO238" s="88">
        <v>-322.51928304503519</v>
      </c>
      <c r="BP238" s="88">
        <v>-322.64005009023128</v>
      </c>
      <c r="BQ238" s="88">
        <v>-322.76090761153409</v>
      </c>
      <c r="BR238" s="88">
        <v>-322.88383922153758</v>
      </c>
      <c r="BS238" s="88">
        <v>-323.0048794877236</v>
      </c>
      <c r="BT238" s="88">
        <v>-323.12601053725041</v>
      </c>
      <c r="BU238" s="88">
        <v>-323.24723247232441</v>
      </c>
      <c r="BV238" s="88">
        <v>-323.36854539525552</v>
      </c>
      <c r="BW238" s="88">
        <v>0</v>
      </c>
      <c r="BX238" s="88">
        <v>0</v>
      </c>
      <c r="BY238" s="88">
        <v>0</v>
      </c>
      <c r="BZ238" s="88">
        <v>0</v>
      </c>
      <c r="CA238" s="88">
        <v>0</v>
      </c>
      <c r="CB238" s="88">
        <v>0</v>
      </c>
      <c r="CC238" s="88">
        <v>0</v>
      </c>
      <c r="CD238" s="88">
        <v>0</v>
      </c>
      <c r="CE238" s="88">
        <v>0</v>
      </c>
      <c r="CF238" s="88">
        <v>0</v>
      </c>
      <c r="CG238" s="88">
        <v>0</v>
      </c>
      <c r="CH238" s="88">
        <v>0</v>
      </c>
      <c r="CI238" s="88">
        <v>72000</v>
      </c>
      <c r="CJ238" s="88">
        <v>72000</v>
      </c>
      <c r="CK238" s="88">
        <v>72000</v>
      </c>
      <c r="CL238" s="88">
        <v>72000</v>
      </c>
      <c r="CM238" s="88">
        <v>72000</v>
      </c>
      <c r="CN238" s="88">
        <v>72000</v>
      </c>
      <c r="CO238" s="88">
        <v>72000</v>
      </c>
      <c r="CP238" s="88">
        <v>72000</v>
      </c>
      <c r="CQ238" s="88">
        <v>72000</v>
      </c>
      <c r="CR238" s="88">
        <v>72000</v>
      </c>
      <c r="CS238" s="88">
        <v>72000</v>
      </c>
      <c r="CT238" s="88">
        <v>72000</v>
      </c>
      <c r="CU238" s="88">
        <v>-322.04501032430687</v>
      </c>
      <c r="CV238" s="88">
        <v>-322.16147301836349</v>
      </c>
      <c r="CW238" s="88">
        <v>-322.2780199768236</v>
      </c>
      <c r="CX238" s="88">
        <v>-322.39860637436288</v>
      </c>
      <c r="CY238" s="88">
        <v>-322.51928304503519</v>
      </c>
      <c r="CZ238" s="88">
        <v>-322.64005009023128</v>
      </c>
      <c r="DA238" s="88">
        <v>-322.76090761153409</v>
      </c>
      <c r="DB238" s="88">
        <v>-322.88383922153758</v>
      </c>
      <c r="DC238" s="88">
        <v>-323.0048794877236</v>
      </c>
      <c r="DD238" s="88">
        <v>-323.12601053725041</v>
      </c>
      <c r="DE238" s="88">
        <v>-323.24723247232441</v>
      </c>
      <c r="DF238" s="88">
        <v>-323.36854539525552</v>
      </c>
      <c r="DG238" s="93"/>
      <c r="DH238" s="91"/>
      <c r="DJ238" s="93"/>
      <c r="DK238" s="91"/>
      <c r="DM238" s="93"/>
      <c r="DN238" s="91"/>
      <c r="DP238" s="93"/>
      <c r="DQ238" s="91"/>
    </row>
    <row r="239" spans="1:121" x14ac:dyDescent="0.3">
      <c r="A239" t="s">
        <v>28</v>
      </c>
      <c r="B239" t="s">
        <v>47</v>
      </c>
      <c r="C239" t="s">
        <v>65</v>
      </c>
      <c r="D239" t="s">
        <v>397</v>
      </c>
      <c r="E239" t="s">
        <v>602</v>
      </c>
      <c r="F239" s="86">
        <v>60000</v>
      </c>
      <c r="G239" s="87">
        <v>12</v>
      </c>
      <c r="H239" s="88">
        <v>1</v>
      </c>
      <c r="I239" s="88">
        <v>1.056875</v>
      </c>
      <c r="J239" s="89">
        <v>0.89620409445450866</v>
      </c>
      <c r="K239" s="88">
        <v>0.94618568894145472</v>
      </c>
      <c r="L239" s="88">
        <v>1.0042355369373781</v>
      </c>
      <c r="M239" s="88">
        <v>1</v>
      </c>
      <c r="N239" s="90">
        <v>0.60399999999999998</v>
      </c>
      <c r="O239" s="90">
        <v>0.57391674919945712</v>
      </c>
      <c r="P239" s="90">
        <v>0.55958940773450672</v>
      </c>
      <c r="Q239" s="91">
        <v>0</v>
      </c>
      <c r="R239" s="88">
        <v>0.93896713615023475</v>
      </c>
      <c r="S239" s="88">
        <v>0.986693243770281</v>
      </c>
      <c r="T239" s="91">
        <v>5.6875000000000009E-2</v>
      </c>
      <c r="U239" s="91">
        <v>7.6877587226491517E-3</v>
      </c>
      <c r="V239" s="87">
        <v>0</v>
      </c>
      <c r="W239" s="91">
        <v>0</v>
      </c>
      <c r="X239" s="87">
        <v>1</v>
      </c>
      <c r="Y239" s="90">
        <v>0.57391674919945712</v>
      </c>
      <c r="Z239" s="90">
        <v>0.55958940773450672</v>
      </c>
      <c r="AA239" s="92">
        <v>0</v>
      </c>
      <c r="AB239" s="88">
        <v>0</v>
      </c>
      <c r="AC239" s="87">
        <v>0</v>
      </c>
      <c r="AD239" s="87">
        <v>1</v>
      </c>
      <c r="AE239" s="88">
        <v>1.0325</v>
      </c>
      <c r="AF239" s="88">
        <v>1.025634192168233</v>
      </c>
      <c r="AG239" s="88">
        <v>1.05896417911691</v>
      </c>
      <c r="AH239" s="88">
        <v>60000</v>
      </c>
      <c r="AI239" s="88">
        <v>63412.5</v>
      </c>
      <c r="AJ239" s="88">
        <v>53772.245667270523</v>
      </c>
      <c r="AK239" s="88">
        <v>56771.141336487293</v>
      </c>
      <c r="AL239" s="88">
        <v>60254.132216242673</v>
      </c>
      <c r="AM239" s="88">
        <v>60000</v>
      </c>
      <c r="AN239" s="88">
        <v>36240</v>
      </c>
      <c r="AO239" s="88">
        <v>34435.004951967428</v>
      </c>
      <c r="AP239" s="88">
        <v>33575.364464070401</v>
      </c>
      <c r="AQ239" s="88">
        <v>0</v>
      </c>
      <c r="AR239" s="88">
        <v>56338.028169014076</v>
      </c>
      <c r="AS239" s="88">
        <v>59201.594626216858</v>
      </c>
      <c r="AT239" s="88">
        <v>34435.004951967428</v>
      </c>
      <c r="AU239" s="88">
        <v>33575.364464070401</v>
      </c>
      <c r="AV239" s="88">
        <v>54000</v>
      </c>
      <c r="AW239" s="88">
        <v>53400</v>
      </c>
      <c r="AX239" s="88">
        <v>54000</v>
      </c>
      <c r="AY239" s="88">
        <v>60000</v>
      </c>
      <c r="AZ239" s="88">
        <v>60000</v>
      </c>
      <c r="BA239" s="88">
        <v>60000</v>
      </c>
      <c r="BB239" s="88">
        <v>60000</v>
      </c>
      <c r="BC239" s="88">
        <v>60000</v>
      </c>
      <c r="BD239" s="88">
        <v>60000</v>
      </c>
      <c r="BE239" s="88">
        <v>60000</v>
      </c>
      <c r="BF239" s="88">
        <v>60000</v>
      </c>
      <c r="BG239" s="88">
        <v>60000</v>
      </c>
      <c r="BH239" s="88">
        <v>60000</v>
      </c>
      <c r="BI239" s="88">
        <v>60000</v>
      </c>
      <c r="BJ239" s="88">
        <v>60000</v>
      </c>
      <c r="BK239" s="88">
        <v>5285.5538666749344</v>
      </c>
      <c r="BL239" s="88">
        <v>5166.2868466683158</v>
      </c>
      <c r="BM239" s="88">
        <v>5047.4547983310194</v>
      </c>
      <c r="BN239" s="88">
        <v>5617.5832181638707</v>
      </c>
      <c r="BO239" s="88">
        <v>6099.165809649905</v>
      </c>
      <c r="BP239" s="88">
        <v>5975.2476489028259</v>
      </c>
      <c r="BQ239" s="88">
        <v>1832.6697137948991</v>
      </c>
      <c r="BR239" s="88">
        <v>1715.2934692752849</v>
      </c>
      <c r="BS239" s="88">
        <v>1600.244483833508</v>
      </c>
      <c r="BT239" s="88">
        <v>1485.6236464020969</v>
      </c>
      <c r="BU239" s="88">
        <v>1371.428571428575</v>
      </c>
      <c r="BV239" s="88">
        <v>1257.6568910499959</v>
      </c>
      <c r="BW239" s="88">
        <v>3899.9999999999968</v>
      </c>
      <c r="BX239" s="88">
        <v>3899.9999999999968</v>
      </c>
      <c r="BY239" s="88">
        <v>3899.9999999999968</v>
      </c>
      <c r="BZ239" s="88">
        <v>3899.9999999999968</v>
      </c>
      <c r="CA239" s="88">
        <v>3899.9999999999968</v>
      </c>
      <c r="CB239" s="88">
        <v>3899.9999999999968</v>
      </c>
      <c r="CC239" s="88">
        <v>0</v>
      </c>
      <c r="CD239" s="88">
        <v>0</v>
      </c>
      <c r="CE239" s="88">
        <v>0</v>
      </c>
      <c r="CF239" s="88">
        <v>0</v>
      </c>
      <c r="CG239" s="88">
        <v>0</v>
      </c>
      <c r="CH239" s="88">
        <v>0</v>
      </c>
      <c r="CI239" s="88">
        <v>60000</v>
      </c>
      <c r="CJ239" s="88">
        <v>60000</v>
      </c>
      <c r="CK239" s="88">
        <v>60000</v>
      </c>
      <c r="CL239" s="88">
        <v>60000</v>
      </c>
      <c r="CM239" s="88">
        <v>60000</v>
      </c>
      <c r="CN239" s="88">
        <v>60000</v>
      </c>
      <c r="CO239" s="88">
        <v>60000</v>
      </c>
      <c r="CP239" s="88">
        <v>60000</v>
      </c>
      <c r="CQ239" s="88">
        <v>60000</v>
      </c>
      <c r="CR239" s="88">
        <v>60000</v>
      </c>
      <c r="CS239" s="88">
        <v>60000</v>
      </c>
      <c r="CT239" s="88">
        <v>60000</v>
      </c>
      <c r="CU239" s="88">
        <v>1300.9895461736451</v>
      </c>
      <c r="CV239" s="88">
        <v>1189.0017339608639</v>
      </c>
      <c r="CW239" s="88">
        <v>1077.422345850727</v>
      </c>
      <c r="CX239" s="88">
        <v>1612.7541954590411</v>
      </c>
      <c r="CY239" s="88">
        <v>2064.9444222064922</v>
      </c>
      <c r="CZ239" s="88">
        <v>1948.589341692792</v>
      </c>
      <c r="DA239" s="88">
        <v>1832.6697137948991</v>
      </c>
      <c r="DB239" s="88">
        <v>1715.2934692752849</v>
      </c>
      <c r="DC239" s="88">
        <v>1600.244483833508</v>
      </c>
      <c r="DD239" s="88">
        <v>1485.6236464020969</v>
      </c>
      <c r="DE239" s="88">
        <v>1371.428571428575</v>
      </c>
      <c r="DF239" s="88">
        <v>1257.6568910499959</v>
      </c>
      <c r="DG239" s="93">
        <v>46204</v>
      </c>
      <c r="DH239" s="91">
        <v>6.5000000000000002E-2</v>
      </c>
      <c r="DI239" t="s">
        <v>302</v>
      </c>
      <c r="DJ239" s="93"/>
      <c r="DK239" s="91"/>
      <c r="DM239" s="93"/>
      <c r="DN239" s="91"/>
      <c r="DP239" s="93"/>
      <c r="DQ239" s="91"/>
    </row>
    <row r="240" spans="1:121" x14ac:dyDescent="0.3">
      <c r="A240" t="s">
        <v>28</v>
      </c>
      <c r="B240" t="s">
        <v>47</v>
      </c>
      <c r="C240" t="s">
        <v>66</v>
      </c>
      <c r="D240" t="s">
        <v>399</v>
      </c>
      <c r="E240" t="s">
        <v>603</v>
      </c>
      <c r="F240" s="86">
        <v>48000</v>
      </c>
      <c r="G240" s="87">
        <v>12</v>
      </c>
      <c r="H240" s="88">
        <v>1.06</v>
      </c>
      <c r="I240" s="88">
        <v>1.0611166666666669</v>
      </c>
      <c r="J240" s="89">
        <v>0.88800419401896435</v>
      </c>
      <c r="K240" s="88">
        <v>0.99894764948874615</v>
      </c>
      <c r="L240" s="88">
        <v>1.0135087267175451</v>
      </c>
      <c r="M240" s="88">
        <v>1</v>
      </c>
      <c r="N240" s="90">
        <v>0.58799999999999997</v>
      </c>
      <c r="O240" s="90">
        <v>0.59531599025100401</v>
      </c>
      <c r="P240" s="90">
        <v>0.5836664237679301</v>
      </c>
      <c r="Q240" s="91">
        <v>0</v>
      </c>
      <c r="R240" s="88">
        <v>0.97205346294046147</v>
      </c>
      <c r="S240" s="88">
        <v>1.0211680841007791</v>
      </c>
      <c r="T240" s="91">
        <v>1.0534591194968359E-3</v>
      </c>
      <c r="U240" s="91">
        <v>2.7667394411547749E-2</v>
      </c>
      <c r="V240" s="87">
        <v>0</v>
      </c>
      <c r="W240" s="91">
        <v>0</v>
      </c>
      <c r="X240" s="87">
        <v>1</v>
      </c>
      <c r="Y240" s="90">
        <v>0.59531599025100401</v>
      </c>
      <c r="Z240" s="90">
        <v>0.5836664237679301</v>
      </c>
      <c r="AA240" s="92">
        <v>0</v>
      </c>
      <c r="AB240" s="88">
        <v>0</v>
      </c>
      <c r="AC240" s="87">
        <v>1</v>
      </c>
      <c r="AD240" s="87">
        <v>1</v>
      </c>
      <c r="AE240" s="88">
        <v>1.0149999999999999</v>
      </c>
      <c r="AF240" s="88">
        <v>0.99104602551311949</v>
      </c>
      <c r="AG240" s="88">
        <v>1.0059115959716529</v>
      </c>
      <c r="AH240" s="88">
        <v>50880</v>
      </c>
      <c r="AI240" s="88">
        <v>50933.599999999999</v>
      </c>
      <c r="AJ240" s="88">
        <v>42624.201312910292</v>
      </c>
      <c r="AK240" s="88">
        <v>47949.487175459813</v>
      </c>
      <c r="AL240" s="88">
        <v>48648.418882442144</v>
      </c>
      <c r="AM240" s="88">
        <v>48000</v>
      </c>
      <c r="AN240" s="88">
        <v>28224</v>
      </c>
      <c r="AO240" s="88">
        <v>28575.167532048192</v>
      </c>
      <c r="AP240" s="88">
        <v>28015.98834086064</v>
      </c>
      <c r="AQ240" s="88">
        <v>0</v>
      </c>
      <c r="AR240" s="88">
        <v>46658.566221142151</v>
      </c>
      <c r="AS240" s="88">
        <v>49016.068036837409</v>
      </c>
      <c r="AT240" s="88">
        <v>28575.167532048192</v>
      </c>
      <c r="AU240" s="88">
        <v>28015.98834086064</v>
      </c>
      <c r="AV240" s="88">
        <v>43200</v>
      </c>
      <c r="AW240" s="88">
        <v>42720</v>
      </c>
      <c r="AX240" s="88">
        <v>42240</v>
      </c>
      <c r="AY240" s="88">
        <v>48000</v>
      </c>
      <c r="AZ240" s="88">
        <v>48000</v>
      </c>
      <c r="BA240" s="88">
        <v>48000</v>
      </c>
      <c r="BB240" s="88">
        <v>48000</v>
      </c>
      <c r="BC240" s="88">
        <v>48000</v>
      </c>
      <c r="BD240" s="88">
        <v>48000</v>
      </c>
      <c r="BE240" s="88">
        <v>48000</v>
      </c>
      <c r="BF240" s="88">
        <v>48000</v>
      </c>
      <c r="BG240" s="88">
        <v>48000</v>
      </c>
      <c r="BH240" s="88">
        <v>48000</v>
      </c>
      <c r="BI240" s="88">
        <v>48000</v>
      </c>
      <c r="BJ240" s="88">
        <v>48000</v>
      </c>
      <c r="BK240" s="88">
        <v>2426.2747828636429</v>
      </c>
      <c r="BL240" s="88">
        <v>-428.3513850517071</v>
      </c>
      <c r="BM240" s="88">
        <v>-428.6605580906002</v>
      </c>
      <c r="BN240" s="88">
        <v>-428.98068117822783</v>
      </c>
      <c r="BO240" s="88">
        <v>-429.30128275811438</v>
      </c>
      <c r="BP240" s="88">
        <v>-429.62236390387079</v>
      </c>
      <c r="BQ240" s="88">
        <v>-429.94392569233668</v>
      </c>
      <c r="BR240" s="88">
        <v>-430.27125262473299</v>
      </c>
      <c r="BS240" s="88">
        <v>-430.59378686590401</v>
      </c>
      <c r="BT240" s="88">
        <v>1471.8465227817669</v>
      </c>
      <c r="BU240" s="88">
        <v>1471.5100795037829</v>
      </c>
      <c r="BV240" s="88">
        <v>1471.173130688609</v>
      </c>
      <c r="BW240" s="88">
        <v>2880.0000000000032</v>
      </c>
      <c r="BX240" s="88">
        <v>0</v>
      </c>
      <c r="BY240" s="88">
        <v>0</v>
      </c>
      <c r="BZ240" s="88">
        <v>0</v>
      </c>
      <c r="CA240" s="88">
        <v>0</v>
      </c>
      <c r="CB240" s="88">
        <v>0</v>
      </c>
      <c r="CC240" s="88">
        <v>0</v>
      </c>
      <c r="CD240" s="88">
        <v>0</v>
      </c>
      <c r="CE240" s="88">
        <v>0</v>
      </c>
      <c r="CF240" s="88">
        <v>1920.000000000002</v>
      </c>
      <c r="CG240" s="88">
        <v>1920.000000000002</v>
      </c>
      <c r="CH240" s="88">
        <v>1920.000000000002</v>
      </c>
      <c r="CI240" s="88">
        <v>48000</v>
      </c>
      <c r="CJ240" s="88">
        <v>48000</v>
      </c>
      <c r="CK240" s="88">
        <v>48000</v>
      </c>
      <c r="CL240" s="88">
        <v>48000</v>
      </c>
      <c r="CM240" s="88">
        <v>48000</v>
      </c>
      <c r="CN240" s="88">
        <v>48000</v>
      </c>
      <c r="CO240" s="88">
        <v>48000</v>
      </c>
      <c r="CP240" s="88">
        <v>48000</v>
      </c>
      <c r="CQ240" s="88">
        <v>48000</v>
      </c>
      <c r="CR240" s="88">
        <v>48000</v>
      </c>
      <c r="CS240" s="88">
        <v>48000</v>
      </c>
      <c r="CT240" s="88">
        <v>48000</v>
      </c>
      <c r="CU240" s="88">
        <v>-428.04265767581393</v>
      </c>
      <c r="CV240" s="88">
        <v>-428.3513850517071</v>
      </c>
      <c r="CW240" s="88">
        <v>-428.6605580906002</v>
      </c>
      <c r="CX240" s="88">
        <v>-428.98068117822783</v>
      </c>
      <c r="CY240" s="88">
        <v>-429.30128275811438</v>
      </c>
      <c r="CZ240" s="88">
        <v>-429.62236390387079</v>
      </c>
      <c r="DA240" s="88">
        <v>-429.94392569233668</v>
      </c>
      <c r="DB240" s="88">
        <v>-430.27125262473299</v>
      </c>
      <c r="DC240" s="88">
        <v>-430.59378686590401</v>
      </c>
      <c r="DD240" s="88">
        <v>-430.91680501752808</v>
      </c>
      <c r="DE240" s="88">
        <v>-431.2403081694427</v>
      </c>
      <c r="DF240" s="88">
        <v>-431.56429741480548</v>
      </c>
      <c r="DG240" s="93">
        <v>46054</v>
      </c>
      <c r="DH240" s="91">
        <v>0.06</v>
      </c>
      <c r="DI240" t="s">
        <v>301</v>
      </c>
      <c r="DJ240" s="93">
        <v>46661</v>
      </c>
      <c r="DK240" s="91">
        <v>0.04</v>
      </c>
      <c r="DL240" t="s">
        <v>302</v>
      </c>
      <c r="DM240" s="93"/>
      <c r="DN240" s="91"/>
      <c r="DP240" s="93"/>
      <c r="DQ240" s="91"/>
    </row>
    <row r="241" spans="1:121" x14ac:dyDescent="0.3">
      <c r="A241" t="s">
        <v>28</v>
      </c>
      <c r="B241" t="s">
        <v>47</v>
      </c>
      <c r="C241" t="s">
        <v>67</v>
      </c>
      <c r="D241" t="s">
        <v>401</v>
      </c>
      <c r="E241" t="s">
        <v>604</v>
      </c>
      <c r="F241" s="86">
        <v>36000</v>
      </c>
      <c r="G241" s="87">
        <v>12</v>
      </c>
      <c r="H241" s="88">
        <v>1</v>
      </c>
      <c r="I241" s="88">
        <v>1.0621766397027039</v>
      </c>
      <c r="J241" s="89">
        <v>0.89099790299051795</v>
      </c>
      <c r="K241" s="88">
        <v>0.94146299459183458</v>
      </c>
      <c r="L241" s="88">
        <v>1</v>
      </c>
      <c r="M241" s="88">
        <v>1</v>
      </c>
      <c r="N241" s="90">
        <v>0.61599999999999999</v>
      </c>
      <c r="O241" s="90">
        <v>0.57994120466857013</v>
      </c>
      <c r="P241" s="90">
        <v>0.52721927697142734</v>
      </c>
      <c r="Q241" s="91">
        <v>0</v>
      </c>
      <c r="R241" s="88">
        <v>0.85587544962894047</v>
      </c>
      <c r="S241" s="88">
        <v>1</v>
      </c>
      <c r="T241" s="91">
        <v>6.2176639702704151E-2</v>
      </c>
      <c r="U241" s="91">
        <v>0.1000000000000001</v>
      </c>
      <c r="V241" s="87">
        <v>1</v>
      </c>
      <c r="W241" s="91">
        <v>0.1</v>
      </c>
      <c r="X241" s="87">
        <v>1</v>
      </c>
      <c r="Y241" s="90">
        <v>0.57387473982410719</v>
      </c>
      <c r="Z241" s="90">
        <v>0.542528534593817</v>
      </c>
      <c r="AA241" s="92">
        <v>-0.60664648444629377</v>
      </c>
      <c r="AB241" s="88">
        <v>0</v>
      </c>
      <c r="AC241" s="87">
        <v>1</v>
      </c>
      <c r="AD241" s="87">
        <v>1</v>
      </c>
      <c r="AE241" s="88">
        <v>1.107</v>
      </c>
      <c r="AF241" s="88">
        <v>1.004492054902975</v>
      </c>
      <c r="AG241" s="88">
        <v>1.1119728187718041</v>
      </c>
      <c r="AH241" s="88">
        <v>36000</v>
      </c>
      <c r="AI241" s="88">
        <v>38238.359029297353</v>
      </c>
      <c r="AJ241" s="88">
        <v>32075.924507658641</v>
      </c>
      <c r="AK241" s="88">
        <v>33892.667805306053</v>
      </c>
      <c r="AL241" s="88">
        <v>36000</v>
      </c>
      <c r="AM241" s="88">
        <v>36000</v>
      </c>
      <c r="AN241" s="88">
        <v>22176</v>
      </c>
      <c r="AO241" s="88">
        <v>20877.88336806852</v>
      </c>
      <c r="AP241" s="88">
        <v>18979.893970971381</v>
      </c>
      <c r="AQ241" s="88">
        <v>0</v>
      </c>
      <c r="AR241" s="88">
        <v>30811.51618664186</v>
      </c>
      <c r="AS241" s="88">
        <v>36000</v>
      </c>
      <c r="AT241" s="88">
        <v>20659.490633667861</v>
      </c>
      <c r="AU241" s="88">
        <v>19531.027245377409</v>
      </c>
      <c r="AV241" s="88">
        <v>32400</v>
      </c>
      <c r="AW241" s="88">
        <v>32040</v>
      </c>
      <c r="AX241" s="88">
        <v>32220</v>
      </c>
      <c r="AY241" s="88">
        <v>36000</v>
      </c>
      <c r="AZ241" s="88">
        <v>36000</v>
      </c>
      <c r="BA241" s="88">
        <v>36000</v>
      </c>
      <c r="BB241" s="88">
        <v>36000</v>
      </c>
      <c r="BC241" s="88">
        <v>36000</v>
      </c>
      <c r="BD241" s="88">
        <v>36000</v>
      </c>
      <c r="BE241" s="88">
        <v>36000</v>
      </c>
      <c r="BF241" s="88">
        <v>36000</v>
      </c>
      <c r="BG241" s="88">
        <v>36000</v>
      </c>
      <c r="BH241" s="88">
        <v>36000</v>
      </c>
      <c r="BI241" s="88">
        <v>36000</v>
      </c>
      <c r="BJ241" s="88">
        <v>36000</v>
      </c>
      <c r="BK241" s="88">
        <v>3778.249690153355</v>
      </c>
      <c r="BL241" s="88">
        <v>3778.1848664907898</v>
      </c>
      <c r="BM241" s="88">
        <v>3778.1200899596511</v>
      </c>
      <c r="BN241" s="88">
        <v>5369.175293798814</v>
      </c>
      <c r="BO241" s="88">
        <v>5369.1057463196621</v>
      </c>
      <c r="BP241" s="88">
        <v>5369.0362510616897</v>
      </c>
      <c r="BQ241" s="88">
        <v>5368.966807966096</v>
      </c>
      <c r="BR241" s="88">
        <v>5368.8962798506846</v>
      </c>
      <c r="BS241" s="88">
        <v>5368.826941756538</v>
      </c>
      <c r="BT241" s="88">
        <v>1607.9615051344961</v>
      </c>
      <c r="BU241" s="88">
        <v>1607.898564969528</v>
      </c>
      <c r="BV241" s="88">
        <v>1607.8356719579931</v>
      </c>
      <c r="BW241" s="88">
        <v>3600.0000000000032</v>
      </c>
      <c r="BX241" s="88">
        <v>3600.0000000000032</v>
      </c>
      <c r="BY241" s="88">
        <v>3600.0000000000032</v>
      </c>
      <c r="BZ241" s="88">
        <v>5184.0000000000045</v>
      </c>
      <c r="CA241" s="88">
        <v>5184.0000000000045</v>
      </c>
      <c r="CB241" s="88">
        <v>5184.0000000000045</v>
      </c>
      <c r="CC241" s="88">
        <v>5184.0000000000045</v>
      </c>
      <c r="CD241" s="88">
        <v>5184.0000000000045</v>
      </c>
      <c r="CE241" s="88">
        <v>5184.0000000000045</v>
      </c>
      <c r="CF241" s="88">
        <v>1440.0000000000009</v>
      </c>
      <c r="CG241" s="88">
        <v>1440.0000000000009</v>
      </c>
      <c r="CH241" s="88">
        <v>1440.0000000000009</v>
      </c>
      <c r="CI241" s="88">
        <v>36000</v>
      </c>
      <c r="CJ241" s="88">
        <v>36000</v>
      </c>
      <c r="CK241" s="88">
        <v>36000</v>
      </c>
      <c r="CL241" s="88">
        <v>36000</v>
      </c>
      <c r="CM241" s="88">
        <v>36000</v>
      </c>
      <c r="CN241" s="88">
        <v>36000</v>
      </c>
      <c r="CO241" s="88">
        <v>36000</v>
      </c>
      <c r="CP241" s="88">
        <v>36000</v>
      </c>
      <c r="CQ241" s="88">
        <v>36000</v>
      </c>
      <c r="CR241" s="88">
        <v>36000</v>
      </c>
      <c r="CS241" s="88">
        <v>36000</v>
      </c>
      <c r="CT241" s="88">
        <v>36000</v>
      </c>
      <c r="CU241" s="88">
        <v>162.04517286668539</v>
      </c>
      <c r="CV241" s="88">
        <v>161.9862422643514</v>
      </c>
      <c r="CW241" s="88">
        <v>161.92735450876759</v>
      </c>
      <c r="CX241" s="88">
        <v>161.866515558402</v>
      </c>
      <c r="CY241" s="88">
        <v>161.80572230739281</v>
      </c>
      <c r="CZ241" s="88">
        <v>161.744974704269</v>
      </c>
      <c r="DA241" s="88">
        <v>161.68427269763171</v>
      </c>
      <c r="DB241" s="88">
        <v>161.62262224709511</v>
      </c>
      <c r="DC241" s="88">
        <v>161.56201202494191</v>
      </c>
      <c r="DD241" s="88">
        <v>161.50144724470289</v>
      </c>
      <c r="DE241" s="88">
        <v>161.4409278553151</v>
      </c>
      <c r="DF241" s="88">
        <v>161.38045380576301</v>
      </c>
      <c r="DG241" s="93">
        <v>46296</v>
      </c>
      <c r="DH241" s="91">
        <v>0.1</v>
      </c>
      <c r="DI241" t="s">
        <v>403</v>
      </c>
      <c r="DJ241" s="93">
        <v>46478</v>
      </c>
      <c r="DK241" s="91">
        <v>0.04</v>
      </c>
      <c r="DL241" t="s">
        <v>302</v>
      </c>
      <c r="DM241" s="93"/>
      <c r="DN241" s="91"/>
      <c r="DP241" s="93"/>
      <c r="DQ241" s="91"/>
    </row>
    <row r="242" spans="1:121" x14ac:dyDescent="0.3">
      <c r="A242" t="s">
        <v>28</v>
      </c>
      <c r="B242" t="s">
        <v>47</v>
      </c>
      <c r="C242" t="s">
        <v>73</v>
      </c>
      <c r="D242" t="s">
        <v>404</v>
      </c>
      <c r="E242" t="s">
        <v>605</v>
      </c>
      <c r="F242" s="86">
        <v>24000</v>
      </c>
      <c r="G242" s="87">
        <v>12</v>
      </c>
      <c r="H242" s="88">
        <v>1.03</v>
      </c>
      <c r="I242" s="88">
        <v>1.0290625</v>
      </c>
      <c r="J242" s="89">
        <v>0.89399161196207155</v>
      </c>
      <c r="K242" s="88">
        <v>1.000911023382933</v>
      </c>
      <c r="L242" s="88">
        <v>1.00672085504778</v>
      </c>
      <c r="M242" s="88">
        <v>1</v>
      </c>
      <c r="N242" s="90">
        <v>0.6</v>
      </c>
      <c r="O242" s="90">
        <v>0.60458280077208915</v>
      </c>
      <c r="P242" s="90">
        <v>0.59516415059279304</v>
      </c>
      <c r="Q242" s="91">
        <v>0</v>
      </c>
      <c r="R242" s="88">
        <v>0.99999999999999978</v>
      </c>
      <c r="S242" s="88">
        <v>0.99194025098798855</v>
      </c>
      <c r="T242" s="91">
        <v>-9.1019417475712849E-4</v>
      </c>
      <c r="U242" s="91">
        <v>9.1102338293347351E-4</v>
      </c>
      <c r="V242" s="87">
        <v>0</v>
      </c>
      <c r="W242" s="91">
        <v>0</v>
      </c>
      <c r="X242" s="87">
        <v>1</v>
      </c>
      <c r="Y242" s="90">
        <v>0.60458280077208915</v>
      </c>
      <c r="Z242" s="90">
        <v>0.59516415059279304</v>
      </c>
      <c r="AA242" s="92">
        <v>0</v>
      </c>
      <c r="AB242" s="88">
        <v>0</v>
      </c>
      <c r="AC242" s="87">
        <v>1</v>
      </c>
      <c r="AD242" s="87">
        <v>0</v>
      </c>
      <c r="AE242" s="88">
        <v>1.0075000000000001</v>
      </c>
      <c r="AF242" s="88">
        <v>1.0180294435905091</v>
      </c>
      <c r="AG242" s="88">
        <v>1.025665580245545</v>
      </c>
      <c r="AH242" s="88">
        <v>24720</v>
      </c>
      <c r="AI242" s="88">
        <v>24697.5</v>
      </c>
      <c r="AJ242" s="88">
        <v>21455.798687089718</v>
      </c>
      <c r="AK242" s="88">
        <v>24021.864561190399</v>
      </c>
      <c r="AL242" s="88">
        <v>24161.300521146721</v>
      </c>
      <c r="AM242" s="88">
        <v>24000</v>
      </c>
      <c r="AN242" s="88">
        <v>14400</v>
      </c>
      <c r="AO242" s="88">
        <v>14509.987218530139</v>
      </c>
      <c r="AP242" s="88">
        <v>14283.939614227031</v>
      </c>
      <c r="AQ242" s="88">
        <v>0</v>
      </c>
      <c r="AR242" s="88">
        <v>24000</v>
      </c>
      <c r="AS242" s="88">
        <v>23806.56602371173</v>
      </c>
      <c r="AT242" s="88">
        <v>14509.987218530139</v>
      </c>
      <c r="AU242" s="88">
        <v>14283.939614227031</v>
      </c>
      <c r="AV242" s="88">
        <v>21600</v>
      </c>
      <c r="AW242" s="88">
        <v>21360</v>
      </c>
      <c r="AX242" s="88">
        <v>21840</v>
      </c>
      <c r="AY242" s="88">
        <v>24000</v>
      </c>
      <c r="AZ242" s="88">
        <v>24000</v>
      </c>
      <c r="BA242" s="88">
        <v>24000</v>
      </c>
      <c r="BB242" s="88">
        <v>24000</v>
      </c>
      <c r="BC242" s="88">
        <v>24000</v>
      </c>
      <c r="BD242" s="88">
        <v>24000</v>
      </c>
      <c r="BE242" s="88">
        <v>24000</v>
      </c>
      <c r="BF242" s="88">
        <v>24000</v>
      </c>
      <c r="BG242" s="88">
        <v>24000</v>
      </c>
      <c r="BH242" s="88">
        <v>24000</v>
      </c>
      <c r="BI242" s="88">
        <v>24000</v>
      </c>
      <c r="BJ242" s="88">
        <v>24000</v>
      </c>
      <c r="BK242" s="88">
        <v>1169.365008217545</v>
      </c>
      <c r="BL242" s="88">
        <v>1168.705771191291</v>
      </c>
      <c r="BM242" s="88">
        <v>1168.048465587447</v>
      </c>
      <c r="BN242" s="88">
        <v>434.34067977291238</v>
      </c>
      <c r="BO242" s="88">
        <v>433.68483588296408</v>
      </c>
      <c r="BP242" s="88">
        <v>433.03096962357131</v>
      </c>
      <c r="BQ242" s="88">
        <v>432.37907206317948</v>
      </c>
      <c r="BR242" s="88">
        <v>431.71849588487811</v>
      </c>
      <c r="BS242" s="88">
        <v>431.07054105258243</v>
      </c>
      <c r="BT242" s="88">
        <v>430.42452830188608</v>
      </c>
      <c r="BU242" s="88">
        <v>429.78044891451009</v>
      </c>
      <c r="BV242" s="88">
        <v>429.1382942242663</v>
      </c>
      <c r="BW242" s="88">
        <v>720.00000000000068</v>
      </c>
      <c r="BX242" s="88">
        <v>720.00000000000068</v>
      </c>
      <c r="BY242" s="88">
        <v>720.00000000000068</v>
      </c>
      <c r="BZ242" s="88">
        <v>0</v>
      </c>
      <c r="CA242" s="88">
        <v>0</v>
      </c>
      <c r="CB242" s="88">
        <v>0</v>
      </c>
      <c r="CC242" s="88">
        <v>0</v>
      </c>
      <c r="CD242" s="88">
        <v>0</v>
      </c>
      <c r="CE242" s="88">
        <v>0</v>
      </c>
      <c r="CF242" s="88">
        <v>0</v>
      </c>
      <c r="CG242" s="88">
        <v>0</v>
      </c>
      <c r="CH242" s="88">
        <v>0</v>
      </c>
      <c r="CI242" s="88">
        <v>24000</v>
      </c>
      <c r="CJ242" s="88">
        <v>24000</v>
      </c>
      <c r="CK242" s="88">
        <v>24000</v>
      </c>
      <c r="CL242" s="88">
        <v>24000</v>
      </c>
      <c r="CM242" s="88">
        <v>24000</v>
      </c>
      <c r="CN242" s="88">
        <v>24000</v>
      </c>
      <c r="CO242" s="88">
        <v>24000</v>
      </c>
      <c r="CP242" s="88">
        <v>24000</v>
      </c>
      <c r="CQ242" s="88">
        <v>24000</v>
      </c>
      <c r="CR242" s="88">
        <v>24000</v>
      </c>
      <c r="CS242" s="88">
        <v>24000</v>
      </c>
      <c r="CT242" s="88">
        <v>24000</v>
      </c>
      <c r="CU242" s="88">
        <v>436.27670700732318</v>
      </c>
      <c r="CV242" s="88">
        <v>435.63667105950373</v>
      </c>
      <c r="CW242" s="88">
        <v>434.99851027907607</v>
      </c>
      <c r="CX242" s="88">
        <v>434.34067977291238</v>
      </c>
      <c r="CY242" s="88">
        <v>433.68483588296408</v>
      </c>
      <c r="CZ242" s="88">
        <v>433.03096962357131</v>
      </c>
      <c r="DA242" s="88">
        <v>432.37907206317948</v>
      </c>
      <c r="DB242" s="88">
        <v>431.71849588487811</v>
      </c>
      <c r="DC242" s="88">
        <v>431.07054105258243</v>
      </c>
      <c r="DD242" s="88">
        <v>430.42452830188608</v>
      </c>
      <c r="DE242" s="88">
        <v>429.78044891451009</v>
      </c>
      <c r="DF242" s="88">
        <v>429.1382942242663</v>
      </c>
      <c r="DG242" s="93">
        <v>46113</v>
      </c>
      <c r="DH242" s="91">
        <v>0.03</v>
      </c>
      <c r="DI242" t="s">
        <v>301</v>
      </c>
      <c r="DJ242" s="93"/>
      <c r="DK242" s="91"/>
      <c r="DM242" s="93"/>
      <c r="DN242" s="91"/>
      <c r="DP242" s="93"/>
      <c r="DQ242" s="91"/>
    </row>
    <row r="243" spans="1:121" x14ac:dyDescent="0.3">
      <c r="A243" t="s">
        <v>28</v>
      </c>
      <c r="B243" t="s">
        <v>47</v>
      </c>
      <c r="C243" t="s">
        <v>78</v>
      </c>
      <c r="D243" t="s">
        <v>406</v>
      </c>
      <c r="E243" t="s">
        <v>606</v>
      </c>
      <c r="F243" s="86">
        <v>63000</v>
      </c>
      <c r="G243" s="87">
        <v>12</v>
      </c>
      <c r="H243" s="88">
        <v>1.04</v>
      </c>
      <c r="I243" s="88">
        <v>1.0377777777777779</v>
      </c>
      <c r="J243" s="89">
        <v>0.89000000000000024</v>
      </c>
      <c r="K243" s="88">
        <v>1.0021413276231259</v>
      </c>
      <c r="L243" s="88">
        <v>1.01123595505618</v>
      </c>
      <c r="M243" s="88">
        <v>1</v>
      </c>
      <c r="N243" s="90">
        <v>0.58399999999999996</v>
      </c>
      <c r="O243" s="90">
        <v>0.59182638404350008</v>
      </c>
      <c r="P243" s="90">
        <v>0.5905617977528087</v>
      </c>
      <c r="Q243" s="91">
        <v>0</v>
      </c>
      <c r="R243" s="88">
        <v>0.99999999999999978</v>
      </c>
      <c r="S243" s="88">
        <v>1.01123595505618</v>
      </c>
      <c r="T243" s="91">
        <v>-2.1367521367520181E-3</v>
      </c>
      <c r="U243" s="91">
        <v>2.1413276231263541E-3</v>
      </c>
      <c r="V243" s="87">
        <v>0</v>
      </c>
      <c r="W243" s="91">
        <v>0</v>
      </c>
      <c r="X243" s="87">
        <v>1</v>
      </c>
      <c r="Y243" s="90">
        <v>0.59182638404350008</v>
      </c>
      <c r="Z243" s="90">
        <v>0.5905617977528087</v>
      </c>
      <c r="AA243" s="92">
        <v>0</v>
      </c>
      <c r="AB243" s="88">
        <v>0</v>
      </c>
      <c r="AC243" s="87">
        <v>1</v>
      </c>
      <c r="AD243" s="87">
        <v>0</v>
      </c>
      <c r="AE243" s="88">
        <v>1.013333333333333</v>
      </c>
      <c r="AF243" s="88">
        <v>1</v>
      </c>
      <c r="AG243" s="88">
        <v>1.013333333333333</v>
      </c>
      <c r="AH243" s="88">
        <v>65520</v>
      </c>
      <c r="AI243" s="88">
        <v>65380.000000000007</v>
      </c>
      <c r="AJ243" s="88">
        <v>56070.000000000007</v>
      </c>
      <c r="AK243" s="88">
        <v>63134.903640256962</v>
      </c>
      <c r="AL243" s="88">
        <v>63707.865168539312</v>
      </c>
      <c r="AM243" s="88">
        <v>63000</v>
      </c>
      <c r="AN243" s="88">
        <v>36792</v>
      </c>
      <c r="AO243" s="88">
        <v>37285.062194740502</v>
      </c>
      <c r="AP243" s="88">
        <v>37205.39325842695</v>
      </c>
      <c r="AQ243" s="88">
        <v>0</v>
      </c>
      <c r="AR243" s="88">
        <v>62999.999999999993</v>
      </c>
      <c r="AS243" s="88">
        <v>63707.865168539312</v>
      </c>
      <c r="AT243" s="88">
        <v>37285.062194740502</v>
      </c>
      <c r="AU243" s="88">
        <v>37205.39325842695</v>
      </c>
      <c r="AV243" s="88">
        <v>56700</v>
      </c>
      <c r="AW243" s="88">
        <v>56070</v>
      </c>
      <c r="AX243" s="88">
        <v>56070</v>
      </c>
      <c r="AY243" s="88">
        <v>63000</v>
      </c>
      <c r="AZ243" s="88">
        <v>63000</v>
      </c>
      <c r="BA243" s="88">
        <v>63000</v>
      </c>
      <c r="BB243" s="88">
        <v>63000</v>
      </c>
      <c r="BC243" s="88">
        <v>63000</v>
      </c>
      <c r="BD243" s="88">
        <v>63000</v>
      </c>
      <c r="BE243" s="88">
        <v>63000</v>
      </c>
      <c r="BF243" s="88">
        <v>63000</v>
      </c>
      <c r="BG243" s="88">
        <v>63000</v>
      </c>
      <c r="BH243" s="88">
        <v>63000</v>
      </c>
      <c r="BI243" s="88">
        <v>63000</v>
      </c>
      <c r="BJ243" s="88">
        <v>63000</v>
      </c>
      <c r="BK243" s="88">
        <v>2520.0000000000018</v>
      </c>
      <c r="BL243" s="88">
        <v>2520.0000000000018</v>
      </c>
      <c r="BM243" s="88">
        <v>2520.0000000000018</v>
      </c>
      <c r="BN243" s="88">
        <v>2520.0000000000018</v>
      </c>
      <c r="BO243" s="88">
        <v>0</v>
      </c>
      <c r="BP243" s="88">
        <v>0</v>
      </c>
      <c r="BQ243" s="88">
        <v>0</v>
      </c>
      <c r="BR243" s="88">
        <v>0</v>
      </c>
      <c r="BS243" s="88">
        <v>0</v>
      </c>
      <c r="BT243" s="88">
        <v>0</v>
      </c>
      <c r="BU243" s="88">
        <v>0</v>
      </c>
      <c r="BV243" s="88">
        <v>0</v>
      </c>
      <c r="BW243" s="88">
        <v>2520.0000000000018</v>
      </c>
      <c r="BX243" s="88">
        <v>2520.0000000000018</v>
      </c>
      <c r="BY243" s="88">
        <v>2520.0000000000018</v>
      </c>
      <c r="BZ243" s="88">
        <v>2520.0000000000018</v>
      </c>
      <c r="CA243" s="88">
        <v>0</v>
      </c>
      <c r="CB243" s="88">
        <v>0</v>
      </c>
      <c r="CC243" s="88">
        <v>0</v>
      </c>
      <c r="CD243" s="88">
        <v>0</v>
      </c>
      <c r="CE243" s="88">
        <v>0</v>
      </c>
      <c r="CF243" s="88">
        <v>0</v>
      </c>
      <c r="CG243" s="88">
        <v>0</v>
      </c>
      <c r="CH243" s="88">
        <v>0</v>
      </c>
      <c r="CI243" s="88">
        <v>63000</v>
      </c>
      <c r="CJ243" s="88">
        <v>63000</v>
      </c>
      <c r="CK243" s="88">
        <v>63000</v>
      </c>
      <c r="CL243" s="88">
        <v>63000</v>
      </c>
      <c r="CM243" s="88">
        <v>63000</v>
      </c>
      <c r="CN243" s="88">
        <v>63000</v>
      </c>
      <c r="CO243" s="88">
        <v>63000</v>
      </c>
      <c r="CP243" s="88">
        <v>63000</v>
      </c>
      <c r="CQ243" s="88">
        <v>63000</v>
      </c>
      <c r="CR243" s="88">
        <v>63000</v>
      </c>
      <c r="CS243" s="88">
        <v>63000</v>
      </c>
      <c r="CT243" s="88">
        <v>63000</v>
      </c>
      <c r="CU243" s="88">
        <v>0</v>
      </c>
      <c r="CV243" s="88">
        <v>0</v>
      </c>
      <c r="CW243" s="88">
        <v>0</v>
      </c>
      <c r="CX243" s="88">
        <v>0</v>
      </c>
      <c r="CY243" s="88">
        <v>0</v>
      </c>
      <c r="CZ243" s="88">
        <v>0</v>
      </c>
      <c r="DA243" s="88">
        <v>0</v>
      </c>
      <c r="DB243" s="88">
        <v>0</v>
      </c>
      <c r="DC243" s="88">
        <v>0</v>
      </c>
      <c r="DD243" s="88">
        <v>0</v>
      </c>
      <c r="DE243" s="88">
        <v>0</v>
      </c>
      <c r="DF243" s="88">
        <v>0</v>
      </c>
      <c r="DG243" s="93">
        <v>46143</v>
      </c>
      <c r="DH243" s="91">
        <v>0.04</v>
      </c>
      <c r="DI243" t="s">
        <v>301</v>
      </c>
      <c r="DJ243" s="93"/>
      <c r="DK243" s="91"/>
      <c r="DM243" s="93"/>
      <c r="DN243" s="91"/>
      <c r="DP243" s="93"/>
      <c r="DQ243" s="91"/>
    </row>
    <row r="244" spans="1:121" x14ac:dyDescent="0.3">
      <c r="A244" t="s">
        <v>28</v>
      </c>
      <c r="B244" t="s">
        <v>47</v>
      </c>
      <c r="C244" t="s">
        <v>80</v>
      </c>
      <c r="D244" t="s">
        <v>408</v>
      </c>
      <c r="E244" t="s">
        <v>607</v>
      </c>
      <c r="F244" s="86">
        <v>51000</v>
      </c>
      <c r="G244" s="87">
        <v>12</v>
      </c>
      <c r="H244" s="88">
        <v>1</v>
      </c>
      <c r="I244" s="88">
        <v>1.01125</v>
      </c>
      <c r="J244" s="89">
        <v>0.89299370897155361</v>
      </c>
      <c r="K244" s="88">
        <v>0.9888751545117429</v>
      </c>
      <c r="L244" s="88">
        <v>1.0078458458979691</v>
      </c>
      <c r="M244" s="88">
        <v>1</v>
      </c>
      <c r="N244" s="90">
        <v>0.61199999999999999</v>
      </c>
      <c r="O244" s="90">
        <v>0.60993983455085976</v>
      </c>
      <c r="P244" s="90">
        <v>0.58722235795821309</v>
      </c>
      <c r="Q244" s="91">
        <v>0</v>
      </c>
      <c r="R244" s="88">
        <v>0.96269554753309261</v>
      </c>
      <c r="S244" s="88">
        <v>0.99669481099525148</v>
      </c>
      <c r="T244" s="91">
        <v>1.1249999999999981E-2</v>
      </c>
      <c r="U244" s="91">
        <v>2.7194066749073102E-2</v>
      </c>
      <c r="V244" s="87">
        <v>0</v>
      </c>
      <c r="W244" s="91">
        <v>0</v>
      </c>
      <c r="X244" s="87">
        <v>1</v>
      </c>
      <c r="Y244" s="90">
        <v>0.60993983455085976</v>
      </c>
      <c r="Z244" s="90">
        <v>0.58722235795821309</v>
      </c>
      <c r="AA244" s="92">
        <v>0</v>
      </c>
      <c r="AB244" s="88">
        <v>0</v>
      </c>
      <c r="AC244" s="87">
        <v>0</v>
      </c>
      <c r="AD244" s="87">
        <v>1</v>
      </c>
      <c r="AE244" s="88">
        <v>1.03</v>
      </c>
      <c r="AF244" s="88">
        <v>1.0135066962933139</v>
      </c>
      <c r="AG244" s="88">
        <v>1.043911212381049</v>
      </c>
      <c r="AH244" s="88">
        <v>51000</v>
      </c>
      <c r="AI244" s="88">
        <v>51573.75</v>
      </c>
      <c r="AJ244" s="88">
        <v>45542.679157549232</v>
      </c>
      <c r="AK244" s="88">
        <v>50432.632880098878</v>
      </c>
      <c r="AL244" s="88">
        <v>51400.138140796407</v>
      </c>
      <c r="AM244" s="88">
        <v>51000</v>
      </c>
      <c r="AN244" s="88">
        <v>31212</v>
      </c>
      <c r="AO244" s="88">
        <v>31106.931562093851</v>
      </c>
      <c r="AP244" s="88">
        <v>29948.340255868869</v>
      </c>
      <c r="AQ244" s="88">
        <v>0</v>
      </c>
      <c r="AR244" s="88">
        <v>49097.472924187721</v>
      </c>
      <c r="AS244" s="88">
        <v>50831.435360757823</v>
      </c>
      <c r="AT244" s="88">
        <v>31106.931562093851</v>
      </c>
      <c r="AU244" s="88">
        <v>29948.340255868869</v>
      </c>
      <c r="AV244" s="88">
        <v>45900</v>
      </c>
      <c r="AW244" s="88">
        <v>45390</v>
      </c>
      <c r="AX244" s="88">
        <v>46155</v>
      </c>
      <c r="AY244" s="88">
        <v>51000</v>
      </c>
      <c r="AZ244" s="88">
        <v>51000</v>
      </c>
      <c r="BA244" s="88">
        <v>51000</v>
      </c>
      <c r="BB244" s="88">
        <v>51000</v>
      </c>
      <c r="BC244" s="88">
        <v>51000</v>
      </c>
      <c r="BD244" s="88">
        <v>51000</v>
      </c>
      <c r="BE244" s="88">
        <v>51000</v>
      </c>
      <c r="BF244" s="88">
        <v>51000</v>
      </c>
      <c r="BG244" s="88">
        <v>51000</v>
      </c>
      <c r="BH244" s="88">
        <v>51000</v>
      </c>
      <c r="BI244" s="88">
        <v>51000</v>
      </c>
      <c r="BJ244" s="88">
        <v>51000</v>
      </c>
      <c r="BK244" s="88">
        <v>693.09388322463008</v>
      </c>
      <c r="BL244" s="88">
        <v>692.33344077757147</v>
      </c>
      <c r="BM244" s="88">
        <v>691.57466517235002</v>
      </c>
      <c r="BN244" s="88">
        <v>2758.423591697388</v>
      </c>
      <c r="BO244" s="88">
        <v>2757.6113722994801</v>
      </c>
      <c r="BP244" s="88">
        <v>2756.800987349573</v>
      </c>
      <c r="BQ244" s="88">
        <v>2755.992430639893</v>
      </c>
      <c r="BR244" s="88">
        <v>2755.1724859776291</v>
      </c>
      <c r="BS244" s="88">
        <v>2754.3675969545302</v>
      </c>
      <c r="BT244" s="88">
        <v>2753.5645176152598</v>
      </c>
      <c r="BU244" s="88">
        <v>2752.7632418634289</v>
      </c>
      <c r="BV244" s="88">
        <v>2751.9637636300058</v>
      </c>
      <c r="BW244" s="88">
        <v>0</v>
      </c>
      <c r="BX244" s="88">
        <v>0</v>
      </c>
      <c r="BY244" s="88">
        <v>0</v>
      </c>
      <c r="BZ244" s="88">
        <v>2040.000000000002</v>
      </c>
      <c r="CA244" s="88">
        <v>2040.000000000002</v>
      </c>
      <c r="CB244" s="88">
        <v>2040.000000000002</v>
      </c>
      <c r="CC244" s="88">
        <v>2040.000000000002</v>
      </c>
      <c r="CD244" s="88">
        <v>2040.000000000002</v>
      </c>
      <c r="CE244" s="88">
        <v>2040.000000000002</v>
      </c>
      <c r="CF244" s="88">
        <v>2040.000000000002</v>
      </c>
      <c r="CG244" s="88">
        <v>2040.000000000002</v>
      </c>
      <c r="CH244" s="88">
        <v>2040.000000000002</v>
      </c>
      <c r="CI244" s="88">
        <v>51000</v>
      </c>
      <c r="CJ244" s="88">
        <v>51000</v>
      </c>
      <c r="CK244" s="88">
        <v>51000</v>
      </c>
      <c r="CL244" s="88">
        <v>51000</v>
      </c>
      <c r="CM244" s="88">
        <v>51000</v>
      </c>
      <c r="CN244" s="88">
        <v>51000</v>
      </c>
      <c r="CO244" s="88">
        <v>51000</v>
      </c>
      <c r="CP244" s="88">
        <v>51000</v>
      </c>
      <c r="CQ244" s="88">
        <v>51000</v>
      </c>
      <c r="CR244" s="88">
        <v>51000</v>
      </c>
      <c r="CS244" s="88">
        <v>51000</v>
      </c>
      <c r="CT244" s="88">
        <v>51000</v>
      </c>
      <c r="CU244" s="88">
        <v>693.09388322463008</v>
      </c>
      <c r="CV244" s="88">
        <v>692.33344077757147</v>
      </c>
      <c r="CW244" s="88">
        <v>691.57466517235002</v>
      </c>
      <c r="CX244" s="88">
        <v>690.79191509364216</v>
      </c>
      <c r="CY244" s="88">
        <v>690.01093490334677</v>
      </c>
      <c r="CZ244" s="88">
        <v>689.23171860536229</v>
      </c>
      <c r="DA244" s="88">
        <v>688.45426023066341</v>
      </c>
      <c r="DB244" s="88">
        <v>687.66585190156457</v>
      </c>
      <c r="DC244" s="88">
        <v>686.89192014858634</v>
      </c>
      <c r="DD244" s="88">
        <v>686.11972847620768</v>
      </c>
      <c r="DE244" s="88">
        <v>685.34927102253107</v>
      </c>
      <c r="DF244" s="88">
        <v>684.58054195193108</v>
      </c>
      <c r="DG244" s="93">
        <v>46478</v>
      </c>
      <c r="DH244" s="91">
        <v>0.04</v>
      </c>
      <c r="DI244" t="s">
        <v>302</v>
      </c>
      <c r="DJ244" s="93"/>
      <c r="DK244" s="91"/>
      <c r="DM244" s="93"/>
      <c r="DN244" s="91"/>
      <c r="DP244" s="93"/>
      <c r="DQ244" s="91"/>
    </row>
    <row r="245" spans="1:121" x14ac:dyDescent="0.3">
      <c r="A245" t="s">
        <v>28</v>
      </c>
      <c r="B245" t="s">
        <v>47</v>
      </c>
      <c r="C245" t="s">
        <v>82</v>
      </c>
      <c r="D245" t="s">
        <v>410</v>
      </c>
      <c r="E245" t="s">
        <v>608</v>
      </c>
      <c r="F245" s="86">
        <v>39000</v>
      </c>
      <c r="G245" s="87">
        <v>12</v>
      </c>
      <c r="H245" s="88">
        <v>1.06</v>
      </c>
      <c r="I245" s="88">
        <v>1.0525</v>
      </c>
      <c r="J245" s="89">
        <v>0.88900209700948218</v>
      </c>
      <c r="K245" s="88">
        <v>1.0071258907363421</v>
      </c>
      <c r="L245" s="88">
        <v>1.0123710652961491</v>
      </c>
      <c r="M245" s="88">
        <v>1</v>
      </c>
      <c r="N245" s="90">
        <v>0.59599999999999997</v>
      </c>
      <c r="O245" s="90">
        <v>0.60767272609168166</v>
      </c>
      <c r="P245" s="90">
        <v>0.60564193958522228</v>
      </c>
      <c r="Q245" s="91">
        <v>0</v>
      </c>
      <c r="R245" s="88">
        <v>0.99999999999999978</v>
      </c>
      <c r="S245" s="88">
        <v>1.016177750981917</v>
      </c>
      <c r="T245" s="91">
        <v>-7.0754716981130672E-3</v>
      </c>
      <c r="U245" s="91">
        <v>7.1258907363420656E-3</v>
      </c>
      <c r="V245" s="87">
        <v>0</v>
      </c>
      <c r="W245" s="91">
        <v>0</v>
      </c>
      <c r="X245" s="87">
        <v>1</v>
      </c>
      <c r="Y245" s="90">
        <v>0.60767272609168166</v>
      </c>
      <c r="Z245" s="90">
        <v>0.60564193958522228</v>
      </c>
      <c r="AA245" s="92">
        <v>0</v>
      </c>
      <c r="AB245" s="88">
        <v>0</v>
      </c>
      <c r="AC245" s="87">
        <v>1</v>
      </c>
      <c r="AD245" s="87">
        <v>0</v>
      </c>
      <c r="AE245" s="88">
        <v>1.03</v>
      </c>
      <c r="AF245" s="88">
        <v>0.99551801636857096</v>
      </c>
      <c r="AG245" s="88">
        <v>1.025383707865597</v>
      </c>
      <c r="AH245" s="88">
        <v>41340</v>
      </c>
      <c r="AI245" s="88">
        <v>41047.500000000007</v>
      </c>
      <c r="AJ245" s="88">
        <v>34671.081783369802</v>
      </c>
      <c r="AK245" s="88">
        <v>39277.909738717331</v>
      </c>
      <c r="AL245" s="88">
        <v>39482.471546549823</v>
      </c>
      <c r="AM245" s="88">
        <v>39000</v>
      </c>
      <c r="AN245" s="88">
        <v>23244</v>
      </c>
      <c r="AO245" s="88">
        <v>23699.236317575589</v>
      </c>
      <c r="AP245" s="88">
        <v>23620.03564382367</v>
      </c>
      <c r="AQ245" s="88">
        <v>0</v>
      </c>
      <c r="AR245" s="88">
        <v>38999.999999999993</v>
      </c>
      <c r="AS245" s="88">
        <v>39630.932288294753</v>
      </c>
      <c r="AT245" s="88">
        <v>23699.236317575589</v>
      </c>
      <c r="AU245" s="88">
        <v>23620.03564382367</v>
      </c>
      <c r="AV245" s="88">
        <v>35100</v>
      </c>
      <c r="AW245" s="88">
        <v>34710</v>
      </c>
      <c r="AX245" s="88">
        <v>34515</v>
      </c>
      <c r="AY245" s="88">
        <v>39000</v>
      </c>
      <c r="AZ245" s="88">
        <v>39000</v>
      </c>
      <c r="BA245" s="88">
        <v>39000</v>
      </c>
      <c r="BB245" s="88">
        <v>39000</v>
      </c>
      <c r="BC245" s="88">
        <v>39000</v>
      </c>
      <c r="BD245" s="88">
        <v>39000</v>
      </c>
      <c r="BE245" s="88">
        <v>39000</v>
      </c>
      <c r="BF245" s="88">
        <v>39000</v>
      </c>
      <c r="BG245" s="88">
        <v>39000</v>
      </c>
      <c r="BH245" s="88">
        <v>39000</v>
      </c>
      <c r="BI245" s="88">
        <v>39000</v>
      </c>
      <c r="BJ245" s="88">
        <v>39000</v>
      </c>
      <c r="BK245" s="88">
        <v>2155.0924899054598</v>
      </c>
      <c r="BL245" s="88">
        <v>2155.0256209086242</v>
      </c>
      <c r="BM245" s="88">
        <v>2154.9587035299778</v>
      </c>
      <c r="BN245" s="88">
        <v>2154.889466840054</v>
      </c>
      <c r="BO245" s="88">
        <v>2154.820178318314</v>
      </c>
      <c r="BP245" s="88">
        <v>2154.7508379065321</v>
      </c>
      <c r="BQ245" s="88">
        <v>-174.82882495624759</v>
      </c>
      <c r="BR245" s="88">
        <v>-174.8954129116662</v>
      </c>
      <c r="BS245" s="88">
        <v>-174.9609763891836</v>
      </c>
      <c r="BT245" s="88">
        <v>-175.02658904101071</v>
      </c>
      <c r="BU245" s="88">
        <v>-175.09225092250901</v>
      </c>
      <c r="BV245" s="88">
        <v>-175.15796208909671</v>
      </c>
      <c r="BW245" s="88">
        <v>2340.0000000000018</v>
      </c>
      <c r="BX245" s="88">
        <v>2340.0000000000018</v>
      </c>
      <c r="BY245" s="88">
        <v>2340.0000000000018</v>
      </c>
      <c r="BZ245" s="88">
        <v>2340.0000000000018</v>
      </c>
      <c r="CA245" s="88">
        <v>2340.0000000000018</v>
      </c>
      <c r="CB245" s="88">
        <v>2340.0000000000018</v>
      </c>
      <c r="CC245" s="88">
        <v>0</v>
      </c>
      <c r="CD245" s="88">
        <v>0</v>
      </c>
      <c r="CE245" s="88">
        <v>0</v>
      </c>
      <c r="CF245" s="88">
        <v>0</v>
      </c>
      <c r="CG245" s="88">
        <v>0</v>
      </c>
      <c r="CH245" s="88">
        <v>0</v>
      </c>
      <c r="CI245" s="88">
        <v>39000</v>
      </c>
      <c r="CJ245" s="88">
        <v>39000</v>
      </c>
      <c r="CK245" s="88">
        <v>39000</v>
      </c>
      <c r="CL245" s="88">
        <v>39000</v>
      </c>
      <c r="CM245" s="88">
        <v>39000</v>
      </c>
      <c r="CN245" s="88">
        <v>39000</v>
      </c>
      <c r="CO245" s="88">
        <v>39000</v>
      </c>
      <c r="CP245" s="88">
        <v>39000</v>
      </c>
      <c r="CQ245" s="88">
        <v>39000</v>
      </c>
      <c r="CR245" s="88">
        <v>39000</v>
      </c>
      <c r="CS245" s="88">
        <v>39000</v>
      </c>
      <c r="CT245" s="88">
        <v>39000</v>
      </c>
      <c r="CU245" s="88">
        <v>-174.44104725899959</v>
      </c>
      <c r="CV245" s="88">
        <v>-174.50413121828021</v>
      </c>
      <c r="CW245" s="88">
        <v>-174.56726082077941</v>
      </c>
      <c r="CX245" s="88">
        <v>-174.63257845277991</v>
      </c>
      <c r="CY245" s="88">
        <v>-174.69794498272739</v>
      </c>
      <c r="CZ245" s="88">
        <v>-174.76336046554201</v>
      </c>
      <c r="DA245" s="88">
        <v>-174.82882495624759</v>
      </c>
      <c r="DB245" s="88">
        <v>-174.8954129116662</v>
      </c>
      <c r="DC245" s="88">
        <v>-174.9609763891836</v>
      </c>
      <c r="DD245" s="88">
        <v>-175.02658904101071</v>
      </c>
      <c r="DE245" s="88">
        <v>-175.09225092250901</v>
      </c>
      <c r="DF245" s="88">
        <v>-175.15796208909671</v>
      </c>
      <c r="DG245" s="93">
        <v>46204</v>
      </c>
      <c r="DH245" s="91">
        <v>0.06</v>
      </c>
      <c r="DI245" t="s">
        <v>301</v>
      </c>
      <c r="DJ245" s="93"/>
      <c r="DK245" s="91"/>
      <c r="DM245" s="93"/>
      <c r="DN245" s="91"/>
      <c r="DP245" s="93"/>
      <c r="DQ245" s="91"/>
    </row>
    <row r="246" spans="1:121" x14ac:dyDescent="0.3">
      <c r="A246" t="s">
        <v>28</v>
      </c>
      <c r="B246" t="s">
        <v>47</v>
      </c>
      <c r="C246" t="s">
        <v>85</v>
      </c>
      <c r="D246" t="s">
        <v>412</v>
      </c>
      <c r="E246" t="s">
        <v>609</v>
      </c>
      <c r="F246" s="86">
        <v>27000</v>
      </c>
      <c r="G246" s="87">
        <v>12</v>
      </c>
      <c r="H246" s="88">
        <v>1.02</v>
      </c>
      <c r="I246" s="88">
        <v>1.0165972222222219</v>
      </c>
      <c r="J246" s="89">
        <v>0.89199580598103567</v>
      </c>
      <c r="K246" s="88">
        <v>1.0033472231709819</v>
      </c>
      <c r="L246" s="88">
        <v>1.0089733538715031</v>
      </c>
      <c r="M246" s="88">
        <v>1</v>
      </c>
      <c r="N246" s="90">
        <v>0.57999999999999996</v>
      </c>
      <c r="O246" s="90">
        <v>0.58716335545908105</v>
      </c>
      <c r="P246" s="90">
        <v>0.58086719834545109</v>
      </c>
      <c r="Q246" s="91">
        <v>0</v>
      </c>
      <c r="R246" s="88">
        <v>1</v>
      </c>
      <c r="S246" s="88">
        <v>1.0014951695611229</v>
      </c>
      <c r="T246" s="91">
        <v>-3.336056644880236E-3</v>
      </c>
      <c r="U246" s="91">
        <v>3.3472231709814611E-3</v>
      </c>
      <c r="V246" s="87">
        <v>0</v>
      </c>
      <c r="W246" s="91">
        <v>0</v>
      </c>
      <c r="X246" s="87">
        <v>1</v>
      </c>
      <c r="Y246" s="90">
        <v>0.58716335545908105</v>
      </c>
      <c r="Z246" s="90">
        <v>0.58086719834545109</v>
      </c>
      <c r="AA246" s="92">
        <v>0</v>
      </c>
      <c r="AB246" s="88">
        <v>0</v>
      </c>
      <c r="AC246" s="87">
        <v>1</v>
      </c>
      <c r="AD246" s="87">
        <v>0</v>
      </c>
      <c r="AE246" s="88">
        <v>1.011666666666666</v>
      </c>
      <c r="AF246" s="88">
        <v>1.0089942603284909</v>
      </c>
      <c r="AG246" s="88">
        <v>1.020766057170579</v>
      </c>
      <c r="AH246" s="88">
        <v>27540</v>
      </c>
      <c r="AI246" s="88">
        <v>27448.125</v>
      </c>
      <c r="AJ246" s="88">
        <v>24083.88676148796</v>
      </c>
      <c r="AK246" s="88">
        <v>27090.3750256165</v>
      </c>
      <c r="AL246" s="88">
        <v>27242.280554530578</v>
      </c>
      <c r="AM246" s="88">
        <v>27000</v>
      </c>
      <c r="AN246" s="88">
        <v>15660</v>
      </c>
      <c r="AO246" s="88">
        <v>15853.41059739519</v>
      </c>
      <c r="AP246" s="88">
        <v>15683.414355327181</v>
      </c>
      <c r="AQ246" s="88">
        <v>0</v>
      </c>
      <c r="AR246" s="88">
        <v>27000.000000000011</v>
      </c>
      <c r="AS246" s="88">
        <v>27040.369578150308</v>
      </c>
      <c r="AT246" s="88">
        <v>15853.41059739519</v>
      </c>
      <c r="AU246" s="88">
        <v>15683.414355327181</v>
      </c>
      <c r="AV246" s="88">
        <v>24300</v>
      </c>
      <c r="AW246" s="88">
        <v>24030</v>
      </c>
      <c r="AX246" s="88">
        <v>24300</v>
      </c>
      <c r="AY246" s="88">
        <v>27000</v>
      </c>
      <c r="AZ246" s="88">
        <v>27000</v>
      </c>
      <c r="BA246" s="88">
        <v>27000</v>
      </c>
      <c r="BB246" s="88">
        <v>27000</v>
      </c>
      <c r="BC246" s="88">
        <v>27000</v>
      </c>
      <c r="BD246" s="88">
        <v>27000</v>
      </c>
      <c r="BE246" s="88">
        <v>27000</v>
      </c>
      <c r="BF246" s="88">
        <v>27000</v>
      </c>
      <c r="BG246" s="88">
        <v>27000</v>
      </c>
      <c r="BH246" s="88">
        <v>27000</v>
      </c>
      <c r="BI246" s="88">
        <v>27000</v>
      </c>
      <c r="BJ246" s="88">
        <v>27000</v>
      </c>
      <c r="BK246" s="88">
        <v>788.71893209288442</v>
      </c>
      <c r="BL246" s="88">
        <v>788.53752008901347</v>
      </c>
      <c r="BM246" s="88">
        <v>788.35637253085383</v>
      </c>
      <c r="BN246" s="88">
        <v>788.16936180718494</v>
      </c>
      <c r="BO246" s="88">
        <v>787.98263250730452</v>
      </c>
      <c r="BP246" s="88">
        <v>787.79618399645199</v>
      </c>
      <c r="BQ246" s="88">
        <v>787.61001564173785</v>
      </c>
      <c r="BR246" s="88">
        <v>242.56968801920121</v>
      </c>
      <c r="BS246" s="88">
        <v>242.38772197353379</v>
      </c>
      <c r="BT246" s="88">
        <v>242.20602873047881</v>
      </c>
      <c r="BU246" s="88">
        <v>242.02460767700271</v>
      </c>
      <c r="BV246" s="88">
        <v>241.84345820194241</v>
      </c>
      <c r="BW246" s="88">
        <v>540.00000000000045</v>
      </c>
      <c r="BX246" s="88">
        <v>540.00000000000045</v>
      </c>
      <c r="BY246" s="88">
        <v>540.00000000000045</v>
      </c>
      <c r="BZ246" s="88">
        <v>540.00000000000045</v>
      </c>
      <c r="CA246" s="88">
        <v>540.00000000000045</v>
      </c>
      <c r="CB246" s="88">
        <v>540.00000000000045</v>
      </c>
      <c r="CC246" s="88">
        <v>540.00000000000045</v>
      </c>
      <c r="CD246" s="88">
        <v>0</v>
      </c>
      <c r="CE246" s="88">
        <v>0</v>
      </c>
      <c r="CF246" s="88">
        <v>0</v>
      </c>
      <c r="CG246" s="88">
        <v>0</v>
      </c>
      <c r="CH246" s="88">
        <v>0</v>
      </c>
      <c r="CI246" s="88">
        <v>27000</v>
      </c>
      <c r="CJ246" s="88">
        <v>27000</v>
      </c>
      <c r="CK246" s="88">
        <v>27000</v>
      </c>
      <c r="CL246" s="88">
        <v>27000</v>
      </c>
      <c r="CM246" s="88">
        <v>27000</v>
      </c>
      <c r="CN246" s="88">
        <v>27000</v>
      </c>
      <c r="CO246" s="88">
        <v>27000</v>
      </c>
      <c r="CP246" s="88">
        <v>27000</v>
      </c>
      <c r="CQ246" s="88">
        <v>27000</v>
      </c>
      <c r="CR246" s="88">
        <v>27000</v>
      </c>
      <c r="CS246" s="88">
        <v>27000</v>
      </c>
      <c r="CT246" s="88">
        <v>27000</v>
      </c>
      <c r="CU246" s="88">
        <v>243.8420902871421</v>
      </c>
      <c r="CV246" s="88">
        <v>243.66423538138321</v>
      </c>
      <c r="CW246" s="88">
        <v>243.48663973613131</v>
      </c>
      <c r="CX246" s="88">
        <v>243.30329588939659</v>
      </c>
      <c r="CY246" s="88">
        <v>243.1202279483382</v>
      </c>
      <c r="CZ246" s="88">
        <v>242.9374352906359</v>
      </c>
      <c r="DA246" s="88">
        <v>242.75491729582211</v>
      </c>
      <c r="DB246" s="88">
        <v>242.56968801920121</v>
      </c>
      <c r="DC246" s="88">
        <v>242.38772197353379</v>
      </c>
      <c r="DD246" s="88">
        <v>242.20602873047881</v>
      </c>
      <c r="DE246" s="88">
        <v>242.02460767700271</v>
      </c>
      <c r="DF246" s="88">
        <v>241.84345820194241</v>
      </c>
      <c r="DG246" s="93">
        <v>46235</v>
      </c>
      <c r="DH246" s="91">
        <v>0.02</v>
      </c>
      <c r="DI246" t="s">
        <v>301</v>
      </c>
      <c r="DJ246" s="93"/>
      <c r="DK246" s="91"/>
      <c r="DM246" s="93"/>
      <c r="DN246" s="91"/>
      <c r="DP246" s="93"/>
      <c r="DQ246" s="91"/>
    </row>
    <row r="247" spans="1:121" x14ac:dyDescent="0.3">
      <c r="A247" t="s">
        <v>28</v>
      </c>
      <c r="B247" t="s">
        <v>47</v>
      </c>
      <c r="C247" t="s">
        <v>87</v>
      </c>
      <c r="D247" t="s">
        <v>414</v>
      </c>
      <c r="E247" t="s">
        <v>610</v>
      </c>
      <c r="F247" s="86">
        <v>66000</v>
      </c>
      <c r="G247" s="87">
        <v>12</v>
      </c>
      <c r="H247" s="88">
        <v>1</v>
      </c>
      <c r="I247" s="88">
        <v>1</v>
      </c>
      <c r="J247" s="89">
        <v>0.88800419401896435</v>
      </c>
      <c r="K247" s="88">
        <v>1</v>
      </c>
      <c r="L247" s="88">
        <v>1.0135087267175451</v>
      </c>
      <c r="M247" s="88">
        <v>1</v>
      </c>
      <c r="N247" s="90">
        <v>0.60799999999999998</v>
      </c>
      <c r="O247" s="90">
        <v>0.61621330584426715</v>
      </c>
      <c r="P247" s="90">
        <v>0.62087019513327379</v>
      </c>
      <c r="Q247" s="91">
        <v>0</v>
      </c>
      <c r="R247" s="88">
        <v>1</v>
      </c>
      <c r="S247" s="88">
        <v>1.0211680841007791</v>
      </c>
      <c r="T247" s="91">
        <v>0</v>
      </c>
      <c r="U247" s="91">
        <v>0</v>
      </c>
      <c r="V247" s="87">
        <v>0</v>
      </c>
      <c r="W247" s="91">
        <v>0</v>
      </c>
      <c r="X247" s="87">
        <v>1</v>
      </c>
      <c r="Y247" s="90">
        <v>0.61621330584426715</v>
      </c>
      <c r="Z247" s="90">
        <v>0.62087019513327379</v>
      </c>
      <c r="AA247" s="92">
        <v>0</v>
      </c>
      <c r="AB247" s="88">
        <v>0</v>
      </c>
      <c r="AC247" s="87">
        <v>0</v>
      </c>
      <c r="AD247" s="87">
        <v>0</v>
      </c>
      <c r="AE247" s="88">
        <v>1</v>
      </c>
      <c r="AF247" s="88">
        <v>0.99104602551311949</v>
      </c>
      <c r="AG247" s="88">
        <v>0.99104602551311949</v>
      </c>
      <c r="AH247" s="88">
        <v>66000</v>
      </c>
      <c r="AI247" s="88">
        <v>66000</v>
      </c>
      <c r="AJ247" s="88">
        <v>58608.276805251648</v>
      </c>
      <c r="AK247" s="88">
        <v>66000</v>
      </c>
      <c r="AL247" s="88">
        <v>66891.575963357944</v>
      </c>
      <c r="AM247" s="88">
        <v>66000</v>
      </c>
      <c r="AN247" s="88">
        <v>40128</v>
      </c>
      <c r="AO247" s="88">
        <v>40670.078185721628</v>
      </c>
      <c r="AP247" s="88">
        <v>40977.432878796069</v>
      </c>
      <c r="AQ247" s="88">
        <v>0</v>
      </c>
      <c r="AR247" s="88">
        <v>66000</v>
      </c>
      <c r="AS247" s="88">
        <v>67397.093550651436</v>
      </c>
      <c r="AT247" s="88">
        <v>40670.078185721628</v>
      </c>
      <c r="AU247" s="88">
        <v>40977.432878796069</v>
      </c>
      <c r="AV247" s="88">
        <v>59400</v>
      </c>
      <c r="AW247" s="88">
        <v>58740</v>
      </c>
      <c r="AX247" s="88">
        <v>58080</v>
      </c>
      <c r="AY247" s="88">
        <v>66000</v>
      </c>
      <c r="AZ247" s="88">
        <v>66000</v>
      </c>
      <c r="BA247" s="88">
        <v>66000</v>
      </c>
      <c r="BB247" s="88">
        <v>66000</v>
      </c>
      <c r="BC247" s="88">
        <v>66000</v>
      </c>
      <c r="BD247" s="88">
        <v>66000</v>
      </c>
      <c r="BE247" s="88">
        <v>66000</v>
      </c>
      <c r="BF247" s="88">
        <v>66000</v>
      </c>
      <c r="BG247" s="88">
        <v>66000</v>
      </c>
      <c r="BH247" s="88">
        <v>66000</v>
      </c>
      <c r="BI247" s="88">
        <v>66000</v>
      </c>
      <c r="BJ247" s="88">
        <v>66000</v>
      </c>
      <c r="BK247" s="88">
        <v>-588.55865430424399</v>
      </c>
      <c r="BL247" s="88">
        <v>-588.98315444609727</v>
      </c>
      <c r="BM247" s="88">
        <v>-589.4082673745753</v>
      </c>
      <c r="BN247" s="88">
        <v>-589.84843662006313</v>
      </c>
      <c r="BO247" s="88">
        <v>-590.28926379240727</v>
      </c>
      <c r="BP247" s="88">
        <v>-590.73075036782234</v>
      </c>
      <c r="BQ247" s="88">
        <v>-591.17289782696298</v>
      </c>
      <c r="BR247" s="88">
        <v>-591.6229723590078</v>
      </c>
      <c r="BS247" s="88">
        <v>-592.06645694061797</v>
      </c>
      <c r="BT247" s="88">
        <v>-592.51060689910105</v>
      </c>
      <c r="BU247" s="88">
        <v>-592.95542373298372</v>
      </c>
      <c r="BV247" s="88">
        <v>-593.40090894535763</v>
      </c>
      <c r="BW247" s="88">
        <v>0</v>
      </c>
      <c r="BX247" s="88">
        <v>0</v>
      </c>
      <c r="BY247" s="88">
        <v>0</v>
      </c>
      <c r="BZ247" s="88">
        <v>0</v>
      </c>
      <c r="CA247" s="88">
        <v>0</v>
      </c>
      <c r="CB247" s="88">
        <v>0</v>
      </c>
      <c r="CC247" s="88">
        <v>0</v>
      </c>
      <c r="CD247" s="88">
        <v>0</v>
      </c>
      <c r="CE247" s="88">
        <v>0</v>
      </c>
      <c r="CF247" s="88">
        <v>0</v>
      </c>
      <c r="CG247" s="88">
        <v>0</v>
      </c>
      <c r="CH247" s="88">
        <v>0</v>
      </c>
      <c r="CI247" s="88">
        <v>66000</v>
      </c>
      <c r="CJ247" s="88">
        <v>66000</v>
      </c>
      <c r="CK247" s="88">
        <v>66000</v>
      </c>
      <c r="CL247" s="88">
        <v>66000</v>
      </c>
      <c r="CM247" s="88">
        <v>66000</v>
      </c>
      <c r="CN247" s="88">
        <v>66000</v>
      </c>
      <c r="CO247" s="88">
        <v>66000</v>
      </c>
      <c r="CP247" s="88">
        <v>66000</v>
      </c>
      <c r="CQ247" s="88">
        <v>66000</v>
      </c>
      <c r="CR247" s="88">
        <v>66000</v>
      </c>
      <c r="CS247" s="88">
        <v>66000</v>
      </c>
      <c r="CT247" s="88">
        <v>66000</v>
      </c>
      <c r="CU247" s="88">
        <v>-588.55865430424399</v>
      </c>
      <c r="CV247" s="88">
        <v>-588.98315444609727</v>
      </c>
      <c r="CW247" s="88">
        <v>-589.4082673745753</v>
      </c>
      <c r="CX247" s="88">
        <v>-589.84843662006313</v>
      </c>
      <c r="CY247" s="88">
        <v>-590.28926379240727</v>
      </c>
      <c r="CZ247" s="88">
        <v>-590.73075036782234</v>
      </c>
      <c r="DA247" s="88">
        <v>-591.17289782696298</v>
      </c>
      <c r="DB247" s="88">
        <v>-591.6229723590078</v>
      </c>
      <c r="DC247" s="88">
        <v>-592.06645694061797</v>
      </c>
      <c r="DD247" s="88">
        <v>-592.51060689910105</v>
      </c>
      <c r="DE247" s="88">
        <v>-592.95542373298372</v>
      </c>
      <c r="DF247" s="88">
        <v>-593.40090894535763</v>
      </c>
      <c r="DG247" s="93"/>
      <c r="DH247" s="91"/>
      <c r="DJ247" s="93"/>
      <c r="DK247" s="91"/>
      <c r="DM247" s="93"/>
      <c r="DN247" s="91"/>
      <c r="DP247" s="93"/>
      <c r="DQ247" s="91"/>
    </row>
    <row r="248" spans="1:121" x14ac:dyDescent="0.3">
      <c r="A248" t="s">
        <v>28</v>
      </c>
      <c r="B248" t="s">
        <v>47</v>
      </c>
      <c r="C248" t="s">
        <v>89</v>
      </c>
      <c r="D248" t="s">
        <v>416</v>
      </c>
      <c r="E248" t="s">
        <v>611</v>
      </c>
      <c r="F248" s="86">
        <v>54000</v>
      </c>
      <c r="G248" s="87">
        <v>12</v>
      </c>
      <c r="H248" s="88">
        <v>1.04</v>
      </c>
      <c r="I248" s="88">
        <v>1.0323611111111111</v>
      </c>
      <c r="J248" s="89">
        <v>0.89099790299051795</v>
      </c>
      <c r="K248" s="88">
        <v>1.0073994349522399</v>
      </c>
      <c r="L248" s="88">
        <v>1.010103387425793</v>
      </c>
      <c r="M248" s="88">
        <v>1</v>
      </c>
      <c r="N248" s="90">
        <v>0.59199999999999997</v>
      </c>
      <c r="O248" s="90">
        <v>0.60240592838776374</v>
      </c>
      <c r="P248" s="90">
        <v>0.57661407515758578</v>
      </c>
      <c r="Q248" s="91">
        <v>0</v>
      </c>
      <c r="R248" s="88">
        <v>0.96787202580992038</v>
      </c>
      <c r="S248" s="88">
        <v>1.006341991623799</v>
      </c>
      <c r="T248" s="91">
        <v>-7.3450854700855004E-3</v>
      </c>
      <c r="U248" s="91">
        <v>4.0839499529127243E-2</v>
      </c>
      <c r="V248" s="87">
        <v>0</v>
      </c>
      <c r="W248" s="91">
        <v>0</v>
      </c>
      <c r="X248" s="87">
        <v>1</v>
      </c>
      <c r="Y248" s="90">
        <v>0.60240592838776374</v>
      </c>
      <c r="Z248" s="90">
        <v>0.57661407515758578</v>
      </c>
      <c r="AA248" s="92">
        <v>0</v>
      </c>
      <c r="AB248" s="88">
        <v>0</v>
      </c>
      <c r="AC248" s="87">
        <v>1</v>
      </c>
      <c r="AD248" s="87">
        <v>1</v>
      </c>
      <c r="AE248" s="88">
        <v>1.046933333333333</v>
      </c>
      <c r="AF248" s="88">
        <v>1.004492054902975</v>
      </c>
      <c r="AG248" s="88">
        <v>1.051636191915728</v>
      </c>
      <c r="AH248" s="88">
        <v>56160</v>
      </c>
      <c r="AI248" s="88">
        <v>55747.5</v>
      </c>
      <c r="AJ248" s="88">
        <v>48113.886761487971</v>
      </c>
      <c r="AK248" s="88">
        <v>54399.569487420973</v>
      </c>
      <c r="AL248" s="88">
        <v>54545.582920992812</v>
      </c>
      <c r="AM248" s="88">
        <v>54000</v>
      </c>
      <c r="AN248" s="88">
        <v>31968</v>
      </c>
      <c r="AO248" s="88">
        <v>32529.920132939242</v>
      </c>
      <c r="AP248" s="88">
        <v>31137.160058509631</v>
      </c>
      <c r="AQ248" s="88">
        <v>0</v>
      </c>
      <c r="AR248" s="88">
        <v>52265.089393735703</v>
      </c>
      <c r="AS248" s="88">
        <v>54342.467547685163</v>
      </c>
      <c r="AT248" s="88">
        <v>32529.920132939242</v>
      </c>
      <c r="AU248" s="88">
        <v>31137.160058509631</v>
      </c>
      <c r="AV248" s="88">
        <v>48600</v>
      </c>
      <c r="AW248" s="88">
        <v>48060</v>
      </c>
      <c r="AX248" s="88">
        <v>48330</v>
      </c>
      <c r="AY248" s="88">
        <v>54000</v>
      </c>
      <c r="AZ248" s="88">
        <v>54000</v>
      </c>
      <c r="BA248" s="88">
        <v>54000</v>
      </c>
      <c r="BB248" s="88">
        <v>54000</v>
      </c>
      <c r="BC248" s="88">
        <v>54000</v>
      </c>
      <c r="BD248" s="88">
        <v>54000</v>
      </c>
      <c r="BE248" s="88">
        <v>54000</v>
      </c>
      <c r="BF248" s="88">
        <v>54000</v>
      </c>
      <c r="BG248" s="88">
        <v>54000</v>
      </c>
      <c r="BH248" s="88">
        <v>54000</v>
      </c>
      <c r="BI248" s="88">
        <v>54000</v>
      </c>
      <c r="BJ248" s="88">
        <v>54000</v>
      </c>
      <c r="BK248" s="88">
        <v>2412.790469672032</v>
      </c>
      <c r="BL248" s="88">
        <v>2412.6985379323878</v>
      </c>
      <c r="BM248" s="88">
        <v>2412.6066730336838</v>
      </c>
      <c r="BN248" s="88">
        <v>2412.511764271107</v>
      </c>
      <c r="BO248" s="88">
        <v>2412.4169267995312</v>
      </c>
      <c r="BP248" s="88">
        <v>2412.3221605386561</v>
      </c>
      <c r="BQ248" s="88">
        <v>2412.227465408303</v>
      </c>
      <c r="BR248" s="88">
        <v>4668.6165423336925</v>
      </c>
      <c r="BS248" s="88">
        <v>4668.5182083092732</v>
      </c>
      <c r="BT248" s="88">
        <v>2411.942257701744</v>
      </c>
      <c r="BU248" s="88">
        <v>2411.8478474542922</v>
      </c>
      <c r="BV248" s="88">
        <v>2411.75350793699</v>
      </c>
      <c r="BW248" s="88">
        <v>2160.0000000000018</v>
      </c>
      <c r="BX248" s="88">
        <v>2160.0000000000018</v>
      </c>
      <c r="BY248" s="88">
        <v>2160.0000000000018</v>
      </c>
      <c r="BZ248" s="88">
        <v>2160.0000000000018</v>
      </c>
      <c r="CA248" s="88">
        <v>2160.0000000000018</v>
      </c>
      <c r="CB248" s="88">
        <v>2160.0000000000018</v>
      </c>
      <c r="CC248" s="88">
        <v>2160.0000000000018</v>
      </c>
      <c r="CD248" s="88">
        <v>4406.400000000006</v>
      </c>
      <c r="CE248" s="88">
        <v>4406.400000000006</v>
      </c>
      <c r="CF248" s="88">
        <v>2160.0000000000018</v>
      </c>
      <c r="CG248" s="88">
        <v>2160.0000000000018</v>
      </c>
      <c r="CH248" s="88">
        <v>2160.0000000000018</v>
      </c>
      <c r="CI248" s="88">
        <v>54000</v>
      </c>
      <c r="CJ248" s="88">
        <v>54000</v>
      </c>
      <c r="CK248" s="88">
        <v>54000</v>
      </c>
      <c r="CL248" s="88">
        <v>54000</v>
      </c>
      <c r="CM248" s="88">
        <v>54000</v>
      </c>
      <c r="CN248" s="88">
        <v>54000</v>
      </c>
      <c r="CO248" s="88">
        <v>54000</v>
      </c>
      <c r="CP248" s="88">
        <v>54000</v>
      </c>
      <c r="CQ248" s="88">
        <v>54000</v>
      </c>
      <c r="CR248" s="88">
        <v>54000</v>
      </c>
      <c r="CS248" s="88">
        <v>54000</v>
      </c>
      <c r="CT248" s="88">
        <v>54000</v>
      </c>
      <c r="CU248" s="88">
        <v>243.06775930002809</v>
      </c>
      <c r="CV248" s="88">
        <v>242.97936339652719</v>
      </c>
      <c r="CW248" s="88">
        <v>242.8910317631514</v>
      </c>
      <c r="CX248" s="88">
        <v>242.79977333760311</v>
      </c>
      <c r="CY248" s="88">
        <v>242.70858346108909</v>
      </c>
      <c r="CZ248" s="88">
        <v>242.61746205640341</v>
      </c>
      <c r="DA248" s="88">
        <v>242.52640904644761</v>
      </c>
      <c r="DB248" s="88">
        <v>242.43393337064271</v>
      </c>
      <c r="DC248" s="88">
        <v>242.34301803741289</v>
      </c>
      <c r="DD248" s="88">
        <v>242.25217086705439</v>
      </c>
      <c r="DE248" s="88">
        <v>242.1613917829726</v>
      </c>
      <c r="DF248" s="88">
        <v>242.0706807086446</v>
      </c>
      <c r="DG248" s="93">
        <v>46296</v>
      </c>
      <c r="DH248" s="91">
        <v>0.04</v>
      </c>
      <c r="DI248" t="s">
        <v>301</v>
      </c>
      <c r="DJ248" s="93">
        <v>46600</v>
      </c>
      <c r="DK248" s="91">
        <v>0.04</v>
      </c>
      <c r="DL248" t="s">
        <v>302</v>
      </c>
      <c r="DM248" s="93"/>
      <c r="DN248" s="91"/>
      <c r="DP248" s="93"/>
      <c r="DQ248" s="91"/>
    </row>
    <row r="249" spans="1:121" x14ac:dyDescent="0.3">
      <c r="A249" t="s">
        <v>28</v>
      </c>
      <c r="B249" t="s">
        <v>47</v>
      </c>
      <c r="C249" t="s">
        <v>91</v>
      </c>
      <c r="D249" t="s">
        <v>418</v>
      </c>
      <c r="E249" t="s">
        <v>612</v>
      </c>
      <c r="F249" s="86">
        <v>42000</v>
      </c>
      <c r="G249" s="87">
        <v>12</v>
      </c>
      <c r="H249" s="88">
        <v>1.05</v>
      </c>
      <c r="I249" s="88">
        <v>1.0326388888888891</v>
      </c>
      <c r="J249" s="89">
        <v>0.89399161196207155</v>
      </c>
      <c r="K249" s="88">
        <v>1.0168123739071959</v>
      </c>
      <c r="L249" s="88">
        <v>1.00672085504778</v>
      </c>
      <c r="M249" s="88">
        <v>1</v>
      </c>
      <c r="N249" s="90">
        <v>0.62</v>
      </c>
      <c r="O249" s="90">
        <v>0.63466065793946935</v>
      </c>
      <c r="P249" s="90">
        <v>0.61500295561255292</v>
      </c>
      <c r="Q249" s="91">
        <v>0</v>
      </c>
      <c r="R249" s="88">
        <v>1</v>
      </c>
      <c r="S249" s="88">
        <v>0.99194025098798855</v>
      </c>
      <c r="T249" s="91">
        <v>-1.653439153439162E-2</v>
      </c>
      <c r="U249" s="91">
        <v>1.6812373907195699E-2</v>
      </c>
      <c r="V249" s="87">
        <v>0</v>
      </c>
      <c r="W249" s="91">
        <v>0</v>
      </c>
      <c r="X249" s="87">
        <v>1</v>
      </c>
      <c r="Y249" s="90">
        <v>0.63466065793946935</v>
      </c>
      <c r="Z249" s="90">
        <v>0.61500295561255292</v>
      </c>
      <c r="AA249" s="92">
        <v>0</v>
      </c>
      <c r="AB249" s="88">
        <v>0</v>
      </c>
      <c r="AC249" s="87">
        <v>1</v>
      </c>
      <c r="AD249" s="87">
        <v>0</v>
      </c>
      <c r="AE249" s="88">
        <v>1.041666666666667</v>
      </c>
      <c r="AF249" s="88">
        <v>1.0180294435905091</v>
      </c>
      <c r="AG249" s="88">
        <v>1.060448464599351</v>
      </c>
      <c r="AH249" s="88">
        <v>44100</v>
      </c>
      <c r="AI249" s="88">
        <v>43370.833333333343</v>
      </c>
      <c r="AJ249" s="88">
        <v>37547.647702406997</v>
      </c>
      <c r="AK249" s="88">
        <v>42706.119704102217</v>
      </c>
      <c r="AL249" s="88">
        <v>42282.275912006771</v>
      </c>
      <c r="AM249" s="88">
        <v>42000</v>
      </c>
      <c r="AN249" s="88">
        <v>26040</v>
      </c>
      <c r="AO249" s="88">
        <v>26655.747633457711</v>
      </c>
      <c r="AP249" s="88">
        <v>25830.124135727219</v>
      </c>
      <c r="AQ249" s="88">
        <v>0</v>
      </c>
      <c r="AR249" s="88">
        <v>42000</v>
      </c>
      <c r="AS249" s="88">
        <v>41661.490541495521</v>
      </c>
      <c r="AT249" s="88">
        <v>26655.747633457711</v>
      </c>
      <c r="AU249" s="88">
        <v>25830.124135727219</v>
      </c>
      <c r="AV249" s="88">
        <v>37800</v>
      </c>
      <c r="AW249" s="88">
        <v>37380</v>
      </c>
      <c r="AX249" s="88">
        <v>38220</v>
      </c>
      <c r="AY249" s="88">
        <v>42000</v>
      </c>
      <c r="AZ249" s="88">
        <v>42000</v>
      </c>
      <c r="BA249" s="88">
        <v>42000</v>
      </c>
      <c r="BB249" s="88">
        <v>42000</v>
      </c>
      <c r="BC249" s="88">
        <v>42000</v>
      </c>
      <c r="BD249" s="88">
        <v>42000</v>
      </c>
      <c r="BE249" s="88">
        <v>42000</v>
      </c>
      <c r="BF249" s="88">
        <v>42000</v>
      </c>
      <c r="BG249" s="88">
        <v>42000</v>
      </c>
      <c r="BH249" s="88">
        <v>42000</v>
      </c>
      <c r="BI249" s="88">
        <v>42000</v>
      </c>
      <c r="BJ249" s="88">
        <v>42000</v>
      </c>
      <c r="BK249" s="88">
        <v>2901.6584491259619</v>
      </c>
      <c r="BL249" s="88">
        <v>2900.4823830718392</v>
      </c>
      <c r="BM249" s="88">
        <v>2899.309762637803</v>
      </c>
      <c r="BN249" s="88">
        <v>2898.1009990827311</v>
      </c>
      <c r="BO249" s="88">
        <v>2896.895885934945</v>
      </c>
      <c r="BP249" s="88">
        <v>2895.6944066833121</v>
      </c>
      <c r="BQ249" s="88">
        <v>2894.496544916095</v>
      </c>
      <c r="BR249" s="88">
        <v>2893.282736188467</v>
      </c>
      <c r="BS249" s="88">
        <v>2892.092119184123</v>
      </c>
      <c r="BT249" s="88">
        <v>2890.9050707547181</v>
      </c>
      <c r="BU249" s="88">
        <v>752.11578560039266</v>
      </c>
      <c r="BV249" s="88">
        <v>750.99201489246605</v>
      </c>
      <c r="BW249" s="88">
        <v>2100.0000000000018</v>
      </c>
      <c r="BX249" s="88">
        <v>2100.0000000000018</v>
      </c>
      <c r="BY249" s="88">
        <v>2100.0000000000018</v>
      </c>
      <c r="BZ249" s="88">
        <v>2100.0000000000018</v>
      </c>
      <c r="CA249" s="88">
        <v>2100.0000000000018</v>
      </c>
      <c r="CB249" s="88">
        <v>2100.0000000000018</v>
      </c>
      <c r="CC249" s="88">
        <v>2100.0000000000018</v>
      </c>
      <c r="CD249" s="88">
        <v>2100.0000000000018</v>
      </c>
      <c r="CE249" s="88">
        <v>2100.0000000000018</v>
      </c>
      <c r="CF249" s="88">
        <v>2100.0000000000018</v>
      </c>
      <c r="CG249" s="88">
        <v>0</v>
      </c>
      <c r="CH249" s="88">
        <v>0</v>
      </c>
      <c r="CI249" s="88">
        <v>42000</v>
      </c>
      <c r="CJ249" s="88">
        <v>42000</v>
      </c>
      <c r="CK249" s="88">
        <v>42000</v>
      </c>
      <c r="CL249" s="88">
        <v>42000</v>
      </c>
      <c r="CM249" s="88">
        <v>42000</v>
      </c>
      <c r="CN249" s="88">
        <v>42000</v>
      </c>
      <c r="CO249" s="88">
        <v>42000</v>
      </c>
      <c r="CP249" s="88">
        <v>42000</v>
      </c>
      <c r="CQ249" s="88">
        <v>42000</v>
      </c>
      <c r="CR249" s="88">
        <v>42000</v>
      </c>
      <c r="CS249" s="88">
        <v>42000</v>
      </c>
      <c r="CT249" s="88">
        <v>42000</v>
      </c>
      <c r="CU249" s="88">
        <v>763.48423726281567</v>
      </c>
      <c r="CV249" s="88">
        <v>762.36417435413136</v>
      </c>
      <c r="CW249" s="88">
        <v>761.24739298838313</v>
      </c>
      <c r="CX249" s="88">
        <v>760.09618960259661</v>
      </c>
      <c r="CY249" s="88">
        <v>758.9484627951872</v>
      </c>
      <c r="CZ249" s="88">
        <v>757.80419684124968</v>
      </c>
      <c r="DA249" s="88">
        <v>756.66337611056406</v>
      </c>
      <c r="DB249" s="88">
        <v>755.50736779853662</v>
      </c>
      <c r="DC249" s="88">
        <v>754.37344684201912</v>
      </c>
      <c r="DD249" s="88">
        <v>753.24292452830082</v>
      </c>
      <c r="DE249" s="88">
        <v>752.11578560039266</v>
      </c>
      <c r="DF249" s="88">
        <v>750.99201489246605</v>
      </c>
      <c r="DG249" s="93">
        <v>46327</v>
      </c>
      <c r="DH249" s="91">
        <v>0.05</v>
      </c>
      <c r="DI249" t="s">
        <v>301</v>
      </c>
      <c r="DJ249" s="93"/>
      <c r="DK249" s="91"/>
      <c r="DM249" s="93"/>
      <c r="DN249" s="91"/>
      <c r="DP249" s="93"/>
      <c r="DQ249" s="91"/>
    </row>
    <row r="250" spans="1:121" x14ac:dyDescent="0.3">
      <c r="A250" t="s">
        <v>28</v>
      </c>
      <c r="B250" t="s">
        <v>47</v>
      </c>
      <c r="C250" t="s">
        <v>92</v>
      </c>
      <c r="D250" t="s">
        <v>420</v>
      </c>
      <c r="E250" t="s">
        <v>613</v>
      </c>
      <c r="F250" s="86">
        <v>30000</v>
      </c>
      <c r="G250" s="87">
        <v>12</v>
      </c>
      <c r="H250" s="88">
        <v>1</v>
      </c>
      <c r="I250" s="88">
        <v>1</v>
      </c>
      <c r="J250" s="89">
        <v>0.89000000000000024</v>
      </c>
      <c r="K250" s="88">
        <v>1</v>
      </c>
      <c r="L250" s="88">
        <v>1.01123595505618</v>
      </c>
      <c r="M250" s="88">
        <v>1</v>
      </c>
      <c r="N250" s="90">
        <v>0.60399999999999998</v>
      </c>
      <c r="O250" s="90">
        <v>0.61078651685393248</v>
      </c>
      <c r="P250" s="90">
        <v>0.61078651685393248</v>
      </c>
      <c r="Q250" s="91">
        <v>0</v>
      </c>
      <c r="R250" s="88">
        <v>1</v>
      </c>
      <c r="S250" s="88">
        <v>1.01123595505618</v>
      </c>
      <c r="T250" s="91">
        <v>0</v>
      </c>
      <c r="U250" s="91">
        <v>0</v>
      </c>
      <c r="V250" s="87">
        <v>0</v>
      </c>
      <c r="W250" s="91">
        <v>0</v>
      </c>
      <c r="X250" s="87">
        <v>1</v>
      </c>
      <c r="Y250" s="90">
        <v>0.61078651685393248</v>
      </c>
      <c r="Z250" s="90">
        <v>0.61078651685393248</v>
      </c>
      <c r="AA250" s="92">
        <v>0</v>
      </c>
      <c r="AB250" s="88">
        <v>0</v>
      </c>
      <c r="AC250" s="87">
        <v>0</v>
      </c>
      <c r="AD250" s="87">
        <v>0</v>
      </c>
      <c r="AE250" s="88">
        <v>1</v>
      </c>
      <c r="AF250" s="88">
        <v>1</v>
      </c>
      <c r="AG250" s="88">
        <v>1</v>
      </c>
      <c r="AH250" s="88">
        <v>30000</v>
      </c>
      <c r="AI250" s="88">
        <v>30000</v>
      </c>
      <c r="AJ250" s="88">
        <v>26700.000000000011</v>
      </c>
      <c r="AK250" s="88">
        <v>30000</v>
      </c>
      <c r="AL250" s="88">
        <v>30337.078651685391</v>
      </c>
      <c r="AM250" s="88">
        <v>30000</v>
      </c>
      <c r="AN250" s="88">
        <v>18120</v>
      </c>
      <c r="AO250" s="88">
        <v>18323.59550561797</v>
      </c>
      <c r="AP250" s="88">
        <v>18323.59550561797</v>
      </c>
      <c r="AQ250" s="88">
        <v>0</v>
      </c>
      <c r="AR250" s="88">
        <v>30000</v>
      </c>
      <c r="AS250" s="88">
        <v>30337.078651685391</v>
      </c>
      <c r="AT250" s="88">
        <v>18323.59550561797</v>
      </c>
      <c r="AU250" s="88">
        <v>18323.59550561797</v>
      </c>
      <c r="AV250" s="88">
        <v>27000</v>
      </c>
      <c r="AW250" s="88">
        <v>26700</v>
      </c>
      <c r="AX250" s="88">
        <v>26700</v>
      </c>
      <c r="AY250" s="88">
        <v>30000</v>
      </c>
      <c r="AZ250" s="88">
        <v>30000</v>
      </c>
      <c r="BA250" s="88">
        <v>30000</v>
      </c>
      <c r="BB250" s="88">
        <v>30000</v>
      </c>
      <c r="BC250" s="88">
        <v>30000</v>
      </c>
      <c r="BD250" s="88">
        <v>30000</v>
      </c>
      <c r="BE250" s="88">
        <v>30000</v>
      </c>
      <c r="BF250" s="88">
        <v>30000</v>
      </c>
      <c r="BG250" s="88">
        <v>30000</v>
      </c>
      <c r="BH250" s="88">
        <v>30000</v>
      </c>
      <c r="BI250" s="88">
        <v>30000</v>
      </c>
      <c r="BJ250" s="88">
        <v>30000</v>
      </c>
      <c r="BK250" s="88">
        <v>0</v>
      </c>
      <c r="BL250" s="88">
        <v>0</v>
      </c>
      <c r="BM250" s="88">
        <v>0</v>
      </c>
      <c r="BN250" s="88">
        <v>0</v>
      </c>
      <c r="BO250" s="88">
        <v>0</v>
      </c>
      <c r="BP250" s="88">
        <v>0</v>
      </c>
      <c r="BQ250" s="88">
        <v>0</v>
      </c>
      <c r="BR250" s="88">
        <v>0</v>
      </c>
      <c r="BS250" s="88">
        <v>0</v>
      </c>
      <c r="BT250" s="88">
        <v>0</v>
      </c>
      <c r="BU250" s="88">
        <v>0</v>
      </c>
      <c r="BV250" s="88">
        <v>0</v>
      </c>
      <c r="BW250" s="88">
        <v>0</v>
      </c>
      <c r="BX250" s="88">
        <v>0</v>
      </c>
      <c r="BY250" s="88">
        <v>0</v>
      </c>
      <c r="BZ250" s="88">
        <v>0</v>
      </c>
      <c r="CA250" s="88">
        <v>0</v>
      </c>
      <c r="CB250" s="88">
        <v>0</v>
      </c>
      <c r="CC250" s="88">
        <v>0</v>
      </c>
      <c r="CD250" s="88">
        <v>0</v>
      </c>
      <c r="CE250" s="88">
        <v>0</v>
      </c>
      <c r="CF250" s="88">
        <v>0</v>
      </c>
      <c r="CG250" s="88">
        <v>0</v>
      </c>
      <c r="CH250" s="88">
        <v>0</v>
      </c>
      <c r="CI250" s="88">
        <v>30000</v>
      </c>
      <c r="CJ250" s="88">
        <v>30000</v>
      </c>
      <c r="CK250" s="88">
        <v>30000</v>
      </c>
      <c r="CL250" s="88">
        <v>30000</v>
      </c>
      <c r="CM250" s="88">
        <v>30000</v>
      </c>
      <c r="CN250" s="88">
        <v>30000</v>
      </c>
      <c r="CO250" s="88">
        <v>30000</v>
      </c>
      <c r="CP250" s="88">
        <v>30000</v>
      </c>
      <c r="CQ250" s="88">
        <v>30000</v>
      </c>
      <c r="CR250" s="88">
        <v>30000</v>
      </c>
      <c r="CS250" s="88">
        <v>30000</v>
      </c>
      <c r="CT250" s="88">
        <v>30000</v>
      </c>
      <c r="CU250" s="88">
        <v>0</v>
      </c>
      <c r="CV250" s="88">
        <v>0</v>
      </c>
      <c r="CW250" s="88">
        <v>0</v>
      </c>
      <c r="CX250" s="88">
        <v>0</v>
      </c>
      <c r="CY250" s="88">
        <v>0</v>
      </c>
      <c r="CZ250" s="88">
        <v>0</v>
      </c>
      <c r="DA250" s="88">
        <v>0</v>
      </c>
      <c r="DB250" s="88">
        <v>0</v>
      </c>
      <c r="DC250" s="88">
        <v>0</v>
      </c>
      <c r="DD250" s="88">
        <v>0</v>
      </c>
      <c r="DE250" s="88">
        <v>0</v>
      </c>
      <c r="DF250" s="88">
        <v>0</v>
      </c>
      <c r="DG250" s="93"/>
      <c r="DH250" s="91"/>
      <c r="DJ250" s="93"/>
      <c r="DK250" s="91"/>
      <c r="DM250" s="93"/>
      <c r="DN250" s="91"/>
      <c r="DP250" s="93"/>
      <c r="DQ250" s="91"/>
    </row>
    <row r="251" spans="1:121" x14ac:dyDescent="0.3">
      <c r="A251" t="s">
        <v>28</v>
      </c>
      <c r="B251" t="s">
        <v>47</v>
      </c>
      <c r="C251" t="s">
        <v>94</v>
      </c>
      <c r="D251" t="s">
        <v>422</v>
      </c>
      <c r="E251" t="s">
        <v>614</v>
      </c>
      <c r="F251" s="86">
        <v>69000</v>
      </c>
      <c r="G251" s="87">
        <v>12</v>
      </c>
      <c r="H251" s="88">
        <v>1.02</v>
      </c>
      <c r="I251" s="88">
        <v>1.02</v>
      </c>
      <c r="J251" s="89">
        <v>0.89299370897155361</v>
      </c>
      <c r="K251" s="88">
        <v>1</v>
      </c>
      <c r="L251" s="88">
        <v>1.0078458458979691</v>
      </c>
      <c r="M251" s="88">
        <v>1</v>
      </c>
      <c r="N251" s="90">
        <v>0.58799999999999997</v>
      </c>
      <c r="O251" s="90">
        <v>0.5926133573880058</v>
      </c>
      <c r="P251" s="90">
        <v>0.58605654886520797</v>
      </c>
      <c r="Q251" s="91">
        <v>0</v>
      </c>
      <c r="R251" s="88">
        <v>1</v>
      </c>
      <c r="S251" s="88">
        <v>0.99669481099525148</v>
      </c>
      <c r="T251" s="91">
        <v>0</v>
      </c>
      <c r="U251" s="91">
        <v>0</v>
      </c>
      <c r="V251" s="87">
        <v>0</v>
      </c>
      <c r="W251" s="91">
        <v>0</v>
      </c>
      <c r="X251" s="87">
        <v>1</v>
      </c>
      <c r="Y251" s="90">
        <v>0.5926133573880058</v>
      </c>
      <c r="Z251" s="90">
        <v>0.58605654886520797</v>
      </c>
      <c r="AA251" s="92">
        <v>0</v>
      </c>
      <c r="AB251" s="88">
        <v>0</v>
      </c>
      <c r="AC251" s="87">
        <v>1</v>
      </c>
      <c r="AD251" s="87">
        <v>0</v>
      </c>
      <c r="AE251" s="88">
        <v>1</v>
      </c>
      <c r="AF251" s="88">
        <v>1.0135066962933139</v>
      </c>
      <c r="AG251" s="88">
        <v>1.0135066962933139</v>
      </c>
      <c r="AH251" s="88">
        <v>70380</v>
      </c>
      <c r="AI251" s="88">
        <v>70379.999999999985</v>
      </c>
      <c r="AJ251" s="88">
        <v>61616.565919037203</v>
      </c>
      <c r="AK251" s="88">
        <v>69000.000000000015</v>
      </c>
      <c r="AL251" s="88">
        <v>69541.363366959849</v>
      </c>
      <c r="AM251" s="88">
        <v>69000</v>
      </c>
      <c r="AN251" s="88">
        <v>40572</v>
      </c>
      <c r="AO251" s="88">
        <v>40890.321659772402</v>
      </c>
      <c r="AP251" s="88">
        <v>40437.901871699352</v>
      </c>
      <c r="AQ251" s="88">
        <v>0</v>
      </c>
      <c r="AR251" s="88">
        <v>69000.000000000015</v>
      </c>
      <c r="AS251" s="88">
        <v>68771.941958672352</v>
      </c>
      <c r="AT251" s="88">
        <v>40890.321659772402</v>
      </c>
      <c r="AU251" s="88">
        <v>40437.901871699352</v>
      </c>
      <c r="AV251" s="88">
        <v>62100</v>
      </c>
      <c r="AW251" s="88">
        <v>61410</v>
      </c>
      <c r="AX251" s="88">
        <v>62445</v>
      </c>
      <c r="AY251" s="88">
        <v>69000</v>
      </c>
      <c r="AZ251" s="88">
        <v>69000</v>
      </c>
      <c r="BA251" s="88">
        <v>69000</v>
      </c>
      <c r="BB251" s="88">
        <v>69000</v>
      </c>
      <c r="BC251" s="88">
        <v>69000</v>
      </c>
      <c r="BD251" s="88">
        <v>69000</v>
      </c>
      <c r="BE251" s="88">
        <v>69000</v>
      </c>
      <c r="BF251" s="88">
        <v>69000</v>
      </c>
      <c r="BG251" s="88">
        <v>69000</v>
      </c>
      <c r="BH251" s="88">
        <v>69000</v>
      </c>
      <c r="BI251" s="88">
        <v>69000</v>
      </c>
      <c r="BJ251" s="88">
        <v>69000</v>
      </c>
      <c r="BK251" s="88">
        <v>937.7152537744995</v>
      </c>
      <c r="BL251" s="88">
        <v>936.68641987553781</v>
      </c>
      <c r="BM251" s="88">
        <v>935.65984111553234</v>
      </c>
      <c r="BN251" s="88">
        <v>934.60082630316288</v>
      </c>
      <c r="BO251" s="88">
        <v>933.54420604570441</v>
      </c>
      <c r="BP251" s="88">
        <v>932.48997223078425</v>
      </c>
      <c r="BQ251" s="88">
        <v>931.43811678266218</v>
      </c>
      <c r="BR251" s="88">
        <v>930.37144669035206</v>
      </c>
      <c r="BS251" s="88">
        <v>929.32436255396976</v>
      </c>
      <c r="BT251" s="88">
        <v>928.27963264428104</v>
      </c>
      <c r="BU251" s="88">
        <v>927.23724903048321</v>
      </c>
      <c r="BV251" s="88">
        <v>926.1972038173185</v>
      </c>
      <c r="BW251" s="88">
        <v>0</v>
      </c>
      <c r="BX251" s="88">
        <v>0</v>
      </c>
      <c r="BY251" s="88">
        <v>0</v>
      </c>
      <c r="BZ251" s="88">
        <v>0</v>
      </c>
      <c r="CA251" s="88">
        <v>0</v>
      </c>
      <c r="CB251" s="88">
        <v>0</v>
      </c>
      <c r="CC251" s="88">
        <v>0</v>
      </c>
      <c r="CD251" s="88">
        <v>0</v>
      </c>
      <c r="CE251" s="88">
        <v>0</v>
      </c>
      <c r="CF251" s="88">
        <v>0</v>
      </c>
      <c r="CG251" s="88">
        <v>0</v>
      </c>
      <c r="CH251" s="88">
        <v>0</v>
      </c>
      <c r="CI251" s="88">
        <v>69000</v>
      </c>
      <c r="CJ251" s="88">
        <v>69000</v>
      </c>
      <c r="CK251" s="88">
        <v>69000</v>
      </c>
      <c r="CL251" s="88">
        <v>69000</v>
      </c>
      <c r="CM251" s="88">
        <v>69000</v>
      </c>
      <c r="CN251" s="88">
        <v>69000</v>
      </c>
      <c r="CO251" s="88">
        <v>69000</v>
      </c>
      <c r="CP251" s="88">
        <v>69000</v>
      </c>
      <c r="CQ251" s="88">
        <v>69000</v>
      </c>
      <c r="CR251" s="88">
        <v>69000</v>
      </c>
      <c r="CS251" s="88">
        <v>69000</v>
      </c>
      <c r="CT251" s="88">
        <v>69000</v>
      </c>
      <c r="CU251" s="88">
        <v>937.7152537744995</v>
      </c>
      <c r="CV251" s="88">
        <v>936.68641987553781</v>
      </c>
      <c r="CW251" s="88">
        <v>935.65984111553234</v>
      </c>
      <c r="CX251" s="88">
        <v>934.60082630316288</v>
      </c>
      <c r="CY251" s="88">
        <v>933.54420604570441</v>
      </c>
      <c r="CZ251" s="88">
        <v>932.48997223078425</v>
      </c>
      <c r="DA251" s="88">
        <v>931.43811678266218</v>
      </c>
      <c r="DB251" s="88">
        <v>930.37144669035206</v>
      </c>
      <c r="DC251" s="88">
        <v>929.32436255396976</v>
      </c>
      <c r="DD251" s="88">
        <v>928.27963264428104</v>
      </c>
      <c r="DE251" s="88">
        <v>927.23724903048321</v>
      </c>
      <c r="DF251" s="88">
        <v>926.1972038173185</v>
      </c>
      <c r="DG251" s="93">
        <v>46023</v>
      </c>
      <c r="DH251" s="91">
        <v>0.02</v>
      </c>
      <c r="DI251" t="s">
        <v>301</v>
      </c>
      <c r="DJ251" s="93"/>
      <c r="DK251" s="91"/>
      <c r="DM251" s="93"/>
      <c r="DN251" s="91"/>
      <c r="DP251" s="93"/>
      <c r="DQ251" s="91"/>
    </row>
    <row r="252" spans="1:121" x14ac:dyDescent="0.3">
      <c r="A252" t="s">
        <v>28</v>
      </c>
      <c r="B252" t="s">
        <v>47</v>
      </c>
      <c r="C252" t="s">
        <v>95</v>
      </c>
      <c r="D252" t="s">
        <v>424</v>
      </c>
      <c r="E252" t="s">
        <v>615</v>
      </c>
      <c r="F252" s="86">
        <v>57000</v>
      </c>
      <c r="G252" s="87">
        <v>12</v>
      </c>
      <c r="H252" s="88">
        <v>1.03</v>
      </c>
      <c r="I252" s="88">
        <v>1.0472055555555559</v>
      </c>
      <c r="J252" s="89">
        <v>0.88900209700948218</v>
      </c>
      <c r="K252" s="88">
        <v>0.98357003029225942</v>
      </c>
      <c r="L252" s="88">
        <v>1.0123710652961491</v>
      </c>
      <c r="M252" s="88">
        <v>1</v>
      </c>
      <c r="N252" s="90">
        <v>0.61599999999999999</v>
      </c>
      <c r="O252" s="90">
        <v>0.61337450904596968</v>
      </c>
      <c r="P252" s="90">
        <v>0.60197028998998214</v>
      </c>
      <c r="Q252" s="91">
        <v>0</v>
      </c>
      <c r="R252" s="88">
        <v>0.96166688927474275</v>
      </c>
      <c r="S252" s="88">
        <v>1.016177750981917</v>
      </c>
      <c r="T252" s="91">
        <v>1.6704422869471269E-2</v>
      </c>
      <c r="U252" s="91">
        <v>2.277622455529826E-2</v>
      </c>
      <c r="V252" s="87">
        <v>0</v>
      </c>
      <c r="W252" s="91">
        <v>0</v>
      </c>
      <c r="X252" s="87">
        <v>1</v>
      </c>
      <c r="Y252" s="90">
        <v>0.61337450904596968</v>
      </c>
      <c r="Z252" s="90">
        <v>0.60197028998998214</v>
      </c>
      <c r="AA252" s="92">
        <v>0</v>
      </c>
      <c r="AB252" s="88">
        <v>0</v>
      </c>
      <c r="AC252" s="87">
        <v>1</v>
      </c>
      <c r="AD252" s="87">
        <v>1</v>
      </c>
      <c r="AE252" s="88">
        <v>1.039166666666667</v>
      </c>
      <c r="AF252" s="88">
        <v>0.99551801636857096</v>
      </c>
      <c r="AG252" s="88">
        <v>1.034509131062785</v>
      </c>
      <c r="AH252" s="88">
        <v>58710</v>
      </c>
      <c r="AI252" s="88">
        <v>59690.716666666667</v>
      </c>
      <c r="AJ252" s="88">
        <v>50673.119529540483</v>
      </c>
      <c r="AK252" s="88">
        <v>56063.491726658787</v>
      </c>
      <c r="AL252" s="88">
        <v>57705.150721880498</v>
      </c>
      <c r="AM252" s="88">
        <v>57000</v>
      </c>
      <c r="AN252" s="88">
        <v>35112</v>
      </c>
      <c r="AO252" s="88">
        <v>34962.347015620267</v>
      </c>
      <c r="AP252" s="88">
        <v>34312.306529428977</v>
      </c>
      <c r="AQ252" s="88">
        <v>0</v>
      </c>
      <c r="AR252" s="88">
        <v>54815.012688660339</v>
      </c>
      <c r="AS252" s="88">
        <v>57922.131805969257</v>
      </c>
      <c r="AT252" s="88">
        <v>34962.347015620267</v>
      </c>
      <c r="AU252" s="88">
        <v>34312.306529428977</v>
      </c>
      <c r="AV252" s="88">
        <v>51300</v>
      </c>
      <c r="AW252" s="88">
        <v>50730</v>
      </c>
      <c r="AX252" s="88">
        <v>50445</v>
      </c>
      <c r="AY252" s="88">
        <v>57000</v>
      </c>
      <c r="AZ252" s="88">
        <v>57000</v>
      </c>
      <c r="BA252" s="88">
        <v>57000</v>
      </c>
      <c r="BB252" s="88">
        <v>57000</v>
      </c>
      <c r="BC252" s="88">
        <v>57000</v>
      </c>
      <c r="BD252" s="88">
        <v>57000</v>
      </c>
      <c r="BE252" s="88">
        <v>57000</v>
      </c>
      <c r="BF252" s="88">
        <v>57000</v>
      </c>
      <c r="BG252" s="88">
        <v>57000</v>
      </c>
      <c r="BH252" s="88">
        <v>57000</v>
      </c>
      <c r="BI252" s="88">
        <v>57000</v>
      </c>
      <c r="BJ252" s="88">
        <v>57000</v>
      </c>
      <c r="BK252" s="88">
        <v>1447.399131164718</v>
      </c>
      <c r="BL252" s="88">
        <v>2014.753720548219</v>
      </c>
      <c r="BM252" s="88">
        <v>2014.6577635524129</v>
      </c>
      <c r="BN252" s="88">
        <v>2014.558480751781</v>
      </c>
      <c r="BO252" s="88">
        <v>2014.459123626262</v>
      </c>
      <c r="BP252" s="88">
        <v>2014.359692092384</v>
      </c>
      <c r="BQ252" s="88">
        <v>2014.2601860665029</v>
      </c>
      <c r="BR252" s="88">
        <v>2014.15897237427</v>
      </c>
      <c r="BS252" s="88">
        <v>2014.059315888449</v>
      </c>
      <c r="BT252" s="88">
        <v>2013.9595846576699</v>
      </c>
      <c r="BU252" s="88">
        <v>2013.859778597792</v>
      </c>
      <c r="BV252" s="88">
        <v>2013.7598976245729</v>
      </c>
      <c r="BW252" s="88">
        <v>1710.000000000002</v>
      </c>
      <c r="BX252" s="88">
        <v>2280.0000000000018</v>
      </c>
      <c r="BY252" s="88">
        <v>2280.0000000000018</v>
      </c>
      <c r="BZ252" s="88">
        <v>2280.0000000000018</v>
      </c>
      <c r="CA252" s="88">
        <v>2280.0000000000018</v>
      </c>
      <c r="CB252" s="88">
        <v>2280.0000000000018</v>
      </c>
      <c r="CC252" s="88">
        <v>2280.0000000000018</v>
      </c>
      <c r="CD252" s="88">
        <v>2280.0000000000018</v>
      </c>
      <c r="CE252" s="88">
        <v>2280.0000000000018</v>
      </c>
      <c r="CF252" s="88">
        <v>2280.0000000000018</v>
      </c>
      <c r="CG252" s="88">
        <v>2280.0000000000018</v>
      </c>
      <c r="CH252" s="88">
        <v>2280.0000000000018</v>
      </c>
      <c r="CI252" s="88">
        <v>57000</v>
      </c>
      <c r="CJ252" s="88">
        <v>57000</v>
      </c>
      <c r="CK252" s="88">
        <v>57000</v>
      </c>
      <c r="CL252" s="88">
        <v>57000</v>
      </c>
      <c r="CM252" s="88">
        <v>57000</v>
      </c>
      <c r="CN252" s="88">
        <v>57000</v>
      </c>
      <c r="CO252" s="88">
        <v>57000</v>
      </c>
      <c r="CP252" s="88">
        <v>57000</v>
      </c>
      <c r="CQ252" s="88">
        <v>57000</v>
      </c>
      <c r="CR252" s="88">
        <v>57000</v>
      </c>
      <c r="CS252" s="88">
        <v>57000</v>
      </c>
      <c r="CT252" s="88">
        <v>57000</v>
      </c>
      <c r="CU252" s="88">
        <v>-254.95229984007631</v>
      </c>
      <c r="CV252" s="88">
        <v>-255.04449947287111</v>
      </c>
      <c r="CW252" s="88">
        <v>-255.13676581498541</v>
      </c>
      <c r="CX252" s="88">
        <v>-255.2322300463706</v>
      </c>
      <c r="CY252" s="88">
        <v>-255.32776574398619</v>
      </c>
      <c r="CZ252" s="88">
        <v>-255.4233729880998</v>
      </c>
      <c r="DA252" s="88">
        <v>-255.51905185913111</v>
      </c>
      <c r="DB252" s="88">
        <v>-255.61637271705061</v>
      </c>
      <c r="DC252" s="88">
        <v>-255.71219626111451</v>
      </c>
      <c r="DD252" s="88">
        <v>-255.80809167532331</v>
      </c>
      <c r="DE252" s="88">
        <v>-255.90405904059011</v>
      </c>
      <c r="DF252" s="88">
        <v>-256.00009843791059</v>
      </c>
      <c r="DG252" s="93">
        <v>46054</v>
      </c>
      <c r="DH252" s="91">
        <v>0.03</v>
      </c>
      <c r="DI252" t="s">
        <v>301</v>
      </c>
      <c r="DJ252" s="93">
        <v>46419</v>
      </c>
      <c r="DK252" s="91">
        <v>0.04</v>
      </c>
      <c r="DL252" t="s">
        <v>302</v>
      </c>
      <c r="DM252" s="93"/>
      <c r="DN252" s="91"/>
      <c r="DP252" s="93"/>
      <c r="DQ252" s="91"/>
    </row>
    <row r="253" spans="1:121" x14ac:dyDescent="0.3">
      <c r="A253" t="s">
        <v>28</v>
      </c>
      <c r="B253" t="s">
        <v>47</v>
      </c>
      <c r="C253" t="s">
        <v>96</v>
      </c>
      <c r="D253" t="s">
        <v>426</v>
      </c>
      <c r="E253" t="s">
        <v>616</v>
      </c>
      <c r="F253" s="86">
        <v>45000</v>
      </c>
      <c r="G253" s="87">
        <v>12</v>
      </c>
      <c r="H253" s="88">
        <v>1</v>
      </c>
      <c r="I253" s="88">
        <v>1</v>
      </c>
      <c r="J253" s="89">
        <v>0.89199580598103567</v>
      </c>
      <c r="K253" s="88">
        <v>1</v>
      </c>
      <c r="L253" s="88">
        <v>1.0089733538715031</v>
      </c>
      <c r="M253" s="88">
        <v>1</v>
      </c>
      <c r="N253" s="90">
        <v>0.6</v>
      </c>
      <c r="O253" s="90">
        <v>0.60538401232290173</v>
      </c>
      <c r="P253" s="90">
        <v>0.60089710173667343</v>
      </c>
      <c r="Q253" s="91">
        <v>0</v>
      </c>
      <c r="R253" s="88">
        <v>1</v>
      </c>
      <c r="S253" s="88">
        <v>1.0014951695611229</v>
      </c>
      <c r="T253" s="91">
        <v>0</v>
      </c>
      <c r="U253" s="91">
        <v>0</v>
      </c>
      <c r="V253" s="87">
        <v>0</v>
      </c>
      <c r="W253" s="91">
        <v>0</v>
      </c>
      <c r="X253" s="87">
        <v>1</v>
      </c>
      <c r="Y253" s="90">
        <v>0.60538401232290173</v>
      </c>
      <c r="Z253" s="90">
        <v>0.60089710173667343</v>
      </c>
      <c r="AA253" s="92">
        <v>0</v>
      </c>
      <c r="AB253" s="88">
        <v>0</v>
      </c>
      <c r="AC253" s="87">
        <v>0</v>
      </c>
      <c r="AD253" s="87">
        <v>0</v>
      </c>
      <c r="AE253" s="88">
        <v>1</v>
      </c>
      <c r="AF253" s="88">
        <v>1.0089942603284909</v>
      </c>
      <c r="AG253" s="88">
        <v>1.0089942603284909</v>
      </c>
      <c r="AH253" s="88">
        <v>45000</v>
      </c>
      <c r="AI253" s="88">
        <v>45000</v>
      </c>
      <c r="AJ253" s="88">
        <v>40139.811269146609</v>
      </c>
      <c r="AK253" s="88">
        <v>45000</v>
      </c>
      <c r="AL253" s="88">
        <v>45403.800924217627</v>
      </c>
      <c r="AM253" s="88">
        <v>45000</v>
      </c>
      <c r="AN253" s="88">
        <v>27000</v>
      </c>
      <c r="AO253" s="88">
        <v>27242.280554530578</v>
      </c>
      <c r="AP253" s="88">
        <v>27040.369578150301</v>
      </c>
      <c r="AQ253" s="88">
        <v>0</v>
      </c>
      <c r="AR253" s="88">
        <v>45000</v>
      </c>
      <c r="AS253" s="88">
        <v>45067.282630250513</v>
      </c>
      <c r="AT253" s="88">
        <v>27242.280554530578</v>
      </c>
      <c r="AU253" s="88">
        <v>27040.369578150301</v>
      </c>
      <c r="AV253" s="88">
        <v>40500</v>
      </c>
      <c r="AW253" s="88">
        <v>40050</v>
      </c>
      <c r="AX253" s="88">
        <v>40500</v>
      </c>
      <c r="AY253" s="88">
        <v>45000</v>
      </c>
      <c r="AZ253" s="88">
        <v>45000</v>
      </c>
      <c r="BA253" s="88">
        <v>45000</v>
      </c>
      <c r="BB253" s="88">
        <v>45000</v>
      </c>
      <c r="BC253" s="88">
        <v>45000</v>
      </c>
      <c r="BD253" s="88">
        <v>45000</v>
      </c>
      <c r="BE253" s="88">
        <v>45000</v>
      </c>
      <c r="BF253" s="88">
        <v>45000</v>
      </c>
      <c r="BG253" s="88">
        <v>45000</v>
      </c>
      <c r="BH253" s="88">
        <v>45000</v>
      </c>
      <c r="BI253" s="88">
        <v>45000</v>
      </c>
      <c r="BJ253" s="88">
        <v>45000</v>
      </c>
      <c r="BK253" s="88">
        <v>406.40348381190353</v>
      </c>
      <c r="BL253" s="88">
        <v>406.1070589689719</v>
      </c>
      <c r="BM253" s="88">
        <v>405.81106622688537</v>
      </c>
      <c r="BN253" s="88">
        <v>405.50549314899428</v>
      </c>
      <c r="BO253" s="88">
        <v>405.200379913897</v>
      </c>
      <c r="BP253" s="88">
        <v>404.89572548439321</v>
      </c>
      <c r="BQ253" s="88">
        <v>404.59152882637022</v>
      </c>
      <c r="BR253" s="88">
        <v>404.28281336533541</v>
      </c>
      <c r="BS253" s="88">
        <v>403.97953662255628</v>
      </c>
      <c r="BT253" s="88">
        <v>403.67671455079801</v>
      </c>
      <c r="BU253" s="88">
        <v>403.37434612833789</v>
      </c>
      <c r="BV253" s="88">
        <v>403.07243033657068</v>
      </c>
      <c r="BW253" s="88">
        <v>0</v>
      </c>
      <c r="BX253" s="88">
        <v>0</v>
      </c>
      <c r="BY253" s="88">
        <v>0</v>
      </c>
      <c r="BZ253" s="88">
        <v>0</v>
      </c>
      <c r="CA253" s="88">
        <v>0</v>
      </c>
      <c r="CB253" s="88">
        <v>0</v>
      </c>
      <c r="CC253" s="88">
        <v>0</v>
      </c>
      <c r="CD253" s="88">
        <v>0</v>
      </c>
      <c r="CE253" s="88">
        <v>0</v>
      </c>
      <c r="CF253" s="88">
        <v>0</v>
      </c>
      <c r="CG253" s="88">
        <v>0</v>
      </c>
      <c r="CH253" s="88">
        <v>0</v>
      </c>
      <c r="CI253" s="88">
        <v>45000</v>
      </c>
      <c r="CJ253" s="88">
        <v>45000</v>
      </c>
      <c r="CK253" s="88">
        <v>45000</v>
      </c>
      <c r="CL253" s="88">
        <v>45000</v>
      </c>
      <c r="CM253" s="88">
        <v>45000</v>
      </c>
      <c r="CN253" s="88">
        <v>45000</v>
      </c>
      <c r="CO253" s="88">
        <v>45000</v>
      </c>
      <c r="CP253" s="88">
        <v>45000</v>
      </c>
      <c r="CQ253" s="88">
        <v>45000</v>
      </c>
      <c r="CR253" s="88">
        <v>45000</v>
      </c>
      <c r="CS253" s="88">
        <v>45000</v>
      </c>
      <c r="CT253" s="88">
        <v>45000</v>
      </c>
      <c r="CU253" s="88">
        <v>406.40348381190353</v>
      </c>
      <c r="CV253" s="88">
        <v>406.1070589689719</v>
      </c>
      <c r="CW253" s="88">
        <v>405.81106622688537</v>
      </c>
      <c r="CX253" s="88">
        <v>405.50549314899428</v>
      </c>
      <c r="CY253" s="88">
        <v>405.200379913897</v>
      </c>
      <c r="CZ253" s="88">
        <v>404.89572548439321</v>
      </c>
      <c r="DA253" s="88">
        <v>404.59152882637022</v>
      </c>
      <c r="DB253" s="88">
        <v>404.28281336533541</v>
      </c>
      <c r="DC253" s="88">
        <v>403.97953662255628</v>
      </c>
      <c r="DD253" s="88">
        <v>403.67671455079801</v>
      </c>
      <c r="DE253" s="88">
        <v>403.37434612833789</v>
      </c>
      <c r="DF253" s="88">
        <v>403.07243033657068</v>
      </c>
      <c r="DG253" s="93"/>
      <c r="DH253" s="91"/>
      <c r="DJ253" s="93"/>
      <c r="DK253" s="91"/>
      <c r="DM253" s="93"/>
      <c r="DN253" s="91"/>
      <c r="DP253" s="93"/>
      <c r="DQ253" s="91"/>
    </row>
    <row r="254" spans="1:121" x14ac:dyDescent="0.3">
      <c r="A254" t="s">
        <v>30</v>
      </c>
      <c r="B254" t="s">
        <v>42</v>
      </c>
      <c r="C254" t="s">
        <v>43</v>
      </c>
      <c r="D254" t="s">
        <v>299</v>
      </c>
      <c r="E254" t="s">
        <v>617</v>
      </c>
      <c r="F254" s="86">
        <v>9600</v>
      </c>
      <c r="G254" s="87">
        <v>12</v>
      </c>
      <c r="H254" s="88">
        <v>1.1024</v>
      </c>
      <c r="I254" s="88">
        <v>1.1101025</v>
      </c>
      <c r="J254" s="89">
        <v>0.8659874179431073</v>
      </c>
      <c r="K254" s="88">
        <v>0.99306145153262859</v>
      </c>
      <c r="L254" s="88">
        <v>0.98153851013092008</v>
      </c>
      <c r="M254" s="88">
        <v>1</v>
      </c>
      <c r="N254" s="90">
        <v>0.65</v>
      </c>
      <c r="O254" s="90">
        <v>0.63357323744376037</v>
      </c>
      <c r="P254" s="90">
        <v>0.59480029614224839</v>
      </c>
      <c r="Q254" s="91">
        <v>0</v>
      </c>
      <c r="R254" s="88">
        <v>0.95380029806259314</v>
      </c>
      <c r="S254" s="88">
        <v>0.95940143921021315</v>
      </c>
      <c r="T254" s="91">
        <v>6.9870283018869106E-3</v>
      </c>
      <c r="U254" s="91">
        <v>4.1162865591240383E-2</v>
      </c>
      <c r="V254" s="87">
        <v>0</v>
      </c>
      <c r="W254" s="91">
        <v>0</v>
      </c>
      <c r="X254" s="87">
        <v>1</v>
      </c>
      <c r="Y254" s="90">
        <v>0.63357323744376037</v>
      </c>
      <c r="Z254" s="90">
        <v>0.59480029614224839</v>
      </c>
      <c r="AA254" s="92">
        <v>0</v>
      </c>
      <c r="AB254" s="88">
        <v>0</v>
      </c>
      <c r="AC254" s="87">
        <v>2</v>
      </c>
      <c r="AD254" s="87">
        <v>1</v>
      </c>
      <c r="AE254" s="88">
        <v>1.0682499999999999</v>
      </c>
      <c r="AF254" s="88">
        <v>1.028058522028005</v>
      </c>
      <c r="AG254" s="88">
        <v>1.098225804678618</v>
      </c>
      <c r="AH254" s="88">
        <v>10583.04</v>
      </c>
      <c r="AI254" s="88">
        <v>10656.984</v>
      </c>
      <c r="AJ254" s="88">
        <v>8313.4792122538292</v>
      </c>
      <c r="AK254" s="88">
        <v>9533.3899347132337</v>
      </c>
      <c r="AL254" s="88">
        <v>9422.7696972568319</v>
      </c>
      <c r="AM254" s="88">
        <v>9600</v>
      </c>
      <c r="AN254" s="88">
        <v>6240</v>
      </c>
      <c r="AO254" s="88">
        <v>6082.3030794601</v>
      </c>
      <c r="AP254" s="88">
        <v>5710.0828429655849</v>
      </c>
      <c r="AQ254" s="88">
        <v>0</v>
      </c>
      <c r="AR254" s="88">
        <v>9156.4828614008948</v>
      </c>
      <c r="AS254" s="88">
        <v>9210.253816418046</v>
      </c>
      <c r="AT254" s="88">
        <v>6082.3030794601</v>
      </c>
      <c r="AU254" s="88">
        <v>5710.0828429655849</v>
      </c>
      <c r="AV254" s="88">
        <v>8160</v>
      </c>
      <c r="AW254" s="88">
        <v>8256</v>
      </c>
      <c r="AX254" s="88">
        <v>8544</v>
      </c>
      <c r="AY254" s="88">
        <v>9600</v>
      </c>
      <c r="AZ254" s="88">
        <v>9600</v>
      </c>
      <c r="BA254" s="88">
        <v>9600</v>
      </c>
      <c r="BB254" s="88">
        <v>9600</v>
      </c>
      <c r="BC254" s="88">
        <v>9600</v>
      </c>
      <c r="BD254" s="88">
        <v>9600</v>
      </c>
      <c r="BE254" s="88">
        <v>9600</v>
      </c>
      <c r="BF254" s="88">
        <v>9600</v>
      </c>
      <c r="BG254" s="88">
        <v>9600</v>
      </c>
      <c r="BH254" s="88">
        <v>9600</v>
      </c>
      <c r="BI254" s="88">
        <v>9600</v>
      </c>
      <c r="BJ254" s="88">
        <v>9600</v>
      </c>
      <c r="BK254" s="88">
        <v>865.19970412281714</v>
      </c>
      <c r="BL254" s="88">
        <v>864.53695168056367</v>
      </c>
      <c r="BM254" s="88">
        <v>863.877229922624</v>
      </c>
      <c r="BN254" s="88">
        <v>1386.3582246507549</v>
      </c>
      <c r="BO254" s="88">
        <v>1385.648712377377</v>
      </c>
      <c r="BP254" s="88">
        <v>1384.94253097663</v>
      </c>
      <c r="BQ254" s="88">
        <v>762.49024249792046</v>
      </c>
      <c r="BR254" s="88">
        <v>761.81945845195639</v>
      </c>
      <c r="BS254" s="88">
        <v>761.16259520595054</v>
      </c>
      <c r="BT254" s="88">
        <v>760.50878686608166</v>
      </c>
      <c r="BU254" s="88">
        <v>759.85801217038829</v>
      </c>
      <c r="BV254" s="88">
        <v>759.21025005375566</v>
      </c>
      <c r="BW254" s="88">
        <v>576.00000000000045</v>
      </c>
      <c r="BX254" s="88">
        <v>576.00000000000045</v>
      </c>
      <c r="BY254" s="88">
        <v>576.00000000000045</v>
      </c>
      <c r="BZ254" s="88">
        <v>1084.8</v>
      </c>
      <c r="CA254" s="88">
        <v>1084.8</v>
      </c>
      <c r="CB254" s="88">
        <v>1084.8</v>
      </c>
      <c r="CC254" s="88">
        <v>480.00000000000051</v>
      </c>
      <c r="CD254" s="88">
        <v>480.00000000000051</v>
      </c>
      <c r="CE254" s="88">
        <v>480.00000000000051</v>
      </c>
      <c r="CF254" s="88">
        <v>480.00000000000051</v>
      </c>
      <c r="CG254" s="88">
        <v>480.00000000000051</v>
      </c>
      <c r="CH254" s="88">
        <v>480.00000000000051</v>
      </c>
      <c r="CI254" s="88">
        <v>9600</v>
      </c>
      <c r="CJ254" s="88">
        <v>9600</v>
      </c>
      <c r="CK254" s="88">
        <v>9600</v>
      </c>
      <c r="CL254" s="88">
        <v>9600</v>
      </c>
      <c r="CM254" s="88">
        <v>9600</v>
      </c>
      <c r="CN254" s="88">
        <v>9600</v>
      </c>
      <c r="CO254" s="88">
        <v>9600</v>
      </c>
      <c r="CP254" s="88">
        <v>9600</v>
      </c>
      <c r="CQ254" s="88">
        <v>9600</v>
      </c>
      <c r="CR254" s="88">
        <v>9600</v>
      </c>
      <c r="CS254" s="88">
        <v>9600</v>
      </c>
      <c r="CT254" s="88">
        <v>9600</v>
      </c>
      <c r="CU254" s="88">
        <v>272.82990954982648</v>
      </c>
      <c r="CV254" s="88">
        <v>272.20467139675861</v>
      </c>
      <c r="CW254" s="88">
        <v>271.58229237983352</v>
      </c>
      <c r="CX254" s="88">
        <v>270.94180112376938</v>
      </c>
      <c r="CY254" s="88">
        <v>270.30432378919761</v>
      </c>
      <c r="CZ254" s="88">
        <v>269.66983915240797</v>
      </c>
      <c r="DA254" s="88">
        <v>269.03832618849538</v>
      </c>
      <c r="DB254" s="88">
        <v>268.39948423995708</v>
      </c>
      <c r="DC254" s="88">
        <v>267.77390019614268</v>
      </c>
      <c r="DD254" s="88">
        <v>267.15122558674341</v>
      </c>
      <c r="DE254" s="88">
        <v>266.53144016227373</v>
      </c>
      <c r="DF254" s="88">
        <v>265.91452386071882</v>
      </c>
      <c r="DG254" s="93">
        <v>45839</v>
      </c>
      <c r="DH254" s="91">
        <v>0.04</v>
      </c>
      <c r="DI254" t="s">
        <v>301</v>
      </c>
      <c r="DJ254" s="93">
        <v>46204</v>
      </c>
      <c r="DK254" s="91">
        <v>0.06</v>
      </c>
      <c r="DL254" t="s">
        <v>301</v>
      </c>
      <c r="DM254" s="93">
        <v>46478</v>
      </c>
      <c r="DN254" s="91">
        <v>0.05</v>
      </c>
      <c r="DO254" t="s">
        <v>302</v>
      </c>
      <c r="DP254" s="93"/>
      <c r="DQ254" s="91"/>
    </row>
    <row r="255" spans="1:121" x14ac:dyDescent="0.3">
      <c r="A255" t="s">
        <v>30</v>
      </c>
      <c r="B255" t="s">
        <v>42</v>
      </c>
      <c r="C255" t="s">
        <v>46</v>
      </c>
      <c r="D255" t="s">
        <v>303</v>
      </c>
      <c r="E255" t="s">
        <v>618</v>
      </c>
      <c r="F255" s="86">
        <v>25200</v>
      </c>
      <c r="G255" s="87">
        <v>12</v>
      </c>
      <c r="H255" s="88">
        <v>1.03</v>
      </c>
      <c r="I255" s="88">
        <v>1.0472055555555559</v>
      </c>
      <c r="J255" s="89">
        <v>0.99099790299051793</v>
      </c>
      <c r="K255" s="88">
        <v>0.98357003029225942</v>
      </c>
      <c r="L255" s="88">
        <v>1.009083870896514</v>
      </c>
      <c r="M255" s="88">
        <v>1</v>
      </c>
      <c r="N255" s="90">
        <v>0.55800000000000005</v>
      </c>
      <c r="O255" s="90">
        <v>0.55381759663353414</v>
      </c>
      <c r="P255" s="90">
        <v>0.53967104220539841</v>
      </c>
      <c r="Q255" s="91">
        <v>0</v>
      </c>
      <c r="R255" s="88">
        <v>0.96166688927474275</v>
      </c>
      <c r="S255" s="88">
        <v>1.005704174878489</v>
      </c>
      <c r="T255" s="91">
        <v>1.6704422869471269E-2</v>
      </c>
      <c r="U255" s="91">
        <v>2.277622455529826E-2</v>
      </c>
      <c r="V255" s="87">
        <v>0</v>
      </c>
      <c r="W255" s="91">
        <v>0</v>
      </c>
      <c r="X255" s="87">
        <v>1</v>
      </c>
      <c r="Y255" s="90">
        <v>0.55381759663353414</v>
      </c>
      <c r="Z255" s="90">
        <v>0.53967104220539841</v>
      </c>
      <c r="AA255" s="92">
        <v>0</v>
      </c>
      <c r="AB255" s="88">
        <v>0</v>
      </c>
      <c r="AC255" s="87">
        <v>1</v>
      </c>
      <c r="AD255" s="87">
        <v>1</v>
      </c>
      <c r="AE255" s="88">
        <v>1.039166666666667</v>
      </c>
      <c r="AF255" s="88">
        <v>1.004037852440528</v>
      </c>
      <c r="AG255" s="88">
        <v>1.04336266213396</v>
      </c>
      <c r="AH255" s="88">
        <v>25956</v>
      </c>
      <c r="AI255" s="88">
        <v>26389.58</v>
      </c>
      <c r="AJ255" s="88">
        <v>24973.14715536105</v>
      </c>
      <c r="AK255" s="88">
        <v>24785.96476336494</v>
      </c>
      <c r="AL255" s="88">
        <v>25428.913546592161</v>
      </c>
      <c r="AM255" s="88">
        <v>25200</v>
      </c>
      <c r="AN255" s="88">
        <v>14061.6</v>
      </c>
      <c r="AO255" s="88">
        <v>13956.20343516506</v>
      </c>
      <c r="AP255" s="88">
        <v>13599.71026357604</v>
      </c>
      <c r="AQ255" s="88">
        <v>0</v>
      </c>
      <c r="AR255" s="88">
        <v>24234.005609723521</v>
      </c>
      <c r="AS255" s="88">
        <v>25343.745206937929</v>
      </c>
      <c r="AT255" s="88">
        <v>13956.20343516506</v>
      </c>
      <c r="AU255" s="88">
        <v>13599.71026357604</v>
      </c>
      <c r="AV255" s="88">
        <v>25200</v>
      </c>
      <c r="AW255" s="88">
        <v>24948</v>
      </c>
      <c r="AX255" s="88">
        <v>25074</v>
      </c>
      <c r="AY255" s="88">
        <v>25200</v>
      </c>
      <c r="AZ255" s="88">
        <v>25200</v>
      </c>
      <c r="BA255" s="88">
        <v>25200</v>
      </c>
      <c r="BB255" s="88">
        <v>25200</v>
      </c>
      <c r="BC255" s="88">
        <v>25200</v>
      </c>
      <c r="BD255" s="88">
        <v>25200</v>
      </c>
      <c r="BE255" s="88">
        <v>25200</v>
      </c>
      <c r="BF255" s="88">
        <v>25200</v>
      </c>
      <c r="BG255" s="88">
        <v>25200</v>
      </c>
      <c r="BH255" s="88">
        <v>25200</v>
      </c>
      <c r="BI255" s="88">
        <v>25200</v>
      </c>
      <c r="BJ255" s="88">
        <v>25200</v>
      </c>
      <c r="BK255" s="88">
        <v>860.99941814393219</v>
      </c>
      <c r="BL255" s="88">
        <v>1113.9841786877589</v>
      </c>
      <c r="BM255" s="88">
        <v>1113.949550048457</v>
      </c>
      <c r="BN255" s="88">
        <v>1113.9137713412631</v>
      </c>
      <c r="BO255" s="88">
        <v>1113.8780167905379</v>
      </c>
      <c r="BP255" s="88">
        <v>1113.842286371832</v>
      </c>
      <c r="BQ255" s="88">
        <v>1113.8065800607251</v>
      </c>
      <c r="BR255" s="88">
        <v>1113.770313078769</v>
      </c>
      <c r="BS255" s="88">
        <v>1113.734655303909</v>
      </c>
      <c r="BT255" s="88">
        <v>1113.699021563179</v>
      </c>
      <c r="BU255" s="88">
        <v>1113.663411832277</v>
      </c>
      <c r="BV255" s="88">
        <v>1113.627826086959</v>
      </c>
      <c r="BW255" s="88">
        <v>756.00000000000068</v>
      </c>
      <c r="BX255" s="88">
        <v>1008.000000000001</v>
      </c>
      <c r="BY255" s="88">
        <v>1008.000000000001</v>
      </c>
      <c r="BZ255" s="88">
        <v>1008.000000000001</v>
      </c>
      <c r="CA255" s="88">
        <v>1008.000000000001</v>
      </c>
      <c r="CB255" s="88">
        <v>1008.000000000001</v>
      </c>
      <c r="CC255" s="88">
        <v>1008.000000000001</v>
      </c>
      <c r="CD255" s="88">
        <v>1008.000000000001</v>
      </c>
      <c r="CE255" s="88">
        <v>1008.000000000001</v>
      </c>
      <c r="CF255" s="88">
        <v>1008.000000000001</v>
      </c>
      <c r="CG255" s="88">
        <v>1008.000000000001</v>
      </c>
      <c r="CH255" s="88">
        <v>1008.000000000001</v>
      </c>
      <c r="CI255" s="88">
        <v>25200</v>
      </c>
      <c r="CJ255" s="88">
        <v>25200</v>
      </c>
      <c r="CK255" s="88">
        <v>25200</v>
      </c>
      <c r="CL255" s="88">
        <v>25200</v>
      </c>
      <c r="CM255" s="88">
        <v>25200</v>
      </c>
      <c r="CN255" s="88">
        <v>25200</v>
      </c>
      <c r="CO255" s="88">
        <v>25200</v>
      </c>
      <c r="CP255" s="88">
        <v>25200</v>
      </c>
      <c r="CQ255" s="88">
        <v>25200</v>
      </c>
      <c r="CR255" s="88">
        <v>25200</v>
      </c>
      <c r="CS255" s="88">
        <v>25200</v>
      </c>
      <c r="CT255" s="88">
        <v>25200</v>
      </c>
      <c r="CU255" s="88">
        <v>101.9411826640127</v>
      </c>
      <c r="CV255" s="88">
        <v>101.90786412284579</v>
      </c>
      <c r="CW255" s="88">
        <v>101.8745673542827</v>
      </c>
      <c r="CX255" s="88">
        <v>101.84016475121081</v>
      </c>
      <c r="CY255" s="88">
        <v>101.8057853755173</v>
      </c>
      <c r="CZ255" s="88">
        <v>101.77142920368421</v>
      </c>
      <c r="DA255" s="88">
        <v>101.7370962122328</v>
      </c>
      <c r="DB255" s="88">
        <v>101.702224114198</v>
      </c>
      <c r="DC255" s="88">
        <v>101.6679377922205</v>
      </c>
      <c r="DD255" s="88">
        <v>101.633674579981</v>
      </c>
      <c r="DE255" s="88">
        <v>101.5994344541128</v>
      </c>
      <c r="DF255" s="88">
        <v>101.5652173913049</v>
      </c>
      <c r="DG255" s="93">
        <v>46054</v>
      </c>
      <c r="DH255" s="91">
        <v>0.03</v>
      </c>
      <c r="DI255" t="s">
        <v>301</v>
      </c>
      <c r="DJ255" s="93">
        <v>46419</v>
      </c>
      <c r="DK255" s="91">
        <v>0.04</v>
      </c>
      <c r="DL255" t="s">
        <v>302</v>
      </c>
      <c r="DM255" s="93"/>
      <c r="DN255" s="91"/>
      <c r="DP255" s="93"/>
      <c r="DQ255" s="91"/>
    </row>
    <row r="256" spans="1:121" x14ac:dyDescent="0.3">
      <c r="A256" t="s">
        <v>30</v>
      </c>
      <c r="B256" t="s">
        <v>42</v>
      </c>
      <c r="C256" t="s">
        <v>48</v>
      </c>
      <c r="D256" t="s">
        <v>305</v>
      </c>
      <c r="E256" t="s">
        <v>619</v>
      </c>
      <c r="F256" s="86">
        <v>20400</v>
      </c>
      <c r="G256" s="87">
        <v>12</v>
      </c>
      <c r="H256" s="88">
        <v>1</v>
      </c>
      <c r="I256" s="88">
        <v>1</v>
      </c>
      <c r="J256" s="89">
        <v>0.99399161196207142</v>
      </c>
      <c r="K256" s="88">
        <v>1</v>
      </c>
      <c r="L256" s="88">
        <v>1.006044706983058</v>
      </c>
      <c r="M256" s="88">
        <v>1</v>
      </c>
      <c r="N256" s="90">
        <v>0.54200000000000004</v>
      </c>
      <c r="O256" s="90">
        <v>0.54527623118481772</v>
      </c>
      <c r="P256" s="90">
        <v>0.53806528314891555</v>
      </c>
      <c r="Q256" s="91">
        <v>0</v>
      </c>
      <c r="R256" s="88">
        <v>1</v>
      </c>
      <c r="S256" s="88">
        <v>0.9927403748134972</v>
      </c>
      <c r="T256" s="91">
        <v>0</v>
      </c>
      <c r="U256" s="91">
        <v>0</v>
      </c>
      <c r="V256" s="87">
        <v>0</v>
      </c>
      <c r="W256" s="91">
        <v>0</v>
      </c>
      <c r="X256" s="87">
        <v>1</v>
      </c>
      <c r="Y256" s="90">
        <v>0.54527623118481772</v>
      </c>
      <c r="Z256" s="90">
        <v>0.53806528314891555</v>
      </c>
      <c r="AA256" s="92">
        <v>0</v>
      </c>
      <c r="AB256" s="88">
        <v>0</v>
      </c>
      <c r="AC256" s="87">
        <v>0</v>
      </c>
      <c r="AD256" s="87">
        <v>0</v>
      </c>
      <c r="AE256" s="88">
        <v>1</v>
      </c>
      <c r="AF256" s="88">
        <v>1.016200824295963</v>
      </c>
      <c r="AG256" s="88">
        <v>1.016200824295963</v>
      </c>
      <c r="AH256" s="88">
        <v>20400</v>
      </c>
      <c r="AI256" s="88">
        <v>20400</v>
      </c>
      <c r="AJ256" s="88">
        <v>20277.42888402626</v>
      </c>
      <c r="AK256" s="88">
        <v>20400</v>
      </c>
      <c r="AL256" s="88">
        <v>20523.312022454389</v>
      </c>
      <c r="AM256" s="88">
        <v>20400</v>
      </c>
      <c r="AN256" s="88">
        <v>11056.8</v>
      </c>
      <c r="AO256" s="88">
        <v>11123.635116170281</v>
      </c>
      <c r="AP256" s="88">
        <v>10976.53177623788</v>
      </c>
      <c r="AQ256" s="88">
        <v>0</v>
      </c>
      <c r="AR256" s="88">
        <v>20400</v>
      </c>
      <c r="AS256" s="88">
        <v>20251.90364619534</v>
      </c>
      <c r="AT256" s="88">
        <v>11123.635116170281</v>
      </c>
      <c r="AU256" s="88">
        <v>10976.53177623788</v>
      </c>
      <c r="AV256" s="88">
        <v>20400</v>
      </c>
      <c r="AW256" s="88">
        <v>20196</v>
      </c>
      <c r="AX256" s="88">
        <v>20604</v>
      </c>
      <c r="AY256" s="88">
        <v>20400</v>
      </c>
      <c r="AZ256" s="88">
        <v>20400</v>
      </c>
      <c r="BA256" s="88">
        <v>20400</v>
      </c>
      <c r="BB256" s="88">
        <v>20400</v>
      </c>
      <c r="BC256" s="88">
        <v>20400</v>
      </c>
      <c r="BD256" s="88">
        <v>20400</v>
      </c>
      <c r="BE256" s="88">
        <v>20400</v>
      </c>
      <c r="BF256" s="88">
        <v>20400</v>
      </c>
      <c r="BG256" s="88">
        <v>20400</v>
      </c>
      <c r="BH256" s="88">
        <v>20400</v>
      </c>
      <c r="BI256" s="88">
        <v>20400</v>
      </c>
      <c r="BJ256" s="88">
        <v>20400</v>
      </c>
      <c r="BK256" s="88">
        <v>332.94580575925858</v>
      </c>
      <c r="BL256" s="88">
        <v>332.5072007502169</v>
      </c>
      <c r="BM256" s="88">
        <v>332.06974981046392</v>
      </c>
      <c r="BN256" s="88">
        <v>331.61867860244467</v>
      </c>
      <c r="BO256" s="88">
        <v>331.16883116883412</v>
      </c>
      <c r="BP256" s="88">
        <v>330.72020253614181</v>
      </c>
      <c r="BQ256" s="88">
        <v>330.27278775782042</v>
      </c>
      <c r="BR256" s="88">
        <v>329.81927710843581</v>
      </c>
      <c r="BS256" s="88">
        <v>329.37429500364931</v>
      </c>
      <c r="BT256" s="88">
        <v>328.93051199364038</v>
      </c>
      <c r="BU256" s="88">
        <v>328.487923238115</v>
      </c>
      <c r="BV256" s="88">
        <v>328.04652392281139</v>
      </c>
      <c r="BW256" s="88">
        <v>0</v>
      </c>
      <c r="BX256" s="88">
        <v>0</v>
      </c>
      <c r="BY256" s="88">
        <v>0</v>
      </c>
      <c r="BZ256" s="88">
        <v>0</v>
      </c>
      <c r="CA256" s="88">
        <v>0</v>
      </c>
      <c r="CB256" s="88">
        <v>0</v>
      </c>
      <c r="CC256" s="88">
        <v>0</v>
      </c>
      <c r="CD256" s="88">
        <v>0</v>
      </c>
      <c r="CE256" s="88">
        <v>0</v>
      </c>
      <c r="CF256" s="88">
        <v>0</v>
      </c>
      <c r="CG256" s="88">
        <v>0</v>
      </c>
      <c r="CH256" s="88">
        <v>0</v>
      </c>
      <c r="CI256" s="88">
        <v>20400</v>
      </c>
      <c r="CJ256" s="88">
        <v>20400</v>
      </c>
      <c r="CK256" s="88">
        <v>20400</v>
      </c>
      <c r="CL256" s="88">
        <v>20400</v>
      </c>
      <c r="CM256" s="88">
        <v>20400</v>
      </c>
      <c r="CN256" s="88">
        <v>20400</v>
      </c>
      <c r="CO256" s="88">
        <v>20400</v>
      </c>
      <c r="CP256" s="88">
        <v>20400</v>
      </c>
      <c r="CQ256" s="88">
        <v>20400</v>
      </c>
      <c r="CR256" s="88">
        <v>20400</v>
      </c>
      <c r="CS256" s="88">
        <v>20400</v>
      </c>
      <c r="CT256" s="88">
        <v>20400</v>
      </c>
      <c r="CU256" s="88">
        <v>332.94580575925858</v>
      </c>
      <c r="CV256" s="88">
        <v>332.5072007502169</v>
      </c>
      <c r="CW256" s="88">
        <v>332.06974981046392</v>
      </c>
      <c r="CX256" s="88">
        <v>331.61867860244467</v>
      </c>
      <c r="CY256" s="88">
        <v>331.16883116883412</v>
      </c>
      <c r="CZ256" s="88">
        <v>330.72020253614181</v>
      </c>
      <c r="DA256" s="88">
        <v>330.27278775782042</v>
      </c>
      <c r="DB256" s="88">
        <v>329.81927710843581</v>
      </c>
      <c r="DC256" s="88">
        <v>329.37429500364931</v>
      </c>
      <c r="DD256" s="88">
        <v>328.93051199364038</v>
      </c>
      <c r="DE256" s="88">
        <v>328.487923238115</v>
      </c>
      <c r="DF256" s="88">
        <v>328.04652392281139</v>
      </c>
      <c r="DG256" s="93"/>
      <c r="DH256" s="91"/>
      <c r="DJ256" s="93"/>
      <c r="DK256" s="91"/>
      <c r="DM256" s="93"/>
      <c r="DN256" s="91"/>
      <c r="DP256" s="93"/>
      <c r="DQ256" s="91"/>
    </row>
    <row r="257" spans="1:121" x14ac:dyDescent="0.3">
      <c r="A257" t="s">
        <v>30</v>
      </c>
      <c r="B257" t="s">
        <v>42</v>
      </c>
      <c r="C257" t="s">
        <v>50</v>
      </c>
      <c r="D257" t="s">
        <v>307</v>
      </c>
      <c r="E257" t="s">
        <v>620</v>
      </c>
      <c r="F257" s="86">
        <v>15600</v>
      </c>
      <c r="G257" s="87">
        <v>12</v>
      </c>
      <c r="H257" s="88">
        <v>1.05</v>
      </c>
      <c r="I257" s="88">
        <v>1.0484374999999999</v>
      </c>
      <c r="J257" s="89">
        <v>1</v>
      </c>
      <c r="K257" s="88">
        <v>1.0014903129657231</v>
      </c>
      <c r="L257" s="88">
        <v>1</v>
      </c>
      <c r="M257" s="88">
        <v>1</v>
      </c>
      <c r="N257" s="90">
        <v>0.56999999999999995</v>
      </c>
      <c r="O257" s="90">
        <v>0.57084947839046196</v>
      </c>
      <c r="P257" s="90">
        <v>0.56999999999999995</v>
      </c>
      <c r="Q257" s="91">
        <v>0</v>
      </c>
      <c r="R257" s="88">
        <v>1</v>
      </c>
      <c r="S257" s="88">
        <v>1</v>
      </c>
      <c r="T257" s="91">
        <v>-1.488095238095344E-3</v>
      </c>
      <c r="U257" s="91">
        <v>1.490312965722884E-3</v>
      </c>
      <c r="V257" s="87">
        <v>0</v>
      </c>
      <c r="W257" s="91">
        <v>0</v>
      </c>
      <c r="X257" s="87">
        <v>0</v>
      </c>
      <c r="Y257" s="90">
        <v>0.57084947839046196</v>
      </c>
      <c r="Z257" s="90">
        <v>0.56999999999999995</v>
      </c>
      <c r="AA257" s="92">
        <v>0</v>
      </c>
      <c r="AB257" s="88">
        <v>0</v>
      </c>
      <c r="AC257" s="87">
        <v>1</v>
      </c>
      <c r="AD257" s="87">
        <v>0</v>
      </c>
      <c r="AE257" s="88">
        <v>1.0125</v>
      </c>
      <c r="AF257" s="88">
        <v>1</v>
      </c>
      <c r="AG257" s="88">
        <v>1.0125</v>
      </c>
      <c r="AH257" s="88">
        <v>16380</v>
      </c>
      <c r="AI257" s="88">
        <v>16355.625</v>
      </c>
      <c r="AJ257" s="88">
        <v>15600</v>
      </c>
      <c r="AK257" s="88">
        <v>15623.248882265279</v>
      </c>
      <c r="AL257" s="88">
        <v>15600</v>
      </c>
      <c r="AM257" s="88">
        <v>15600</v>
      </c>
      <c r="AN257" s="88">
        <v>8892</v>
      </c>
      <c r="AO257" s="88">
        <v>8905.2518628912057</v>
      </c>
      <c r="AP257" s="88">
        <v>8892</v>
      </c>
      <c r="AQ257" s="88">
        <v>0</v>
      </c>
      <c r="AR257" s="88">
        <v>15600</v>
      </c>
      <c r="AS257" s="88">
        <v>15600</v>
      </c>
      <c r="AT257" s="88">
        <v>8905.2518628912057</v>
      </c>
      <c r="AU257" s="88">
        <v>8892</v>
      </c>
      <c r="AV257" s="88">
        <v>15600</v>
      </c>
      <c r="AW257" s="88">
        <v>15600</v>
      </c>
      <c r="AX257" s="88">
        <v>15600</v>
      </c>
      <c r="AY257" s="88">
        <v>15600</v>
      </c>
      <c r="AZ257" s="88">
        <v>15600</v>
      </c>
      <c r="BA257" s="88">
        <v>15600</v>
      </c>
      <c r="BB257" s="88">
        <v>15600</v>
      </c>
      <c r="BC257" s="88">
        <v>15600</v>
      </c>
      <c r="BD257" s="88">
        <v>15600</v>
      </c>
      <c r="BE257" s="88">
        <v>15600</v>
      </c>
      <c r="BF257" s="88">
        <v>15600</v>
      </c>
      <c r="BG257" s="88">
        <v>15600</v>
      </c>
      <c r="BH257" s="88">
        <v>15600</v>
      </c>
      <c r="BI257" s="88">
        <v>15600</v>
      </c>
      <c r="BJ257" s="88">
        <v>15600</v>
      </c>
      <c r="BK257" s="88">
        <v>780.00000000000068</v>
      </c>
      <c r="BL257" s="88">
        <v>780.00000000000068</v>
      </c>
      <c r="BM257" s="88">
        <v>780.00000000000068</v>
      </c>
      <c r="BN257" s="88">
        <v>0</v>
      </c>
      <c r="BO257" s="88">
        <v>0</v>
      </c>
      <c r="BP257" s="88">
        <v>0</v>
      </c>
      <c r="BQ257" s="88">
        <v>0</v>
      </c>
      <c r="BR257" s="88">
        <v>0</v>
      </c>
      <c r="BS257" s="88">
        <v>0</v>
      </c>
      <c r="BT257" s="88">
        <v>0</v>
      </c>
      <c r="BU257" s="88">
        <v>0</v>
      </c>
      <c r="BV257" s="88">
        <v>0</v>
      </c>
      <c r="BW257" s="88">
        <v>780.00000000000068</v>
      </c>
      <c r="BX257" s="88">
        <v>780.00000000000068</v>
      </c>
      <c r="BY257" s="88">
        <v>780.00000000000068</v>
      </c>
      <c r="BZ257" s="88">
        <v>0</v>
      </c>
      <c r="CA257" s="88">
        <v>0</v>
      </c>
      <c r="CB257" s="88">
        <v>0</v>
      </c>
      <c r="CC257" s="88">
        <v>0</v>
      </c>
      <c r="CD257" s="88">
        <v>0</v>
      </c>
      <c r="CE257" s="88">
        <v>0</v>
      </c>
      <c r="CF257" s="88">
        <v>0</v>
      </c>
      <c r="CG257" s="88">
        <v>0</v>
      </c>
      <c r="CH257" s="88">
        <v>0</v>
      </c>
      <c r="CI257" s="88">
        <v>0</v>
      </c>
      <c r="CJ257" s="88">
        <v>0</v>
      </c>
      <c r="CK257" s="88">
        <v>0</v>
      </c>
      <c r="CL257" s="88">
        <v>0</v>
      </c>
      <c r="CM257" s="88">
        <v>0</v>
      </c>
      <c r="CN257" s="88">
        <v>0</v>
      </c>
      <c r="CO257" s="88">
        <v>0</v>
      </c>
      <c r="CP257" s="88">
        <v>0</v>
      </c>
      <c r="CQ257" s="88">
        <v>0</v>
      </c>
      <c r="CR257" s="88">
        <v>0</v>
      </c>
      <c r="CS257" s="88">
        <v>0</v>
      </c>
      <c r="CT257" s="88">
        <v>0</v>
      </c>
      <c r="CU257" s="88">
        <v>0</v>
      </c>
      <c r="CV257" s="88">
        <v>0</v>
      </c>
      <c r="CW257" s="88">
        <v>0</v>
      </c>
      <c r="CX257" s="88">
        <v>0</v>
      </c>
      <c r="CY257" s="88">
        <v>0</v>
      </c>
      <c r="CZ257" s="88">
        <v>0</v>
      </c>
      <c r="DA257" s="88">
        <v>0</v>
      </c>
      <c r="DB257" s="88">
        <v>0</v>
      </c>
      <c r="DC257" s="88">
        <v>0</v>
      </c>
      <c r="DD257" s="88">
        <v>0</v>
      </c>
      <c r="DE257" s="88">
        <v>0</v>
      </c>
      <c r="DF257" s="88">
        <v>0</v>
      </c>
      <c r="DG257" s="93">
        <v>46113</v>
      </c>
      <c r="DH257" s="91">
        <v>0.05</v>
      </c>
      <c r="DI257" t="s">
        <v>301</v>
      </c>
      <c r="DJ257" s="93"/>
      <c r="DK257" s="91"/>
      <c r="DM257" s="93"/>
      <c r="DN257" s="91"/>
      <c r="DP257" s="93"/>
      <c r="DQ257" s="91"/>
    </row>
    <row r="258" spans="1:121" x14ac:dyDescent="0.3">
      <c r="A258" t="s">
        <v>30</v>
      </c>
      <c r="B258" t="s">
        <v>42</v>
      </c>
      <c r="C258" t="s">
        <v>57</v>
      </c>
      <c r="D258" t="s">
        <v>309</v>
      </c>
      <c r="E258" t="s">
        <v>621</v>
      </c>
      <c r="F258" s="86">
        <v>10800</v>
      </c>
      <c r="G258" s="87">
        <v>12</v>
      </c>
      <c r="H258" s="88">
        <v>1.06</v>
      </c>
      <c r="I258" s="88">
        <v>1.0566666666666671</v>
      </c>
      <c r="J258" s="89">
        <v>0.99299370897155337</v>
      </c>
      <c r="K258" s="88">
        <v>1.0031545741324921</v>
      </c>
      <c r="L258" s="88">
        <v>1.007055725494679</v>
      </c>
      <c r="M258" s="88">
        <v>1</v>
      </c>
      <c r="N258" s="90">
        <v>0.55400000000000005</v>
      </c>
      <c r="O258" s="90">
        <v>0.55966883681971169</v>
      </c>
      <c r="P258" s="90">
        <v>0.55235148789782518</v>
      </c>
      <c r="Q258" s="91">
        <v>0</v>
      </c>
      <c r="R258" s="88">
        <v>0.99999999999999978</v>
      </c>
      <c r="S258" s="88">
        <v>0.99702434638596604</v>
      </c>
      <c r="T258" s="91">
        <v>-3.1446540880502032E-3</v>
      </c>
      <c r="U258" s="91">
        <v>3.154574132492094E-3</v>
      </c>
      <c r="V258" s="87">
        <v>0</v>
      </c>
      <c r="W258" s="91">
        <v>0</v>
      </c>
      <c r="X258" s="87">
        <v>1</v>
      </c>
      <c r="Y258" s="90">
        <v>0.55966883681971169</v>
      </c>
      <c r="Z258" s="90">
        <v>0.55235148789782518</v>
      </c>
      <c r="AA258" s="92">
        <v>0</v>
      </c>
      <c r="AB258" s="88">
        <v>0</v>
      </c>
      <c r="AC258" s="87">
        <v>1</v>
      </c>
      <c r="AD258" s="87">
        <v>0</v>
      </c>
      <c r="AE258" s="88">
        <v>1.02</v>
      </c>
      <c r="AF258" s="88">
        <v>1.012138206284618</v>
      </c>
      <c r="AG258" s="88">
        <v>1.032381954290724</v>
      </c>
      <c r="AH258" s="88">
        <v>11448</v>
      </c>
      <c r="AI258" s="88">
        <v>11412</v>
      </c>
      <c r="AJ258" s="88">
        <v>10724.332056892779</v>
      </c>
      <c r="AK258" s="88">
        <v>10834.06940063091</v>
      </c>
      <c r="AL258" s="88">
        <v>10876.201835342539</v>
      </c>
      <c r="AM258" s="88">
        <v>10800</v>
      </c>
      <c r="AN258" s="88">
        <v>5983.2000000000007</v>
      </c>
      <c r="AO258" s="88">
        <v>6044.4234376528866</v>
      </c>
      <c r="AP258" s="88">
        <v>5965.396069296512</v>
      </c>
      <c r="AQ258" s="88">
        <v>0</v>
      </c>
      <c r="AR258" s="88">
        <v>10800</v>
      </c>
      <c r="AS258" s="88">
        <v>10767.862940968431</v>
      </c>
      <c r="AT258" s="88">
        <v>6044.4234376528866</v>
      </c>
      <c r="AU258" s="88">
        <v>5965.396069296512</v>
      </c>
      <c r="AV258" s="88">
        <v>10800</v>
      </c>
      <c r="AW258" s="88">
        <v>10692</v>
      </c>
      <c r="AX258" s="88">
        <v>10854</v>
      </c>
      <c r="AY258" s="88">
        <v>10800</v>
      </c>
      <c r="AZ258" s="88">
        <v>10800</v>
      </c>
      <c r="BA258" s="88">
        <v>10800</v>
      </c>
      <c r="BB258" s="88">
        <v>10800</v>
      </c>
      <c r="BC258" s="88">
        <v>10800</v>
      </c>
      <c r="BD258" s="88">
        <v>10800</v>
      </c>
      <c r="BE258" s="88">
        <v>10800</v>
      </c>
      <c r="BF258" s="88">
        <v>10800</v>
      </c>
      <c r="BG258" s="88">
        <v>10800</v>
      </c>
      <c r="BH258" s="88">
        <v>10800</v>
      </c>
      <c r="BI258" s="88">
        <v>10800</v>
      </c>
      <c r="BJ258" s="88">
        <v>10800</v>
      </c>
      <c r="BK258" s="88">
        <v>787.72880335735658</v>
      </c>
      <c r="BL258" s="88">
        <v>787.59110042092698</v>
      </c>
      <c r="BM258" s="88">
        <v>787.45366863016488</v>
      </c>
      <c r="BN258" s="88">
        <v>787.31186237247255</v>
      </c>
      <c r="BO258" s="88">
        <v>131.29277756498919</v>
      </c>
      <c r="BP258" s="88">
        <v>131.15954084179009</v>
      </c>
      <c r="BQ258" s="88">
        <v>131.0265742633471</v>
      </c>
      <c r="BR258" s="88">
        <v>130.89170388325269</v>
      </c>
      <c r="BS258" s="88">
        <v>130.7592795303006</v>
      </c>
      <c r="BT258" s="88">
        <v>130.62712285643309</v>
      </c>
      <c r="BU258" s="88">
        <v>130.49523305084659</v>
      </c>
      <c r="BV258" s="88">
        <v>130.36360930601839</v>
      </c>
      <c r="BW258" s="88">
        <v>648.00000000000057</v>
      </c>
      <c r="BX258" s="88">
        <v>648.00000000000057</v>
      </c>
      <c r="BY258" s="88">
        <v>648.00000000000057</v>
      </c>
      <c r="BZ258" s="88">
        <v>648.00000000000057</v>
      </c>
      <c r="CA258" s="88">
        <v>0</v>
      </c>
      <c r="CB258" s="88">
        <v>0</v>
      </c>
      <c r="CC258" s="88">
        <v>0</v>
      </c>
      <c r="CD258" s="88">
        <v>0</v>
      </c>
      <c r="CE258" s="88">
        <v>0</v>
      </c>
      <c r="CF258" s="88">
        <v>0</v>
      </c>
      <c r="CG258" s="88">
        <v>0</v>
      </c>
      <c r="CH258" s="88">
        <v>0</v>
      </c>
      <c r="CI258" s="88">
        <v>10800</v>
      </c>
      <c r="CJ258" s="88">
        <v>10800</v>
      </c>
      <c r="CK258" s="88">
        <v>10800</v>
      </c>
      <c r="CL258" s="88">
        <v>10800</v>
      </c>
      <c r="CM258" s="88">
        <v>10800</v>
      </c>
      <c r="CN258" s="88">
        <v>10800</v>
      </c>
      <c r="CO258" s="88">
        <v>10800</v>
      </c>
      <c r="CP258" s="88">
        <v>10800</v>
      </c>
      <c r="CQ258" s="88">
        <v>10800</v>
      </c>
      <c r="CR258" s="88">
        <v>10800</v>
      </c>
      <c r="CS258" s="88">
        <v>10800</v>
      </c>
      <c r="CT258" s="88">
        <v>10800</v>
      </c>
      <c r="CU258" s="88">
        <v>131.81962580882541</v>
      </c>
      <c r="CV258" s="88">
        <v>131.68971737823259</v>
      </c>
      <c r="CW258" s="88">
        <v>131.56006474543801</v>
      </c>
      <c r="CX258" s="88">
        <v>131.4262852570501</v>
      </c>
      <c r="CY258" s="88">
        <v>131.29277756498919</v>
      </c>
      <c r="CZ258" s="88">
        <v>131.15954084179009</v>
      </c>
      <c r="DA258" s="88">
        <v>131.0265742633471</v>
      </c>
      <c r="DB258" s="88">
        <v>130.89170388325269</v>
      </c>
      <c r="DC258" s="88">
        <v>130.7592795303006</v>
      </c>
      <c r="DD258" s="88">
        <v>130.62712285643309</v>
      </c>
      <c r="DE258" s="88">
        <v>130.49523305084659</v>
      </c>
      <c r="DF258" s="88">
        <v>130.36360930601839</v>
      </c>
      <c r="DG258" s="93">
        <v>46143</v>
      </c>
      <c r="DH258" s="91">
        <v>0.06</v>
      </c>
      <c r="DI258" t="s">
        <v>301</v>
      </c>
      <c r="DJ258" s="93"/>
      <c r="DK258" s="91"/>
      <c r="DM258" s="93"/>
      <c r="DN258" s="91"/>
      <c r="DP258" s="93"/>
      <c r="DQ258" s="91"/>
    </row>
    <row r="259" spans="1:121" x14ac:dyDescent="0.3">
      <c r="A259" t="s">
        <v>30</v>
      </c>
      <c r="B259" t="s">
        <v>42</v>
      </c>
      <c r="C259" t="s">
        <v>58</v>
      </c>
      <c r="D259" t="s">
        <v>311</v>
      </c>
      <c r="E259" t="s">
        <v>622</v>
      </c>
      <c r="F259" s="86">
        <v>26400</v>
      </c>
      <c r="G259" s="87">
        <v>12</v>
      </c>
      <c r="H259" s="88">
        <v>1.0449999999999999</v>
      </c>
      <c r="I259" s="88">
        <v>1.0482055555555549</v>
      </c>
      <c r="J259" s="89">
        <v>0.98800949758575374</v>
      </c>
      <c r="K259" s="88">
        <v>0.99694186360817705</v>
      </c>
      <c r="L259" s="88">
        <v>1.012136019383969</v>
      </c>
      <c r="M259" s="88">
        <v>1</v>
      </c>
      <c r="N259" s="90">
        <v>0.53800000000000003</v>
      </c>
      <c r="O259" s="90">
        <v>0.54286393393161347</v>
      </c>
      <c r="P259" s="90">
        <v>0.52614081390593737</v>
      </c>
      <c r="Q259" s="91">
        <v>0</v>
      </c>
      <c r="R259" s="88">
        <v>0.96475948010183565</v>
      </c>
      <c r="S259" s="88">
        <v>1.013679495606157</v>
      </c>
      <c r="T259" s="91">
        <v>3.0675172780434412E-3</v>
      </c>
      <c r="U259" s="91">
        <v>3.3357934459420369E-2</v>
      </c>
      <c r="V259" s="87">
        <v>0</v>
      </c>
      <c r="W259" s="91">
        <v>0</v>
      </c>
      <c r="X259" s="87">
        <v>1</v>
      </c>
      <c r="Y259" s="90">
        <v>0.54286393393161347</v>
      </c>
      <c r="Z259" s="90">
        <v>0.52614081390593737</v>
      </c>
      <c r="AA259" s="92">
        <v>0</v>
      </c>
      <c r="AB259" s="88">
        <v>0</v>
      </c>
      <c r="AC259" s="87">
        <v>1</v>
      </c>
      <c r="AD259" s="87">
        <v>1</v>
      </c>
      <c r="AE259" s="88">
        <v>1.042083333333333</v>
      </c>
      <c r="AF259" s="88">
        <v>0.99995498919404235</v>
      </c>
      <c r="AG259" s="88">
        <v>1.042044130294022</v>
      </c>
      <c r="AH259" s="88">
        <v>27588</v>
      </c>
      <c r="AI259" s="88">
        <v>27672.62666666666</v>
      </c>
      <c r="AJ259" s="88">
        <v>26083.450736263901</v>
      </c>
      <c r="AK259" s="88">
        <v>26319.265199255871</v>
      </c>
      <c r="AL259" s="88">
        <v>26720.39091173678</v>
      </c>
      <c r="AM259" s="88">
        <v>26400</v>
      </c>
      <c r="AN259" s="88">
        <v>14203.2</v>
      </c>
      <c r="AO259" s="88">
        <v>14331.607855794589</v>
      </c>
      <c r="AP259" s="88">
        <v>13890.11748711675</v>
      </c>
      <c r="AQ259" s="88">
        <v>0</v>
      </c>
      <c r="AR259" s="88">
        <v>25469.650274688462</v>
      </c>
      <c r="AS259" s="88">
        <v>26761.138684002552</v>
      </c>
      <c r="AT259" s="88">
        <v>14331.607855794589</v>
      </c>
      <c r="AU259" s="88">
        <v>13890.11748711675</v>
      </c>
      <c r="AV259" s="88">
        <v>26400</v>
      </c>
      <c r="AW259" s="88">
        <v>26136</v>
      </c>
      <c r="AX259" s="88">
        <v>26004</v>
      </c>
      <c r="AY259" s="88">
        <v>26400</v>
      </c>
      <c r="AZ259" s="88">
        <v>26400</v>
      </c>
      <c r="BA259" s="88">
        <v>26400</v>
      </c>
      <c r="BB259" s="88">
        <v>26400</v>
      </c>
      <c r="BC259" s="88">
        <v>26400</v>
      </c>
      <c r="BD259" s="88">
        <v>26400</v>
      </c>
      <c r="BE259" s="88">
        <v>26400</v>
      </c>
      <c r="BF259" s="88">
        <v>26400</v>
      </c>
      <c r="BG259" s="88">
        <v>26400</v>
      </c>
      <c r="BH259" s="88">
        <v>26400</v>
      </c>
      <c r="BI259" s="88">
        <v>26400</v>
      </c>
      <c r="BJ259" s="88">
        <v>26400</v>
      </c>
      <c r="BK259" s="88">
        <v>1352.9940172971831</v>
      </c>
      <c r="BL259" s="88">
        <v>1321.1418026839151</v>
      </c>
      <c r="BM259" s="88">
        <v>1289.3418825529241</v>
      </c>
      <c r="BN259" s="88">
        <v>1256.5188457763909</v>
      </c>
      <c r="BO259" s="88">
        <v>1223.7514296747149</v>
      </c>
      <c r="BP259" s="88">
        <v>1059.024949959904</v>
      </c>
      <c r="BQ259" s="88">
        <v>1026.52460357317</v>
      </c>
      <c r="BR259" s="88">
        <v>993.54775628776088</v>
      </c>
      <c r="BS259" s="88">
        <v>961.15803630494861</v>
      </c>
      <c r="BT259" s="88">
        <v>945.22974892368006</v>
      </c>
      <c r="BU259" s="88">
        <v>945.19239274657048</v>
      </c>
      <c r="BV259" s="88">
        <v>945.15501136495641</v>
      </c>
      <c r="BW259" s="88">
        <v>1187.999999999998</v>
      </c>
      <c r="BX259" s="88">
        <v>1187.999999999998</v>
      </c>
      <c r="BY259" s="88">
        <v>1187.999999999998</v>
      </c>
      <c r="BZ259" s="88">
        <v>1187.999999999998</v>
      </c>
      <c r="CA259" s="88">
        <v>1187.999999999998</v>
      </c>
      <c r="CB259" s="88">
        <v>1056.0000000000009</v>
      </c>
      <c r="CC259" s="88">
        <v>1056.0000000000009</v>
      </c>
      <c r="CD259" s="88">
        <v>1056.0000000000009</v>
      </c>
      <c r="CE259" s="88">
        <v>1056.0000000000009</v>
      </c>
      <c r="CF259" s="88">
        <v>1056.0000000000009</v>
      </c>
      <c r="CG259" s="88">
        <v>1056.0000000000009</v>
      </c>
      <c r="CH259" s="88">
        <v>1056.0000000000009</v>
      </c>
      <c r="CI259" s="88">
        <v>26400</v>
      </c>
      <c r="CJ259" s="88">
        <v>26400</v>
      </c>
      <c r="CK259" s="88">
        <v>26400</v>
      </c>
      <c r="CL259" s="88">
        <v>26400</v>
      </c>
      <c r="CM259" s="88">
        <v>26400</v>
      </c>
      <c r="CN259" s="88">
        <v>26400</v>
      </c>
      <c r="CO259" s="88">
        <v>26400</v>
      </c>
      <c r="CP259" s="88">
        <v>26400</v>
      </c>
      <c r="CQ259" s="88">
        <v>26400</v>
      </c>
      <c r="CR259" s="88">
        <v>26400</v>
      </c>
      <c r="CS259" s="88">
        <v>26400</v>
      </c>
      <c r="CT259" s="88">
        <v>26400</v>
      </c>
      <c r="CU259" s="88">
        <v>157.8890117676435</v>
      </c>
      <c r="CV259" s="88">
        <v>127.40842362097371</v>
      </c>
      <c r="CW259" s="88">
        <v>96.977878041078469</v>
      </c>
      <c r="CX259" s="88">
        <v>65.56827347023102</v>
      </c>
      <c r="CY259" s="88">
        <v>34.211894425565781</v>
      </c>
      <c r="CZ259" s="88">
        <v>2.9086057306772162</v>
      </c>
      <c r="DA259" s="88">
        <v>-28.341727333491651</v>
      </c>
      <c r="DB259" s="88">
        <v>-60.050234338693102</v>
      </c>
      <c r="DC259" s="88">
        <v>-91.194195860626166</v>
      </c>
      <c r="DD259" s="88">
        <v>-106.50985680415251</v>
      </c>
      <c r="DE259" s="88">
        <v>-106.5457762052193</v>
      </c>
      <c r="DF259" s="88">
        <v>-106.5817198413868</v>
      </c>
      <c r="DG259" s="93">
        <v>46174</v>
      </c>
      <c r="DH259" s="91">
        <v>4.4999999999999998E-2</v>
      </c>
      <c r="DI259" t="s">
        <v>301</v>
      </c>
      <c r="DJ259" s="93">
        <v>46539</v>
      </c>
      <c r="DK259" s="91">
        <v>0.04</v>
      </c>
      <c r="DL259" t="s">
        <v>302</v>
      </c>
      <c r="DM259" s="93"/>
      <c r="DN259" s="91"/>
      <c r="DP259" s="93"/>
      <c r="DQ259" s="91"/>
    </row>
    <row r="260" spans="1:121" x14ac:dyDescent="0.3">
      <c r="A260" t="s">
        <v>30</v>
      </c>
      <c r="B260" t="s">
        <v>42</v>
      </c>
      <c r="C260" t="s">
        <v>65</v>
      </c>
      <c r="D260" t="s">
        <v>313</v>
      </c>
      <c r="E260" t="s">
        <v>623</v>
      </c>
      <c r="F260" s="86">
        <v>21600</v>
      </c>
      <c r="G260" s="87">
        <v>12</v>
      </c>
      <c r="H260" s="88">
        <v>1.03</v>
      </c>
      <c r="I260" s="88">
        <v>1.0262500000000001</v>
      </c>
      <c r="J260" s="89">
        <v>0.99199580598103554</v>
      </c>
      <c r="K260" s="88">
        <v>1.003654080389768</v>
      </c>
      <c r="L260" s="88">
        <v>1.008068778084247</v>
      </c>
      <c r="M260" s="88">
        <v>1</v>
      </c>
      <c r="N260" s="90">
        <v>0.56599999999999995</v>
      </c>
      <c r="O260" s="90">
        <v>0.57265182581978458</v>
      </c>
      <c r="P260" s="90">
        <v>0.56676152551345893</v>
      </c>
      <c r="Q260" s="91">
        <v>0</v>
      </c>
      <c r="R260" s="88">
        <v>0.99999999999999978</v>
      </c>
      <c r="S260" s="88">
        <v>1.0013454514372071</v>
      </c>
      <c r="T260" s="91">
        <v>-3.640776699028847E-3</v>
      </c>
      <c r="U260" s="91">
        <v>3.6540803897684442E-3</v>
      </c>
      <c r="V260" s="87">
        <v>0</v>
      </c>
      <c r="W260" s="91">
        <v>0</v>
      </c>
      <c r="X260" s="87">
        <v>1</v>
      </c>
      <c r="Y260" s="90">
        <v>0.57265182581978458</v>
      </c>
      <c r="Z260" s="90">
        <v>0.56676152551345893</v>
      </c>
      <c r="AA260" s="92">
        <v>0</v>
      </c>
      <c r="AB260" s="88">
        <v>0</v>
      </c>
      <c r="AC260" s="87">
        <v>1</v>
      </c>
      <c r="AD260" s="87">
        <v>0</v>
      </c>
      <c r="AE260" s="88">
        <v>1.0149999999999999</v>
      </c>
      <c r="AF260" s="88">
        <v>1.0080839018517109</v>
      </c>
      <c r="AG260" s="88">
        <v>1.023205405996481</v>
      </c>
      <c r="AH260" s="88">
        <v>22248</v>
      </c>
      <c r="AI260" s="88">
        <v>22167.000000000011</v>
      </c>
      <c r="AJ260" s="88">
        <v>21427.109409190369</v>
      </c>
      <c r="AK260" s="88">
        <v>21678.928136418988</v>
      </c>
      <c r="AL260" s="88">
        <v>21774.285606619731</v>
      </c>
      <c r="AM260" s="88">
        <v>21600</v>
      </c>
      <c r="AN260" s="88">
        <v>12225.6</v>
      </c>
      <c r="AO260" s="88">
        <v>12369.27943770735</v>
      </c>
      <c r="AP260" s="88">
        <v>12242.04895109071</v>
      </c>
      <c r="AQ260" s="88">
        <v>0</v>
      </c>
      <c r="AR260" s="88">
        <v>21600</v>
      </c>
      <c r="AS260" s="88">
        <v>21629.061751043671</v>
      </c>
      <c r="AT260" s="88">
        <v>12369.27943770735</v>
      </c>
      <c r="AU260" s="88">
        <v>12242.04895109071</v>
      </c>
      <c r="AV260" s="88">
        <v>21600</v>
      </c>
      <c r="AW260" s="88">
        <v>21384</v>
      </c>
      <c r="AX260" s="88">
        <v>21600</v>
      </c>
      <c r="AY260" s="88">
        <v>21600</v>
      </c>
      <c r="AZ260" s="88">
        <v>21600</v>
      </c>
      <c r="BA260" s="88">
        <v>21600</v>
      </c>
      <c r="BB260" s="88">
        <v>21600</v>
      </c>
      <c r="BC260" s="88">
        <v>21600</v>
      </c>
      <c r="BD260" s="88">
        <v>21600</v>
      </c>
      <c r="BE260" s="88">
        <v>21600</v>
      </c>
      <c r="BF260" s="88">
        <v>21600</v>
      </c>
      <c r="BG260" s="88">
        <v>21600</v>
      </c>
      <c r="BH260" s="88">
        <v>21600</v>
      </c>
      <c r="BI260" s="88">
        <v>21600</v>
      </c>
      <c r="BJ260" s="88">
        <v>21600</v>
      </c>
      <c r="BK260" s="88">
        <v>828.51416567560693</v>
      </c>
      <c r="BL260" s="88">
        <v>828.39586804398198</v>
      </c>
      <c r="BM260" s="88">
        <v>828.27772536047542</v>
      </c>
      <c r="BN260" s="88">
        <v>828.15574043261256</v>
      </c>
      <c r="BO260" s="88">
        <v>828.0339204753293</v>
      </c>
      <c r="BP260" s="88">
        <v>827.91226515419874</v>
      </c>
      <c r="BQ260" s="88">
        <v>174.55414964630941</v>
      </c>
      <c r="BR260" s="88">
        <v>174.43442668289271</v>
      </c>
      <c r="BS260" s="88">
        <v>174.31679490581209</v>
      </c>
      <c r="BT260" s="88">
        <v>174.19932167438489</v>
      </c>
      <c r="BU260" s="88">
        <v>174.08200666828489</v>
      </c>
      <c r="BV260" s="88">
        <v>173.9648495680685</v>
      </c>
      <c r="BW260" s="88">
        <v>648.00000000000057</v>
      </c>
      <c r="BX260" s="88">
        <v>648.00000000000057</v>
      </c>
      <c r="BY260" s="88">
        <v>648.00000000000057</v>
      </c>
      <c r="BZ260" s="88">
        <v>648.00000000000057</v>
      </c>
      <c r="CA260" s="88">
        <v>648.00000000000057</v>
      </c>
      <c r="CB260" s="88">
        <v>648.00000000000057</v>
      </c>
      <c r="CC260" s="88">
        <v>0</v>
      </c>
      <c r="CD260" s="88">
        <v>0</v>
      </c>
      <c r="CE260" s="88">
        <v>0</v>
      </c>
      <c r="CF260" s="88">
        <v>0</v>
      </c>
      <c r="CG260" s="88">
        <v>0</v>
      </c>
      <c r="CH260" s="88">
        <v>0</v>
      </c>
      <c r="CI260" s="88">
        <v>21600</v>
      </c>
      <c r="CJ260" s="88">
        <v>21600</v>
      </c>
      <c r="CK260" s="88">
        <v>21600</v>
      </c>
      <c r="CL260" s="88">
        <v>21600</v>
      </c>
      <c r="CM260" s="88">
        <v>21600</v>
      </c>
      <c r="CN260" s="88">
        <v>21600</v>
      </c>
      <c r="CO260" s="88">
        <v>21600</v>
      </c>
      <c r="CP260" s="88">
        <v>21600</v>
      </c>
      <c r="CQ260" s="88">
        <v>21600</v>
      </c>
      <c r="CR260" s="88">
        <v>21600</v>
      </c>
      <c r="CS260" s="88">
        <v>21600</v>
      </c>
      <c r="CT260" s="88">
        <v>21600</v>
      </c>
      <c r="CU260" s="88">
        <v>175.2564715297147</v>
      </c>
      <c r="CV260" s="88">
        <v>175.14161946017819</v>
      </c>
      <c r="CW260" s="88">
        <v>175.0269178257046</v>
      </c>
      <c r="CX260" s="88">
        <v>174.9084858569031</v>
      </c>
      <c r="CY260" s="88">
        <v>174.79021405371671</v>
      </c>
      <c r="CZ260" s="88">
        <v>174.67210209145489</v>
      </c>
      <c r="DA260" s="88">
        <v>174.55414964630941</v>
      </c>
      <c r="DB260" s="88">
        <v>174.43442668289271</v>
      </c>
      <c r="DC260" s="88">
        <v>174.31679490581209</v>
      </c>
      <c r="DD260" s="88">
        <v>174.19932167438489</v>
      </c>
      <c r="DE260" s="88">
        <v>174.08200666828489</v>
      </c>
      <c r="DF260" s="88">
        <v>173.9648495680685</v>
      </c>
      <c r="DG260" s="93">
        <v>46204</v>
      </c>
      <c r="DH260" s="91">
        <v>0.03</v>
      </c>
      <c r="DI260" t="s">
        <v>301</v>
      </c>
      <c r="DJ260" s="93"/>
      <c r="DK260" s="91"/>
      <c r="DM260" s="93"/>
      <c r="DN260" s="91"/>
      <c r="DP260" s="93"/>
      <c r="DQ260" s="91"/>
    </row>
    <row r="261" spans="1:121" x14ac:dyDescent="0.3">
      <c r="A261" t="s">
        <v>30</v>
      </c>
      <c r="B261" t="s">
        <v>42</v>
      </c>
      <c r="C261" t="s">
        <v>66</v>
      </c>
      <c r="D261" t="s">
        <v>315</v>
      </c>
      <c r="E261" t="s">
        <v>624</v>
      </c>
      <c r="F261" s="86">
        <v>16800</v>
      </c>
      <c r="G261" s="87">
        <v>12</v>
      </c>
      <c r="H261" s="88">
        <v>1.04</v>
      </c>
      <c r="I261" s="88">
        <v>1.033194444444445</v>
      </c>
      <c r="J261" s="89">
        <v>0.98800419401896411</v>
      </c>
      <c r="K261" s="88">
        <v>1.006586906842317</v>
      </c>
      <c r="L261" s="88">
        <v>1.012141452489427</v>
      </c>
      <c r="M261" s="88">
        <v>1</v>
      </c>
      <c r="N261" s="90">
        <v>0.55000000000000004</v>
      </c>
      <c r="O261" s="90">
        <v>0.56034458367152262</v>
      </c>
      <c r="P261" s="90">
        <v>0.56045606813691706</v>
      </c>
      <c r="Q261" s="91">
        <v>0</v>
      </c>
      <c r="R261" s="88">
        <v>0.99999999999999978</v>
      </c>
      <c r="S261" s="88">
        <v>1.019011032976213</v>
      </c>
      <c r="T261" s="91">
        <v>-6.54380341880334E-3</v>
      </c>
      <c r="U261" s="91">
        <v>6.5869068423176644E-3</v>
      </c>
      <c r="V261" s="87">
        <v>0</v>
      </c>
      <c r="W261" s="91">
        <v>0</v>
      </c>
      <c r="X261" s="87">
        <v>1</v>
      </c>
      <c r="Y261" s="90">
        <v>0.56034458367152262</v>
      </c>
      <c r="Z261" s="90">
        <v>0.56045606813691706</v>
      </c>
      <c r="AA261" s="92">
        <v>0</v>
      </c>
      <c r="AB261" s="88">
        <v>0</v>
      </c>
      <c r="AC261" s="87">
        <v>1</v>
      </c>
      <c r="AD261" s="87">
        <v>0</v>
      </c>
      <c r="AE261" s="88">
        <v>1.023333333333333</v>
      </c>
      <c r="AF261" s="88">
        <v>0.99194865631796525</v>
      </c>
      <c r="AG261" s="88">
        <v>1.0150944412130971</v>
      </c>
      <c r="AH261" s="88">
        <v>17472</v>
      </c>
      <c r="AI261" s="88">
        <v>17357.666666666672</v>
      </c>
      <c r="AJ261" s="88">
        <v>16598.470459518601</v>
      </c>
      <c r="AK261" s="88">
        <v>16910.660034950932</v>
      </c>
      <c r="AL261" s="88">
        <v>17003.976401822369</v>
      </c>
      <c r="AM261" s="88">
        <v>16800</v>
      </c>
      <c r="AN261" s="88">
        <v>9240</v>
      </c>
      <c r="AO261" s="88">
        <v>9413.7890056815795</v>
      </c>
      <c r="AP261" s="88">
        <v>9415.6619447002067</v>
      </c>
      <c r="AQ261" s="88">
        <v>0</v>
      </c>
      <c r="AR261" s="88">
        <v>16800</v>
      </c>
      <c r="AS261" s="88">
        <v>17119.38535400038</v>
      </c>
      <c r="AT261" s="88">
        <v>9413.7890056815795</v>
      </c>
      <c r="AU261" s="88">
        <v>9415.6619447002067</v>
      </c>
      <c r="AV261" s="88">
        <v>16800</v>
      </c>
      <c r="AW261" s="88">
        <v>16632</v>
      </c>
      <c r="AX261" s="88">
        <v>16464</v>
      </c>
      <c r="AY261" s="88">
        <v>16800</v>
      </c>
      <c r="AZ261" s="88">
        <v>16800</v>
      </c>
      <c r="BA261" s="88">
        <v>16800</v>
      </c>
      <c r="BB261" s="88">
        <v>16800</v>
      </c>
      <c r="BC261" s="88">
        <v>16800</v>
      </c>
      <c r="BD261" s="88">
        <v>16800</v>
      </c>
      <c r="BE261" s="88">
        <v>16800</v>
      </c>
      <c r="BF261" s="88">
        <v>16800</v>
      </c>
      <c r="BG261" s="88">
        <v>16800</v>
      </c>
      <c r="BH261" s="88">
        <v>16800</v>
      </c>
      <c r="BI261" s="88">
        <v>16800</v>
      </c>
      <c r="BJ261" s="88">
        <v>16800</v>
      </c>
      <c r="BK261" s="88">
        <v>531.84154020285655</v>
      </c>
      <c r="BL261" s="88">
        <v>531.7506102790793</v>
      </c>
      <c r="BM261" s="88">
        <v>531.65956229438154</v>
      </c>
      <c r="BN261" s="88">
        <v>531.56530356081055</v>
      </c>
      <c r="BO261" s="88">
        <v>531.47091812562883</v>
      </c>
      <c r="BP261" s="88">
        <v>531.37640573318799</v>
      </c>
      <c r="BQ261" s="88">
        <v>531.28176612716459</v>
      </c>
      <c r="BR261" s="88">
        <v>-135.39861112644539</v>
      </c>
      <c r="BS261" s="88">
        <v>-135.4898581466249</v>
      </c>
      <c r="BT261" s="88">
        <v>-135.58122823503621</v>
      </c>
      <c r="BU261" s="88">
        <v>-135.67272164081629</v>
      </c>
      <c r="BV261" s="88">
        <v>-135.76433861379621</v>
      </c>
      <c r="BW261" s="88">
        <v>672.00000000000057</v>
      </c>
      <c r="BX261" s="88">
        <v>672.00000000000057</v>
      </c>
      <c r="BY261" s="88">
        <v>672.00000000000057</v>
      </c>
      <c r="BZ261" s="88">
        <v>672.00000000000057</v>
      </c>
      <c r="CA261" s="88">
        <v>672.00000000000057</v>
      </c>
      <c r="CB261" s="88">
        <v>672.00000000000057</v>
      </c>
      <c r="CC261" s="88">
        <v>672.00000000000057</v>
      </c>
      <c r="CD261" s="88">
        <v>0</v>
      </c>
      <c r="CE261" s="88">
        <v>0</v>
      </c>
      <c r="CF261" s="88">
        <v>0</v>
      </c>
      <c r="CG261" s="88">
        <v>0</v>
      </c>
      <c r="CH261" s="88">
        <v>0</v>
      </c>
      <c r="CI261" s="88">
        <v>16800</v>
      </c>
      <c r="CJ261" s="88">
        <v>16800</v>
      </c>
      <c r="CK261" s="88">
        <v>16800</v>
      </c>
      <c r="CL261" s="88">
        <v>16800</v>
      </c>
      <c r="CM261" s="88">
        <v>16800</v>
      </c>
      <c r="CN261" s="88">
        <v>16800</v>
      </c>
      <c r="CO261" s="88">
        <v>16800</v>
      </c>
      <c r="CP261" s="88">
        <v>16800</v>
      </c>
      <c r="CQ261" s="88">
        <v>16800</v>
      </c>
      <c r="CR261" s="88">
        <v>16800</v>
      </c>
      <c r="CS261" s="88">
        <v>16800</v>
      </c>
      <c r="CT261" s="88">
        <v>16800</v>
      </c>
      <c r="CU261" s="88">
        <v>-134.76774980494639</v>
      </c>
      <c r="CV261" s="88">
        <v>-134.85518242396211</v>
      </c>
      <c r="CW261" s="88">
        <v>-134.94272856309701</v>
      </c>
      <c r="CX261" s="88">
        <v>-135.03336196075799</v>
      </c>
      <c r="CY261" s="88">
        <v>-135.12411718689731</v>
      </c>
      <c r="CZ261" s="88">
        <v>-135.21499448732061</v>
      </c>
      <c r="DA261" s="88">
        <v>-135.30599410849581</v>
      </c>
      <c r="DB261" s="88">
        <v>-135.39861112644539</v>
      </c>
      <c r="DC261" s="88">
        <v>-135.4898581466249</v>
      </c>
      <c r="DD261" s="88">
        <v>-135.58122823503621</v>
      </c>
      <c r="DE261" s="88">
        <v>-135.67272164081629</v>
      </c>
      <c r="DF261" s="88">
        <v>-135.76433861379621</v>
      </c>
      <c r="DG261" s="93">
        <v>46235</v>
      </c>
      <c r="DH261" s="91">
        <v>0.04</v>
      </c>
      <c r="DI261" t="s">
        <v>301</v>
      </c>
      <c r="DJ261" s="93"/>
      <c r="DK261" s="91"/>
      <c r="DM261" s="93"/>
      <c r="DN261" s="91"/>
      <c r="DP261" s="93"/>
      <c r="DQ261" s="91"/>
    </row>
    <row r="262" spans="1:121" x14ac:dyDescent="0.3">
      <c r="A262" t="s">
        <v>30</v>
      </c>
      <c r="B262" t="s">
        <v>42</v>
      </c>
      <c r="C262" t="s">
        <v>67</v>
      </c>
      <c r="D262" t="s">
        <v>317</v>
      </c>
      <c r="E262" t="s">
        <v>625</v>
      </c>
      <c r="F262" s="86">
        <v>12000</v>
      </c>
      <c r="G262" s="87">
        <v>12</v>
      </c>
      <c r="H262" s="88">
        <v>1</v>
      </c>
      <c r="I262" s="88">
        <v>1</v>
      </c>
      <c r="J262" s="89">
        <v>0.99099790299051793</v>
      </c>
      <c r="K262" s="88">
        <v>1</v>
      </c>
      <c r="L262" s="88">
        <v>1.009083870896514</v>
      </c>
      <c r="M262" s="88">
        <v>1</v>
      </c>
      <c r="N262" s="90">
        <v>0.53400000000000003</v>
      </c>
      <c r="O262" s="90">
        <v>0.53885078705873857</v>
      </c>
      <c r="P262" s="90">
        <v>0.53704602938511325</v>
      </c>
      <c r="Q262" s="91">
        <v>0</v>
      </c>
      <c r="R262" s="88">
        <v>1</v>
      </c>
      <c r="S262" s="88">
        <v>1.005704174878489</v>
      </c>
      <c r="T262" s="91">
        <v>0</v>
      </c>
      <c r="U262" s="91">
        <v>0</v>
      </c>
      <c r="V262" s="87">
        <v>0</v>
      </c>
      <c r="W262" s="91">
        <v>0</v>
      </c>
      <c r="X262" s="87">
        <v>1</v>
      </c>
      <c r="Y262" s="90">
        <v>0.53885078705873857</v>
      </c>
      <c r="Z262" s="90">
        <v>0.53704602938511325</v>
      </c>
      <c r="AA262" s="92">
        <v>0</v>
      </c>
      <c r="AB262" s="88">
        <v>0</v>
      </c>
      <c r="AC262" s="87">
        <v>0</v>
      </c>
      <c r="AD262" s="87">
        <v>0</v>
      </c>
      <c r="AE262" s="88">
        <v>1</v>
      </c>
      <c r="AF262" s="88">
        <v>1.004037852440528</v>
      </c>
      <c r="AG262" s="88">
        <v>1.004037852440528</v>
      </c>
      <c r="AH262" s="88">
        <v>12000</v>
      </c>
      <c r="AI262" s="88">
        <v>12000</v>
      </c>
      <c r="AJ262" s="88">
        <v>11891.974835886211</v>
      </c>
      <c r="AK262" s="88">
        <v>12000</v>
      </c>
      <c r="AL262" s="88">
        <v>12109.00645075817</v>
      </c>
      <c r="AM262" s="88">
        <v>12000</v>
      </c>
      <c r="AN262" s="88">
        <v>6408</v>
      </c>
      <c r="AO262" s="88">
        <v>6466.209444704863</v>
      </c>
      <c r="AP262" s="88">
        <v>6444.5523526213592</v>
      </c>
      <c r="AQ262" s="88">
        <v>0</v>
      </c>
      <c r="AR262" s="88">
        <v>12000</v>
      </c>
      <c r="AS262" s="88">
        <v>12068.450098541871</v>
      </c>
      <c r="AT262" s="88">
        <v>6466.209444704863</v>
      </c>
      <c r="AU262" s="88">
        <v>6444.5523526213592</v>
      </c>
      <c r="AV262" s="88">
        <v>12000</v>
      </c>
      <c r="AW262" s="88">
        <v>11880</v>
      </c>
      <c r="AX262" s="88">
        <v>11940</v>
      </c>
      <c r="AY262" s="88">
        <v>12000</v>
      </c>
      <c r="AZ262" s="88">
        <v>12000</v>
      </c>
      <c r="BA262" s="88">
        <v>12000</v>
      </c>
      <c r="BB262" s="88">
        <v>12000</v>
      </c>
      <c r="BC262" s="88">
        <v>12000</v>
      </c>
      <c r="BD262" s="88">
        <v>12000</v>
      </c>
      <c r="BE262" s="88">
        <v>12000</v>
      </c>
      <c r="BF262" s="88">
        <v>12000</v>
      </c>
      <c r="BG262" s="88">
        <v>12000</v>
      </c>
      <c r="BH262" s="88">
        <v>12000</v>
      </c>
      <c r="BI262" s="88">
        <v>12000</v>
      </c>
      <c r="BJ262" s="88">
        <v>12000</v>
      </c>
      <c r="BK262" s="88">
        <v>48.543420316196517</v>
      </c>
      <c r="BL262" s="88">
        <v>48.527554344212298</v>
      </c>
      <c r="BM262" s="88">
        <v>48.511698740134612</v>
      </c>
      <c r="BN262" s="88">
        <v>48.495316548195611</v>
      </c>
      <c r="BO262" s="88">
        <v>48.478945416913</v>
      </c>
      <c r="BP262" s="88">
        <v>48.462585335087738</v>
      </c>
      <c r="BQ262" s="88">
        <v>48.446236291539442</v>
      </c>
      <c r="BR262" s="88">
        <v>48.429630530570478</v>
      </c>
      <c r="BS262" s="88">
        <v>48.413303710581168</v>
      </c>
      <c r="BT262" s="88">
        <v>48.39698789522906</v>
      </c>
      <c r="BU262" s="88">
        <v>48.380683073387047</v>
      </c>
      <c r="BV262" s="88">
        <v>48.364389233954697</v>
      </c>
      <c r="BW262" s="88">
        <v>0</v>
      </c>
      <c r="BX262" s="88">
        <v>0</v>
      </c>
      <c r="BY262" s="88">
        <v>0</v>
      </c>
      <c r="BZ262" s="88">
        <v>0</v>
      </c>
      <c r="CA262" s="88">
        <v>0</v>
      </c>
      <c r="CB262" s="88">
        <v>0</v>
      </c>
      <c r="CC262" s="88">
        <v>0</v>
      </c>
      <c r="CD262" s="88">
        <v>0</v>
      </c>
      <c r="CE262" s="88">
        <v>0</v>
      </c>
      <c r="CF262" s="88">
        <v>0</v>
      </c>
      <c r="CG262" s="88">
        <v>0</v>
      </c>
      <c r="CH262" s="88">
        <v>0</v>
      </c>
      <c r="CI262" s="88">
        <v>12000</v>
      </c>
      <c r="CJ262" s="88">
        <v>12000</v>
      </c>
      <c r="CK262" s="88">
        <v>12000</v>
      </c>
      <c r="CL262" s="88">
        <v>12000</v>
      </c>
      <c r="CM262" s="88">
        <v>12000</v>
      </c>
      <c r="CN262" s="88">
        <v>12000</v>
      </c>
      <c r="CO262" s="88">
        <v>12000</v>
      </c>
      <c r="CP262" s="88">
        <v>12000</v>
      </c>
      <c r="CQ262" s="88">
        <v>12000</v>
      </c>
      <c r="CR262" s="88">
        <v>12000</v>
      </c>
      <c r="CS262" s="88">
        <v>12000</v>
      </c>
      <c r="CT262" s="88">
        <v>12000</v>
      </c>
      <c r="CU262" s="88">
        <v>48.543420316196517</v>
      </c>
      <c r="CV262" s="88">
        <v>48.527554344212298</v>
      </c>
      <c r="CW262" s="88">
        <v>48.511698740134612</v>
      </c>
      <c r="CX262" s="88">
        <v>48.495316548195611</v>
      </c>
      <c r="CY262" s="88">
        <v>48.478945416913</v>
      </c>
      <c r="CZ262" s="88">
        <v>48.462585335087738</v>
      </c>
      <c r="DA262" s="88">
        <v>48.446236291539442</v>
      </c>
      <c r="DB262" s="88">
        <v>48.429630530570478</v>
      </c>
      <c r="DC262" s="88">
        <v>48.413303710581168</v>
      </c>
      <c r="DD262" s="88">
        <v>48.39698789522906</v>
      </c>
      <c r="DE262" s="88">
        <v>48.380683073387047</v>
      </c>
      <c r="DF262" s="88">
        <v>48.364389233954697</v>
      </c>
      <c r="DG262" s="93"/>
      <c r="DH262" s="91"/>
      <c r="DJ262" s="93"/>
      <c r="DK262" s="91"/>
      <c r="DM262" s="93"/>
      <c r="DN262" s="91"/>
      <c r="DP262" s="93"/>
      <c r="DQ262" s="91"/>
    </row>
    <row r="263" spans="1:121" x14ac:dyDescent="0.3">
      <c r="A263" t="s">
        <v>30</v>
      </c>
      <c r="B263" t="s">
        <v>42</v>
      </c>
      <c r="C263" t="s">
        <v>73</v>
      </c>
      <c r="D263" t="s">
        <v>319</v>
      </c>
      <c r="E263" t="s">
        <v>626</v>
      </c>
      <c r="F263" s="86">
        <v>27600</v>
      </c>
      <c r="G263" s="87">
        <v>12</v>
      </c>
      <c r="H263" s="88">
        <v>1.06</v>
      </c>
      <c r="I263" s="88">
        <v>1.0444500000000001</v>
      </c>
      <c r="J263" s="89">
        <v>0.99399161196207142</v>
      </c>
      <c r="K263" s="88">
        <v>1.0148882186796879</v>
      </c>
      <c r="L263" s="88">
        <v>1.006044706983058</v>
      </c>
      <c r="M263" s="88">
        <v>1</v>
      </c>
      <c r="N263" s="90">
        <v>0.56200000000000006</v>
      </c>
      <c r="O263" s="90">
        <v>0.57381488136717673</v>
      </c>
      <c r="P263" s="90">
        <v>0.54232815615570873</v>
      </c>
      <c r="Q263" s="91">
        <v>0</v>
      </c>
      <c r="R263" s="88">
        <v>0.97205346294046147</v>
      </c>
      <c r="S263" s="88">
        <v>0.9927403748134972</v>
      </c>
      <c r="T263" s="91">
        <v>-1.466981132075462E-2</v>
      </c>
      <c r="U263" s="91">
        <v>4.4066254966729002E-2</v>
      </c>
      <c r="V263" s="87">
        <v>0</v>
      </c>
      <c r="W263" s="91">
        <v>0</v>
      </c>
      <c r="X263" s="87">
        <v>1</v>
      </c>
      <c r="Y263" s="90">
        <v>0.57381488136717673</v>
      </c>
      <c r="Z263" s="90">
        <v>0.54232815615570873</v>
      </c>
      <c r="AA263" s="92">
        <v>0</v>
      </c>
      <c r="AB263" s="88">
        <v>0</v>
      </c>
      <c r="AC263" s="87">
        <v>1</v>
      </c>
      <c r="AD263" s="87">
        <v>1</v>
      </c>
      <c r="AE263" s="88">
        <v>1.0549999999999999</v>
      </c>
      <c r="AF263" s="88">
        <v>1.016200824295963</v>
      </c>
      <c r="AG263" s="88">
        <v>1.072092361910653</v>
      </c>
      <c r="AH263" s="88">
        <v>29256</v>
      </c>
      <c r="AI263" s="88">
        <v>28826.82</v>
      </c>
      <c r="AJ263" s="88">
        <v>27434.16849015317</v>
      </c>
      <c r="AK263" s="88">
        <v>28010.91483555939</v>
      </c>
      <c r="AL263" s="88">
        <v>27766.833912732411</v>
      </c>
      <c r="AM263" s="88">
        <v>27600</v>
      </c>
      <c r="AN263" s="88">
        <v>15511.2</v>
      </c>
      <c r="AO263" s="88">
        <v>15837.290725734079</v>
      </c>
      <c r="AP263" s="88">
        <v>14968.25710989756</v>
      </c>
      <c r="AQ263" s="88">
        <v>0</v>
      </c>
      <c r="AR263" s="88">
        <v>26828.67557715674</v>
      </c>
      <c r="AS263" s="88">
        <v>27399.634344852519</v>
      </c>
      <c r="AT263" s="88">
        <v>15837.290725734079</v>
      </c>
      <c r="AU263" s="88">
        <v>14968.25710989756</v>
      </c>
      <c r="AV263" s="88">
        <v>27600</v>
      </c>
      <c r="AW263" s="88">
        <v>27324</v>
      </c>
      <c r="AX263" s="88">
        <v>27876</v>
      </c>
      <c r="AY263" s="88">
        <v>27600</v>
      </c>
      <c r="AZ263" s="88">
        <v>27600</v>
      </c>
      <c r="BA263" s="88">
        <v>27600</v>
      </c>
      <c r="BB263" s="88">
        <v>27600</v>
      </c>
      <c r="BC263" s="88">
        <v>27600</v>
      </c>
      <c r="BD263" s="88">
        <v>27600</v>
      </c>
      <c r="BE263" s="88">
        <v>27600</v>
      </c>
      <c r="BF263" s="88">
        <v>27600</v>
      </c>
      <c r="BG263" s="88">
        <v>27600</v>
      </c>
      <c r="BH263" s="88">
        <v>27600</v>
      </c>
      <c r="BI263" s="88">
        <v>27600</v>
      </c>
      <c r="BJ263" s="88">
        <v>27600</v>
      </c>
      <c r="BK263" s="88">
        <v>2133.483455553574</v>
      </c>
      <c r="BL263" s="88">
        <v>2132.8544443700212</v>
      </c>
      <c r="BM263" s="88">
        <v>2132.2270882575972</v>
      </c>
      <c r="BN263" s="88">
        <v>2131.580199078096</v>
      </c>
      <c r="BO263" s="88">
        <v>2130.9350649350731</v>
      </c>
      <c r="BP263" s="88">
        <v>2130.2916786959481</v>
      </c>
      <c r="BQ263" s="88">
        <v>2129.6500332668038</v>
      </c>
      <c r="BR263" s="88">
        <v>2128.999645641396</v>
      </c>
      <c r="BS263" s="88">
        <v>2128.3614889522919</v>
      </c>
      <c r="BT263" s="88">
        <v>1566.824579228703</v>
      </c>
      <c r="BU263" s="88">
        <v>1566.2018308150409</v>
      </c>
      <c r="BV263" s="88">
        <v>1565.580756013745</v>
      </c>
      <c r="BW263" s="88">
        <v>1656.0000000000009</v>
      </c>
      <c r="BX263" s="88">
        <v>1656.0000000000009</v>
      </c>
      <c r="BY263" s="88">
        <v>1656.0000000000009</v>
      </c>
      <c r="BZ263" s="88">
        <v>1656.0000000000009</v>
      </c>
      <c r="CA263" s="88">
        <v>1656.0000000000009</v>
      </c>
      <c r="CB263" s="88">
        <v>1656.0000000000009</v>
      </c>
      <c r="CC263" s="88">
        <v>1656.0000000000009</v>
      </c>
      <c r="CD263" s="88">
        <v>1656.0000000000009</v>
      </c>
      <c r="CE263" s="88">
        <v>1656.0000000000009</v>
      </c>
      <c r="CF263" s="88">
        <v>1104.0000000000009</v>
      </c>
      <c r="CG263" s="88">
        <v>1104.0000000000009</v>
      </c>
      <c r="CH263" s="88">
        <v>1104.0000000000009</v>
      </c>
      <c r="CI263" s="88">
        <v>27600</v>
      </c>
      <c r="CJ263" s="88">
        <v>27600</v>
      </c>
      <c r="CK263" s="88">
        <v>27600</v>
      </c>
      <c r="CL263" s="88">
        <v>27600</v>
      </c>
      <c r="CM263" s="88">
        <v>27600</v>
      </c>
      <c r="CN263" s="88">
        <v>27600</v>
      </c>
      <c r="CO263" s="88">
        <v>27600</v>
      </c>
      <c r="CP263" s="88">
        <v>27600</v>
      </c>
      <c r="CQ263" s="88">
        <v>27600</v>
      </c>
      <c r="CR263" s="88">
        <v>27600</v>
      </c>
      <c r="CS263" s="88">
        <v>27600</v>
      </c>
      <c r="CT263" s="88">
        <v>27600</v>
      </c>
      <c r="CU263" s="88">
        <v>450.45609014487928</v>
      </c>
      <c r="CV263" s="88">
        <v>449.86268336794052</v>
      </c>
      <c r="CW263" s="88">
        <v>449.27083797886291</v>
      </c>
      <c r="CX263" s="88">
        <v>448.66056516801348</v>
      </c>
      <c r="CY263" s="88">
        <v>448.05194805195202</v>
      </c>
      <c r="CZ263" s="88">
        <v>447.44497990183891</v>
      </c>
      <c r="DA263" s="88">
        <v>446.83965402528639</v>
      </c>
      <c r="DB263" s="88">
        <v>446.22608079376607</v>
      </c>
      <c r="DC263" s="88">
        <v>445.62404618140789</v>
      </c>
      <c r="DD263" s="88">
        <v>445.02363387374868</v>
      </c>
      <c r="DE263" s="88">
        <v>444.42483732215561</v>
      </c>
      <c r="DF263" s="88">
        <v>443.82765001321548</v>
      </c>
      <c r="DG263" s="93">
        <v>46296</v>
      </c>
      <c r="DH263" s="91">
        <v>0.06</v>
      </c>
      <c r="DI263" t="s">
        <v>301</v>
      </c>
      <c r="DJ263" s="93">
        <v>46661</v>
      </c>
      <c r="DK263" s="91">
        <v>0.04</v>
      </c>
      <c r="DL263" t="s">
        <v>302</v>
      </c>
      <c r="DM263" s="93"/>
      <c r="DN263" s="91"/>
      <c r="DP263" s="93"/>
      <c r="DQ263" s="91"/>
    </row>
    <row r="264" spans="1:121" x14ac:dyDescent="0.3">
      <c r="A264" t="s">
        <v>30</v>
      </c>
      <c r="B264" t="s">
        <v>42</v>
      </c>
      <c r="C264" t="s">
        <v>78</v>
      </c>
      <c r="D264" t="s">
        <v>321</v>
      </c>
      <c r="E264" t="s">
        <v>627</v>
      </c>
      <c r="F264" s="86">
        <v>22800</v>
      </c>
      <c r="G264" s="87">
        <v>12</v>
      </c>
      <c r="H264" s="88">
        <v>1.02</v>
      </c>
      <c r="I264" s="88">
        <v>1.013055555555556</v>
      </c>
      <c r="J264" s="89">
        <v>0.9900000000000001</v>
      </c>
      <c r="K264" s="88">
        <v>1.0068549492733749</v>
      </c>
      <c r="L264" s="88">
        <v>1.0101010101010099</v>
      </c>
      <c r="M264" s="88">
        <v>1</v>
      </c>
      <c r="N264" s="90">
        <v>0.54600000000000004</v>
      </c>
      <c r="O264" s="90">
        <v>0.55529575990228575</v>
      </c>
      <c r="P264" s="90">
        <v>0.55151515151515162</v>
      </c>
      <c r="Q264" s="91">
        <v>0</v>
      </c>
      <c r="R264" s="88">
        <v>1</v>
      </c>
      <c r="S264" s="88">
        <v>1.0101010101010099</v>
      </c>
      <c r="T264" s="91">
        <v>-6.8082788671023353E-3</v>
      </c>
      <c r="U264" s="91">
        <v>6.8549492733751549E-3</v>
      </c>
      <c r="V264" s="87">
        <v>0</v>
      </c>
      <c r="W264" s="91">
        <v>0</v>
      </c>
      <c r="X264" s="87">
        <v>1</v>
      </c>
      <c r="Y264" s="90">
        <v>0.55529575990228575</v>
      </c>
      <c r="Z264" s="90">
        <v>0.55151515151515162</v>
      </c>
      <c r="AA264" s="92">
        <v>0</v>
      </c>
      <c r="AB264" s="88">
        <v>0</v>
      </c>
      <c r="AC264" s="87">
        <v>1</v>
      </c>
      <c r="AD264" s="87">
        <v>0</v>
      </c>
      <c r="AE264" s="88">
        <v>1.0166666666666659</v>
      </c>
      <c r="AF264" s="88">
        <v>1</v>
      </c>
      <c r="AG264" s="88">
        <v>1.0166666666666659</v>
      </c>
      <c r="AH264" s="88">
        <v>23256</v>
      </c>
      <c r="AI264" s="88">
        <v>23097.666666666672</v>
      </c>
      <c r="AJ264" s="88">
        <v>22572</v>
      </c>
      <c r="AK264" s="88">
        <v>22956.292843432959</v>
      </c>
      <c r="AL264" s="88">
        <v>23030.303030303028</v>
      </c>
      <c r="AM264" s="88">
        <v>22800</v>
      </c>
      <c r="AN264" s="88">
        <v>12448.8</v>
      </c>
      <c r="AO264" s="88">
        <v>12660.74332577211</v>
      </c>
      <c r="AP264" s="88">
        <v>12574.54545454546</v>
      </c>
      <c r="AQ264" s="88">
        <v>0</v>
      </c>
      <c r="AR264" s="88">
        <v>22800</v>
      </c>
      <c r="AS264" s="88">
        <v>23030.303030303028</v>
      </c>
      <c r="AT264" s="88">
        <v>12660.74332577211</v>
      </c>
      <c r="AU264" s="88">
        <v>12574.54545454546</v>
      </c>
      <c r="AV264" s="88">
        <v>22800</v>
      </c>
      <c r="AW264" s="88">
        <v>22572</v>
      </c>
      <c r="AX264" s="88">
        <v>22572</v>
      </c>
      <c r="AY264" s="88">
        <v>22800</v>
      </c>
      <c r="AZ264" s="88">
        <v>22800</v>
      </c>
      <c r="BA264" s="88">
        <v>22800</v>
      </c>
      <c r="BB264" s="88">
        <v>22800</v>
      </c>
      <c r="BC264" s="88">
        <v>22800</v>
      </c>
      <c r="BD264" s="88">
        <v>22800</v>
      </c>
      <c r="BE264" s="88">
        <v>22800</v>
      </c>
      <c r="BF264" s="88">
        <v>22800</v>
      </c>
      <c r="BG264" s="88">
        <v>22800</v>
      </c>
      <c r="BH264" s="88">
        <v>22800</v>
      </c>
      <c r="BI264" s="88">
        <v>22800</v>
      </c>
      <c r="BJ264" s="88">
        <v>22800</v>
      </c>
      <c r="BK264" s="88">
        <v>456.0000000000004</v>
      </c>
      <c r="BL264" s="88">
        <v>456.0000000000004</v>
      </c>
      <c r="BM264" s="88">
        <v>456.0000000000004</v>
      </c>
      <c r="BN264" s="88">
        <v>456.0000000000004</v>
      </c>
      <c r="BO264" s="88">
        <v>456.0000000000004</v>
      </c>
      <c r="BP264" s="88">
        <v>456.0000000000004</v>
      </c>
      <c r="BQ264" s="88">
        <v>456.0000000000004</v>
      </c>
      <c r="BR264" s="88">
        <v>456.0000000000004</v>
      </c>
      <c r="BS264" s="88">
        <v>456.0000000000004</v>
      </c>
      <c r="BT264" s="88">
        <v>456.0000000000004</v>
      </c>
      <c r="BU264" s="88">
        <v>0</v>
      </c>
      <c r="BV264" s="88">
        <v>0</v>
      </c>
      <c r="BW264" s="88">
        <v>456.0000000000004</v>
      </c>
      <c r="BX264" s="88">
        <v>456.0000000000004</v>
      </c>
      <c r="BY264" s="88">
        <v>456.0000000000004</v>
      </c>
      <c r="BZ264" s="88">
        <v>456.0000000000004</v>
      </c>
      <c r="CA264" s="88">
        <v>456.0000000000004</v>
      </c>
      <c r="CB264" s="88">
        <v>456.0000000000004</v>
      </c>
      <c r="CC264" s="88">
        <v>456.0000000000004</v>
      </c>
      <c r="CD264" s="88">
        <v>456.0000000000004</v>
      </c>
      <c r="CE264" s="88">
        <v>456.0000000000004</v>
      </c>
      <c r="CF264" s="88">
        <v>456.0000000000004</v>
      </c>
      <c r="CG264" s="88">
        <v>0</v>
      </c>
      <c r="CH264" s="88">
        <v>0</v>
      </c>
      <c r="CI264" s="88">
        <v>22800</v>
      </c>
      <c r="CJ264" s="88">
        <v>22800</v>
      </c>
      <c r="CK264" s="88">
        <v>22800</v>
      </c>
      <c r="CL264" s="88">
        <v>22800</v>
      </c>
      <c r="CM264" s="88">
        <v>22800</v>
      </c>
      <c r="CN264" s="88">
        <v>22800</v>
      </c>
      <c r="CO264" s="88">
        <v>22800</v>
      </c>
      <c r="CP264" s="88">
        <v>22800</v>
      </c>
      <c r="CQ264" s="88">
        <v>22800</v>
      </c>
      <c r="CR264" s="88">
        <v>22800</v>
      </c>
      <c r="CS264" s="88">
        <v>22800</v>
      </c>
      <c r="CT264" s="88">
        <v>22800</v>
      </c>
      <c r="CU264" s="88">
        <v>0</v>
      </c>
      <c r="CV264" s="88">
        <v>0</v>
      </c>
      <c r="CW264" s="88">
        <v>0</v>
      </c>
      <c r="CX264" s="88">
        <v>0</v>
      </c>
      <c r="CY264" s="88">
        <v>0</v>
      </c>
      <c r="CZ264" s="88">
        <v>0</v>
      </c>
      <c r="DA264" s="88">
        <v>0</v>
      </c>
      <c r="DB264" s="88">
        <v>0</v>
      </c>
      <c r="DC264" s="88">
        <v>0</v>
      </c>
      <c r="DD264" s="88">
        <v>0</v>
      </c>
      <c r="DE264" s="88">
        <v>0</v>
      </c>
      <c r="DF264" s="88">
        <v>0</v>
      </c>
      <c r="DG264" s="93">
        <v>46327</v>
      </c>
      <c r="DH264" s="91">
        <v>0.02</v>
      </c>
      <c r="DI264" t="s">
        <v>301</v>
      </c>
      <c r="DJ264" s="93"/>
      <c r="DK264" s="91"/>
      <c r="DM264" s="93"/>
      <c r="DN264" s="91"/>
      <c r="DP264" s="93"/>
      <c r="DQ264" s="91"/>
    </row>
    <row r="265" spans="1:121" x14ac:dyDescent="0.3">
      <c r="A265" t="s">
        <v>30</v>
      </c>
      <c r="B265" t="s">
        <v>42</v>
      </c>
      <c r="C265" t="s">
        <v>80</v>
      </c>
      <c r="D265" t="s">
        <v>323</v>
      </c>
      <c r="E265" t="s">
        <v>628</v>
      </c>
      <c r="F265" s="86">
        <v>18000</v>
      </c>
      <c r="G265" s="87">
        <v>12</v>
      </c>
      <c r="H265" s="88">
        <v>1</v>
      </c>
      <c r="I265" s="88">
        <v>1</v>
      </c>
      <c r="J265" s="89">
        <v>0.99299370897155337</v>
      </c>
      <c r="K265" s="88">
        <v>1</v>
      </c>
      <c r="L265" s="88">
        <v>1.007055725494679</v>
      </c>
      <c r="M265" s="88">
        <v>1</v>
      </c>
      <c r="N265" s="90">
        <v>0.53</v>
      </c>
      <c r="O265" s="90">
        <v>0.53373953451218004</v>
      </c>
      <c r="P265" s="90">
        <v>0.52842290358456201</v>
      </c>
      <c r="Q265" s="91">
        <v>0</v>
      </c>
      <c r="R265" s="88">
        <v>1</v>
      </c>
      <c r="S265" s="88">
        <v>0.99702434638596604</v>
      </c>
      <c r="T265" s="91">
        <v>0</v>
      </c>
      <c r="U265" s="91">
        <v>0</v>
      </c>
      <c r="V265" s="87">
        <v>0</v>
      </c>
      <c r="W265" s="91">
        <v>0</v>
      </c>
      <c r="X265" s="87">
        <v>1</v>
      </c>
      <c r="Y265" s="90">
        <v>0.53373953451218004</v>
      </c>
      <c r="Z265" s="90">
        <v>0.52842290358456201</v>
      </c>
      <c r="AA265" s="92">
        <v>0</v>
      </c>
      <c r="AB265" s="88">
        <v>0</v>
      </c>
      <c r="AC265" s="87">
        <v>0</v>
      </c>
      <c r="AD265" s="87">
        <v>0</v>
      </c>
      <c r="AE265" s="88">
        <v>1</v>
      </c>
      <c r="AF265" s="88">
        <v>1.012138206284618</v>
      </c>
      <c r="AG265" s="88">
        <v>1.012138206284618</v>
      </c>
      <c r="AH265" s="88">
        <v>18000</v>
      </c>
      <c r="AI265" s="88">
        <v>18000</v>
      </c>
      <c r="AJ265" s="88">
        <v>17873.88676148796</v>
      </c>
      <c r="AK265" s="88">
        <v>18000</v>
      </c>
      <c r="AL265" s="88">
        <v>18127.003058904229</v>
      </c>
      <c r="AM265" s="88">
        <v>18000</v>
      </c>
      <c r="AN265" s="88">
        <v>9540</v>
      </c>
      <c r="AO265" s="88">
        <v>9607.3116212192399</v>
      </c>
      <c r="AP265" s="88">
        <v>9511.6122645221167</v>
      </c>
      <c r="AQ265" s="88">
        <v>0</v>
      </c>
      <c r="AR265" s="88">
        <v>18000</v>
      </c>
      <c r="AS265" s="88">
        <v>17946.438234947389</v>
      </c>
      <c r="AT265" s="88">
        <v>9607.3116212192399</v>
      </c>
      <c r="AU265" s="88">
        <v>9511.6122645221167</v>
      </c>
      <c r="AV265" s="88">
        <v>18000</v>
      </c>
      <c r="AW265" s="88">
        <v>17820</v>
      </c>
      <c r="AX265" s="88">
        <v>18090</v>
      </c>
      <c r="AY265" s="88">
        <v>18000</v>
      </c>
      <c r="AZ265" s="88">
        <v>18000</v>
      </c>
      <c r="BA265" s="88">
        <v>18000</v>
      </c>
      <c r="BB265" s="88">
        <v>18000</v>
      </c>
      <c r="BC265" s="88">
        <v>18000</v>
      </c>
      <c r="BD265" s="88">
        <v>18000</v>
      </c>
      <c r="BE265" s="88">
        <v>18000</v>
      </c>
      <c r="BF265" s="88">
        <v>18000</v>
      </c>
      <c r="BG265" s="88">
        <v>18000</v>
      </c>
      <c r="BH265" s="88">
        <v>18000</v>
      </c>
      <c r="BI265" s="88">
        <v>18000</v>
      </c>
      <c r="BJ265" s="88">
        <v>18000</v>
      </c>
      <c r="BK265" s="88">
        <v>219.69937634804239</v>
      </c>
      <c r="BL265" s="88">
        <v>219.4828622970544</v>
      </c>
      <c r="BM265" s="88">
        <v>219.26677457573001</v>
      </c>
      <c r="BN265" s="88">
        <v>219.04380876175011</v>
      </c>
      <c r="BO265" s="88">
        <v>218.82129594164871</v>
      </c>
      <c r="BP265" s="88">
        <v>218.59923473631679</v>
      </c>
      <c r="BQ265" s="88">
        <v>218.37762377224519</v>
      </c>
      <c r="BR265" s="88">
        <v>218.15283980542111</v>
      </c>
      <c r="BS265" s="88">
        <v>217.932132550501</v>
      </c>
      <c r="BT265" s="88">
        <v>217.7118714273885</v>
      </c>
      <c r="BU265" s="88">
        <v>217.49205508474441</v>
      </c>
      <c r="BV265" s="88">
        <v>217.27268217669729</v>
      </c>
      <c r="BW265" s="88">
        <v>0</v>
      </c>
      <c r="BX265" s="88">
        <v>0</v>
      </c>
      <c r="BY265" s="88">
        <v>0</v>
      </c>
      <c r="BZ265" s="88">
        <v>0</v>
      </c>
      <c r="CA265" s="88">
        <v>0</v>
      </c>
      <c r="CB265" s="88">
        <v>0</v>
      </c>
      <c r="CC265" s="88">
        <v>0</v>
      </c>
      <c r="CD265" s="88">
        <v>0</v>
      </c>
      <c r="CE265" s="88">
        <v>0</v>
      </c>
      <c r="CF265" s="88">
        <v>0</v>
      </c>
      <c r="CG265" s="88">
        <v>0</v>
      </c>
      <c r="CH265" s="88">
        <v>0</v>
      </c>
      <c r="CI265" s="88">
        <v>18000</v>
      </c>
      <c r="CJ265" s="88">
        <v>18000</v>
      </c>
      <c r="CK265" s="88">
        <v>18000</v>
      </c>
      <c r="CL265" s="88">
        <v>18000</v>
      </c>
      <c r="CM265" s="88">
        <v>18000</v>
      </c>
      <c r="CN265" s="88">
        <v>18000</v>
      </c>
      <c r="CO265" s="88">
        <v>18000</v>
      </c>
      <c r="CP265" s="88">
        <v>18000</v>
      </c>
      <c r="CQ265" s="88">
        <v>18000</v>
      </c>
      <c r="CR265" s="88">
        <v>18000</v>
      </c>
      <c r="CS265" s="88">
        <v>18000</v>
      </c>
      <c r="CT265" s="88">
        <v>18000</v>
      </c>
      <c r="CU265" s="88">
        <v>219.69937634804239</v>
      </c>
      <c r="CV265" s="88">
        <v>219.4828622970544</v>
      </c>
      <c r="CW265" s="88">
        <v>219.26677457573001</v>
      </c>
      <c r="CX265" s="88">
        <v>219.04380876175011</v>
      </c>
      <c r="CY265" s="88">
        <v>218.82129594164871</v>
      </c>
      <c r="CZ265" s="88">
        <v>218.59923473631679</v>
      </c>
      <c r="DA265" s="88">
        <v>218.37762377224519</v>
      </c>
      <c r="DB265" s="88">
        <v>218.15283980542111</v>
      </c>
      <c r="DC265" s="88">
        <v>217.932132550501</v>
      </c>
      <c r="DD265" s="88">
        <v>217.7118714273885</v>
      </c>
      <c r="DE265" s="88">
        <v>217.49205508474441</v>
      </c>
      <c r="DF265" s="88">
        <v>217.27268217669729</v>
      </c>
      <c r="DG265" s="93"/>
      <c r="DH265" s="91"/>
      <c r="DJ265" s="93"/>
      <c r="DK265" s="91"/>
      <c r="DM265" s="93"/>
      <c r="DN265" s="91"/>
      <c r="DP265" s="93"/>
      <c r="DQ265" s="91"/>
    </row>
    <row r="266" spans="1:121" x14ac:dyDescent="0.3">
      <c r="A266" t="s">
        <v>30</v>
      </c>
      <c r="B266" t="s">
        <v>42</v>
      </c>
      <c r="C266" t="s">
        <v>82</v>
      </c>
      <c r="D266" t="s">
        <v>325</v>
      </c>
      <c r="E266" t="s">
        <v>629</v>
      </c>
      <c r="F266" s="86">
        <v>13200</v>
      </c>
      <c r="G266" s="87">
        <v>12</v>
      </c>
      <c r="H266" s="88">
        <v>1.04</v>
      </c>
      <c r="I266" s="88">
        <v>1.04</v>
      </c>
      <c r="J266" s="89">
        <v>0.98900209700948194</v>
      </c>
      <c r="K266" s="88">
        <v>0.99999999999999978</v>
      </c>
      <c r="L266" s="88">
        <v>1.011120201892163</v>
      </c>
      <c r="M266" s="88">
        <v>1</v>
      </c>
      <c r="N266" s="90">
        <v>0.55800000000000005</v>
      </c>
      <c r="O266" s="90">
        <v>0.56420507265582687</v>
      </c>
      <c r="P266" s="90">
        <v>0.56611134421243869</v>
      </c>
      <c r="Q266" s="91">
        <v>0</v>
      </c>
      <c r="R266" s="88">
        <v>0.99999999999999978</v>
      </c>
      <c r="S266" s="88">
        <v>1.0145364591620769</v>
      </c>
      <c r="T266" s="91">
        <v>0</v>
      </c>
      <c r="U266" s="91">
        <v>0</v>
      </c>
      <c r="V266" s="87">
        <v>0</v>
      </c>
      <c r="W266" s="91">
        <v>0</v>
      </c>
      <c r="X266" s="87">
        <v>1</v>
      </c>
      <c r="Y266" s="90">
        <v>0.56420507265582687</v>
      </c>
      <c r="Z266" s="90">
        <v>0.56611134421243869</v>
      </c>
      <c r="AA266" s="92">
        <v>0</v>
      </c>
      <c r="AB266" s="88">
        <v>0</v>
      </c>
      <c r="AC266" s="87">
        <v>1</v>
      </c>
      <c r="AD266" s="87">
        <v>0</v>
      </c>
      <c r="AE266" s="88">
        <v>1</v>
      </c>
      <c r="AF266" s="88">
        <v>0.99597028697853884</v>
      </c>
      <c r="AG266" s="88">
        <v>0.99597028697853884</v>
      </c>
      <c r="AH266" s="88">
        <v>13728</v>
      </c>
      <c r="AI266" s="88">
        <v>13728</v>
      </c>
      <c r="AJ266" s="88">
        <v>13054.827680525161</v>
      </c>
      <c r="AK266" s="88">
        <v>13200</v>
      </c>
      <c r="AL266" s="88">
        <v>13346.786664976549</v>
      </c>
      <c r="AM266" s="88">
        <v>13200</v>
      </c>
      <c r="AN266" s="88">
        <v>7365.6</v>
      </c>
      <c r="AO266" s="88">
        <v>7447.5069590569146</v>
      </c>
      <c r="AP266" s="88">
        <v>7472.6697436041904</v>
      </c>
      <c r="AQ266" s="88">
        <v>0</v>
      </c>
      <c r="AR266" s="88">
        <v>13200</v>
      </c>
      <c r="AS266" s="88">
        <v>13391.88126093941</v>
      </c>
      <c r="AT266" s="88">
        <v>7447.5069590569146</v>
      </c>
      <c r="AU266" s="88">
        <v>7472.6697436041904</v>
      </c>
      <c r="AV266" s="88">
        <v>13200</v>
      </c>
      <c r="AW266" s="88">
        <v>13068</v>
      </c>
      <c r="AX266" s="88">
        <v>13002</v>
      </c>
      <c r="AY266" s="88">
        <v>13200</v>
      </c>
      <c r="AZ266" s="88">
        <v>13200</v>
      </c>
      <c r="BA266" s="88">
        <v>13200</v>
      </c>
      <c r="BB266" s="88">
        <v>13200</v>
      </c>
      <c r="BC266" s="88">
        <v>13200</v>
      </c>
      <c r="BD266" s="88">
        <v>13200</v>
      </c>
      <c r="BE266" s="88">
        <v>13200</v>
      </c>
      <c r="BF266" s="88">
        <v>13200</v>
      </c>
      <c r="BG266" s="88">
        <v>13200</v>
      </c>
      <c r="BH266" s="88">
        <v>13200</v>
      </c>
      <c r="BI266" s="88">
        <v>13200</v>
      </c>
      <c r="BJ266" s="88">
        <v>13200</v>
      </c>
      <c r="BK266" s="88">
        <v>-53.09471201794085</v>
      </c>
      <c r="BL266" s="88">
        <v>-53.111978305443543</v>
      </c>
      <c r="BM266" s="88">
        <v>-53.129255826519113</v>
      </c>
      <c r="BN266" s="88">
        <v>-53.147130849162757</v>
      </c>
      <c r="BO266" s="88">
        <v>-53.165017903743987</v>
      </c>
      <c r="BP266" s="88">
        <v>-53.182917002417618</v>
      </c>
      <c r="BQ266" s="88">
        <v>-53.200828157350173</v>
      </c>
      <c r="BR266" s="88">
        <v>-53.219045304673209</v>
      </c>
      <c r="BS266" s="88">
        <v>-53.23698080684305</v>
      </c>
      <c r="BT266" s="88">
        <v>-53.254928402076239</v>
      </c>
      <c r="BU266" s="88">
        <v>-53.272888102609663</v>
      </c>
      <c r="BV266" s="88">
        <v>-53.290859920693379</v>
      </c>
      <c r="BW266" s="88">
        <v>0</v>
      </c>
      <c r="BX266" s="88">
        <v>0</v>
      </c>
      <c r="BY266" s="88">
        <v>0</v>
      </c>
      <c r="BZ266" s="88">
        <v>0</v>
      </c>
      <c r="CA266" s="88">
        <v>0</v>
      </c>
      <c r="CB266" s="88">
        <v>0</v>
      </c>
      <c r="CC266" s="88">
        <v>0</v>
      </c>
      <c r="CD266" s="88">
        <v>0</v>
      </c>
      <c r="CE266" s="88">
        <v>0</v>
      </c>
      <c r="CF266" s="88">
        <v>0</v>
      </c>
      <c r="CG266" s="88">
        <v>0</v>
      </c>
      <c r="CH266" s="88">
        <v>0</v>
      </c>
      <c r="CI266" s="88">
        <v>13200</v>
      </c>
      <c r="CJ266" s="88">
        <v>13200</v>
      </c>
      <c r="CK266" s="88">
        <v>13200</v>
      </c>
      <c r="CL266" s="88">
        <v>13200</v>
      </c>
      <c r="CM266" s="88">
        <v>13200</v>
      </c>
      <c r="CN266" s="88">
        <v>13200</v>
      </c>
      <c r="CO266" s="88">
        <v>13200</v>
      </c>
      <c r="CP266" s="88">
        <v>13200</v>
      </c>
      <c r="CQ266" s="88">
        <v>13200</v>
      </c>
      <c r="CR266" s="88">
        <v>13200</v>
      </c>
      <c r="CS266" s="88">
        <v>13200</v>
      </c>
      <c r="CT266" s="88">
        <v>13200</v>
      </c>
      <c r="CU266" s="88">
        <v>-53.09471201794085</v>
      </c>
      <c r="CV266" s="88">
        <v>-53.111978305443543</v>
      </c>
      <c r="CW266" s="88">
        <v>-53.129255826519113</v>
      </c>
      <c r="CX266" s="88">
        <v>-53.147130849162757</v>
      </c>
      <c r="CY266" s="88">
        <v>-53.165017903743987</v>
      </c>
      <c r="CZ266" s="88">
        <v>-53.182917002417618</v>
      </c>
      <c r="DA266" s="88">
        <v>-53.200828157350173</v>
      </c>
      <c r="DB266" s="88">
        <v>-53.219045304673209</v>
      </c>
      <c r="DC266" s="88">
        <v>-53.23698080684305</v>
      </c>
      <c r="DD266" s="88">
        <v>-53.254928402076239</v>
      </c>
      <c r="DE266" s="88">
        <v>-53.272888102609663</v>
      </c>
      <c r="DF266" s="88">
        <v>-53.290859920693379</v>
      </c>
      <c r="DG266" s="93">
        <v>46023</v>
      </c>
      <c r="DH266" s="91">
        <v>0.04</v>
      </c>
      <c r="DI266" t="s">
        <v>301</v>
      </c>
      <c r="DJ266" s="93"/>
      <c r="DK266" s="91"/>
      <c r="DM266" s="93"/>
      <c r="DN266" s="91"/>
      <c r="DP266" s="93"/>
      <c r="DQ266" s="91"/>
    </row>
    <row r="267" spans="1:121" x14ac:dyDescent="0.3">
      <c r="A267" t="s">
        <v>30</v>
      </c>
      <c r="B267" t="s">
        <v>42</v>
      </c>
      <c r="C267" t="s">
        <v>85</v>
      </c>
      <c r="D267" t="s">
        <v>327</v>
      </c>
      <c r="E267" t="s">
        <v>630</v>
      </c>
      <c r="F267" s="86">
        <v>28800</v>
      </c>
      <c r="G267" s="87">
        <v>12</v>
      </c>
      <c r="H267" s="88">
        <v>1.05</v>
      </c>
      <c r="I267" s="88">
        <v>1.061638888888889</v>
      </c>
      <c r="J267" s="89">
        <v>0.99199580598103554</v>
      </c>
      <c r="K267" s="88">
        <v>0.9890368664800232</v>
      </c>
      <c r="L267" s="88">
        <v>1.008068778084247</v>
      </c>
      <c r="M267" s="88">
        <v>1</v>
      </c>
      <c r="N267" s="90">
        <v>0.54200000000000004</v>
      </c>
      <c r="O267" s="90">
        <v>0.54038331452625188</v>
      </c>
      <c r="P267" s="90">
        <v>0.52248301774148365</v>
      </c>
      <c r="Q267" s="91">
        <v>0</v>
      </c>
      <c r="R267" s="88">
        <v>0.96269554753309272</v>
      </c>
      <c r="S267" s="88">
        <v>1.0013454514372071</v>
      </c>
      <c r="T267" s="91">
        <v>1.108465608465603E-2</v>
      </c>
      <c r="U267" s="91">
        <v>2.7362045056124051E-2</v>
      </c>
      <c r="V267" s="87">
        <v>0</v>
      </c>
      <c r="W267" s="91">
        <v>0</v>
      </c>
      <c r="X267" s="87">
        <v>1</v>
      </c>
      <c r="Y267" s="90">
        <v>0.54038331452625188</v>
      </c>
      <c r="Z267" s="90">
        <v>0.52248301774148365</v>
      </c>
      <c r="AA267" s="92">
        <v>0</v>
      </c>
      <c r="AB267" s="88">
        <v>0</v>
      </c>
      <c r="AC267" s="87">
        <v>1</v>
      </c>
      <c r="AD267" s="87">
        <v>1</v>
      </c>
      <c r="AE267" s="88">
        <v>1.034166666666666</v>
      </c>
      <c r="AF267" s="88">
        <v>1.0080839018517109</v>
      </c>
      <c r="AG267" s="88">
        <v>1.042526647675871</v>
      </c>
      <c r="AH267" s="88">
        <v>30240</v>
      </c>
      <c r="AI267" s="88">
        <v>30575.200000000001</v>
      </c>
      <c r="AJ267" s="88">
        <v>28569.47921225382</v>
      </c>
      <c r="AK267" s="88">
        <v>28484.261754624669</v>
      </c>
      <c r="AL267" s="88">
        <v>29032.38080882631</v>
      </c>
      <c r="AM267" s="88">
        <v>28800</v>
      </c>
      <c r="AN267" s="88">
        <v>15609.6</v>
      </c>
      <c r="AO267" s="88">
        <v>15563.03945835605</v>
      </c>
      <c r="AP267" s="88">
        <v>15047.51091095473</v>
      </c>
      <c r="AQ267" s="88">
        <v>0</v>
      </c>
      <c r="AR267" s="88">
        <v>27725.63176895307</v>
      </c>
      <c r="AS267" s="88">
        <v>28838.749001391559</v>
      </c>
      <c r="AT267" s="88">
        <v>15563.03945835605</v>
      </c>
      <c r="AU267" s="88">
        <v>15047.51091095473</v>
      </c>
      <c r="AV267" s="88">
        <v>28800</v>
      </c>
      <c r="AW267" s="88">
        <v>28512</v>
      </c>
      <c r="AX267" s="88">
        <v>28800</v>
      </c>
      <c r="AY267" s="88">
        <v>28800</v>
      </c>
      <c r="AZ267" s="88">
        <v>28800</v>
      </c>
      <c r="BA267" s="88">
        <v>28800</v>
      </c>
      <c r="BB267" s="88">
        <v>28800</v>
      </c>
      <c r="BC267" s="88">
        <v>28800</v>
      </c>
      <c r="BD267" s="88">
        <v>28800</v>
      </c>
      <c r="BE267" s="88">
        <v>28800</v>
      </c>
      <c r="BF267" s="88">
        <v>28800</v>
      </c>
      <c r="BG267" s="88">
        <v>28800</v>
      </c>
      <c r="BH267" s="88">
        <v>28800</v>
      </c>
      <c r="BI267" s="88">
        <v>28800</v>
      </c>
      <c r="BJ267" s="88">
        <v>28800</v>
      </c>
      <c r="BK267" s="88">
        <v>1685.359060141604</v>
      </c>
      <c r="BL267" s="88">
        <v>233.5221592802377</v>
      </c>
      <c r="BM267" s="88">
        <v>233.36922376760609</v>
      </c>
      <c r="BN267" s="88">
        <v>1394.539767054905</v>
      </c>
      <c r="BO267" s="88">
        <v>1394.37576348782</v>
      </c>
      <c r="BP267" s="88">
        <v>1394.2119815668159</v>
      </c>
      <c r="BQ267" s="88">
        <v>1394.0484208428809</v>
      </c>
      <c r="BR267" s="88">
        <v>1393.8824050002791</v>
      </c>
      <c r="BS267" s="88">
        <v>1393.7192889360581</v>
      </c>
      <c r="BT267" s="88">
        <v>1393.5563927218129</v>
      </c>
      <c r="BU267" s="88">
        <v>1393.3937159133529</v>
      </c>
      <c r="BV267" s="88">
        <v>1393.2312580677201</v>
      </c>
      <c r="BW267" s="88">
        <v>1440.0000000000009</v>
      </c>
      <c r="BX267" s="88">
        <v>0</v>
      </c>
      <c r="BY267" s="88">
        <v>0</v>
      </c>
      <c r="BZ267" s="88">
        <v>1152.0000000000009</v>
      </c>
      <c r="CA267" s="88">
        <v>1152.0000000000009</v>
      </c>
      <c r="CB267" s="88">
        <v>1152.0000000000009</v>
      </c>
      <c r="CC267" s="88">
        <v>1152.0000000000009</v>
      </c>
      <c r="CD267" s="88">
        <v>1152.0000000000009</v>
      </c>
      <c r="CE267" s="88">
        <v>1152.0000000000009</v>
      </c>
      <c r="CF267" s="88">
        <v>1152.0000000000009</v>
      </c>
      <c r="CG267" s="88">
        <v>1152.0000000000009</v>
      </c>
      <c r="CH267" s="88">
        <v>1152.0000000000009</v>
      </c>
      <c r="CI267" s="88">
        <v>28800</v>
      </c>
      <c r="CJ267" s="88">
        <v>28800</v>
      </c>
      <c r="CK267" s="88">
        <v>28800</v>
      </c>
      <c r="CL267" s="88">
        <v>28800</v>
      </c>
      <c r="CM267" s="88">
        <v>28800</v>
      </c>
      <c r="CN267" s="88">
        <v>28800</v>
      </c>
      <c r="CO267" s="88">
        <v>28800</v>
      </c>
      <c r="CP267" s="88">
        <v>28800</v>
      </c>
      <c r="CQ267" s="88">
        <v>28800</v>
      </c>
      <c r="CR267" s="88">
        <v>28800</v>
      </c>
      <c r="CS267" s="88">
        <v>28800</v>
      </c>
      <c r="CT267" s="88">
        <v>28800</v>
      </c>
      <c r="CU267" s="88">
        <v>233.675295372953</v>
      </c>
      <c r="CV267" s="88">
        <v>233.5221592802377</v>
      </c>
      <c r="CW267" s="88">
        <v>233.36922376760609</v>
      </c>
      <c r="CX267" s="88">
        <v>233.21131447587081</v>
      </c>
      <c r="CY267" s="88">
        <v>233.053618738289</v>
      </c>
      <c r="CZ267" s="88">
        <v>232.89613612193989</v>
      </c>
      <c r="DA267" s="88">
        <v>232.7388661950792</v>
      </c>
      <c r="DB267" s="88">
        <v>232.57923557719019</v>
      </c>
      <c r="DC267" s="88">
        <v>232.42239320774939</v>
      </c>
      <c r="DD267" s="88">
        <v>232.26576223251311</v>
      </c>
      <c r="DE267" s="88">
        <v>232.10934222437979</v>
      </c>
      <c r="DF267" s="88">
        <v>231.95313275742461</v>
      </c>
      <c r="DG267" s="93">
        <v>46054</v>
      </c>
      <c r="DH267" s="91">
        <v>0.05</v>
      </c>
      <c r="DI267" t="s">
        <v>301</v>
      </c>
      <c r="DJ267" s="93">
        <v>46478</v>
      </c>
      <c r="DK267" s="91">
        <v>0.04</v>
      </c>
      <c r="DL267" t="s">
        <v>302</v>
      </c>
      <c r="DM267" s="93"/>
      <c r="DN267" s="91"/>
      <c r="DP267" s="93"/>
      <c r="DQ267" s="91"/>
    </row>
    <row r="268" spans="1:121" x14ac:dyDescent="0.3">
      <c r="A268" t="s">
        <v>30</v>
      </c>
      <c r="B268" t="s">
        <v>42</v>
      </c>
      <c r="C268" t="s">
        <v>87</v>
      </c>
      <c r="D268" t="s">
        <v>329</v>
      </c>
      <c r="E268" t="s">
        <v>631</v>
      </c>
      <c r="F268" s="86">
        <v>24000</v>
      </c>
      <c r="G268" s="87">
        <v>12</v>
      </c>
      <c r="H268" s="88">
        <v>1</v>
      </c>
      <c r="I268" s="88">
        <v>1</v>
      </c>
      <c r="J268" s="89">
        <v>0.98800419401896411</v>
      </c>
      <c r="K268" s="88">
        <v>1</v>
      </c>
      <c r="L268" s="88">
        <v>1.012141452489427</v>
      </c>
      <c r="M268" s="88">
        <v>1</v>
      </c>
      <c r="N268" s="90">
        <v>0.56999999999999995</v>
      </c>
      <c r="O268" s="90">
        <v>0.57692062791897336</v>
      </c>
      <c r="P268" s="90">
        <v>0.58083628879644134</v>
      </c>
      <c r="Q268" s="91">
        <v>0</v>
      </c>
      <c r="R268" s="88">
        <v>1</v>
      </c>
      <c r="S268" s="88">
        <v>1.019011032976213</v>
      </c>
      <c r="T268" s="91">
        <v>0</v>
      </c>
      <c r="U268" s="91">
        <v>0</v>
      </c>
      <c r="V268" s="87">
        <v>0</v>
      </c>
      <c r="W268" s="91">
        <v>0</v>
      </c>
      <c r="X268" s="87">
        <v>1</v>
      </c>
      <c r="Y268" s="90">
        <v>0.57692062791897336</v>
      </c>
      <c r="Z268" s="90">
        <v>0.58083628879644134</v>
      </c>
      <c r="AA268" s="92">
        <v>0</v>
      </c>
      <c r="AB268" s="88">
        <v>0</v>
      </c>
      <c r="AC268" s="87">
        <v>0</v>
      </c>
      <c r="AD268" s="87">
        <v>0</v>
      </c>
      <c r="AE268" s="88">
        <v>1</v>
      </c>
      <c r="AF268" s="88">
        <v>0.99194865631796525</v>
      </c>
      <c r="AG268" s="88">
        <v>0.99194865631796525</v>
      </c>
      <c r="AH268" s="88">
        <v>24000</v>
      </c>
      <c r="AI268" s="88">
        <v>24000</v>
      </c>
      <c r="AJ268" s="88">
        <v>23712.100656455139</v>
      </c>
      <c r="AK268" s="88">
        <v>24000</v>
      </c>
      <c r="AL268" s="88">
        <v>24291.394859746251</v>
      </c>
      <c r="AM268" s="88">
        <v>24000</v>
      </c>
      <c r="AN268" s="88">
        <v>13680</v>
      </c>
      <c r="AO268" s="88">
        <v>13846.09507005536</v>
      </c>
      <c r="AP268" s="88">
        <v>13940.070931114589</v>
      </c>
      <c r="AQ268" s="88">
        <v>0</v>
      </c>
      <c r="AR268" s="88">
        <v>24000</v>
      </c>
      <c r="AS268" s="88">
        <v>24456.264791429108</v>
      </c>
      <c r="AT268" s="88">
        <v>13846.09507005536</v>
      </c>
      <c r="AU268" s="88">
        <v>13940.070931114589</v>
      </c>
      <c r="AV268" s="88">
        <v>24000</v>
      </c>
      <c r="AW268" s="88">
        <v>23760</v>
      </c>
      <c r="AX268" s="88">
        <v>23520</v>
      </c>
      <c r="AY268" s="88">
        <v>24000</v>
      </c>
      <c r="AZ268" s="88">
        <v>24000</v>
      </c>
      <c r="BA268" s="88">
        <v>24000</v>
      </c>
      <c r="BB268" s="88">
        <v>24000</v>
      </c>
      <c r="BC268" s="88">
        <v>24000</v>
      </c>
      <c r="BD268" s="88">
        <v>24000</v>
      </c>
      <c r="BE268" s="88">
        <v>24000</v>
      </c>
      <c r="BF268" s="88">
        <v>24000</v>
      </c>
      <c r="BG268" s="88">
        <v>24000</v>
      </c>
      <c r="BH268" s="88">
        <v>24000</v>
      </c>
      <c r="BI268" s="88">
        <v>24000</v>
      </c>
      <c r="BJ268" s="88">
        <v>24000</v>
      </c>
      <c r="BK268" s="88">
        <v>-192.5253568642091</v>
      </c>
      <c r="BL268" s="88">
        <v>-192.65026060566021</v>
      </c>
      <c r="BM268" s="88">
        <v>-192.77532651870999</v>
      </c>
      <c r="BN268" s="88">
        <v>-192.90480280108289</v>
      </c>
      <c r="BO268" s="88">
        <v>-193.03445312413899</v>
      </c>
      <c r="BP268" s="88">
        <v>-193.16427783902949</v>
      </c>
      <c r="BQ268" s="88">
        <v>-193.29427729785121</v>
      </c>
      <c r="BR268" s="88">
        <v>-193.42658732349349</v>
      </c>
      <c r="BS268" s="88">
        <v>-193.5569402094641</v>
      </c>
      <c r="BT268" s="88">
        <v>-193.68746890719461</v>
      </c>
      <c r="BU268" s="88">
        <v>-193.8181737725948</v>
      </c>
      <c r="BV268" s="88">
        <v>-193.949055162566</v>
      </c>
      <c r="BW268" s="88">
        <v>0</v>
      </c>
      <c r="BX268" s="88">
        <v>0</v>
      </c>
      <c r="BY268" s="88">
        <v>0</v>
      </c>
      <c r="BZ268" s="88">
        <v>0</v>
      </c>
      <c r="CA268" s="88">
        <v>0</v>
      </c>
      <c r="CB268" s="88">
        <v>0</v>
      </c>
      <c r="CC268" s="88">
        <v>0</v>
      </c>
      <c r="CD268" s="88">
        <v>0</v>
      </c>
      <c r="CE268" s="88">
        <v>0</v>
      </c>
      <c r="CF268" s="88">
        <v>0</v>
      </c>
      <c r="CG268" s="88">
        <v>0</v>
      </c>
      <c r="CH268" s="88">
        <v>0</v>
      </c>
      <c r="CI268" s="88">
        <v>24000</v>
      </c>
      <c r="CJ268" s="88">
        <v>24000</v>
      </c>
      <c r="CK268" s="88">
        <v>24000</v>
      </c>
      <c r="CL268" s="88">
        <v>24000</v>
      </c>
      <c r="CM268" s="88">
        <v>24000</v>
      </c>
      <c r="CN268" s="88">
        <v>24000</v>
      </c>
      <c r="CO268" s="88">
        <v>24000</v>
      </c>
      <c r="CP268" s="88">
        <v>24000</v>
      </c>
      <c r="CQ268" s="88">
        <v>24000</v>
      </c>
      <c r="CR268" s="88">
        <v>24000</v>
      </c>
      <c r="CS268" s="88">
        <v>24000</v>
      </c>
      <c r="CT268" s="88">
        <v>24000</v>
      </c>
      <c r="CU268" s="88">
        <v>-192.5253568642091</v>
      </c>
      <c r="CV268" s="88">
        <v>-192.65026060566021</v>
      </c>
      <c r="CW268" s="88">
        <v>-192.77532651870999</v>
      </c>
      <c r="CX268" s="88">
        <v>-192.90480280108289</v>
      </c>
      <c r="CY268" s="88">
        <v>-193.03445312413899</v>
      </c>
      <c r="CZ268" s="88">
        <v>-193.16427783902949</v>
      </c>
      <c r="DA268" s="88">
        <v>-193.29427729785121</v>
      </c>
      <c r="DB268" s="88">
        <v>-193.42658732349349</v>
      </c>
      <c r="DC268" s="88">
        <v>-193.5569402094641</v>
      </c>
      <c r="DD268" s="88">
        <v>-193.68746890719461</v>
      </c>
      <c r="DE268" s="88">
        <v>-193.8181737725948</v>
      </c>
      <c r="DF268" s="88">
        <v>-193.949055162566</v>
      </c>
      <c r="DG268" s="93"/>
      <c r="DH268" s="91"/>
      <c r="DJ268" s="93"/>
      <c r="DK268" s="91"/>
      <c r="DM268" s="93"/>
      <c r="DN268" s="91"/>
      <c r="DP268" s="93"/>
      <c r="DQ268" s="91"/>
    </row>
    <row r="269" spans="1:121" x14ac:dyDescent="0.3">
      <c r="A269" t="s">
        <v>30</v>
      </c>
      <c r="B269" t="s">
        <v>42</v>
      </c>
      <c r="C269" t="s">
        <v>89</v>
      </c>
      <c r="D269" t="s">
        <v>331</v>
      </c>
      <c r="E269" t="s">
        <v>632</v>
      </c>
      <c r="F269" s="86">
        <v>19200</v>
      </c>
      <c r="G269" s="87">
        <v>12</v>
      </c>
      <c r="H269" s="88">
        <v>1.02</v>
      </c>
      <c r="I269" s="88">
        <v>1.0193749999999999</v>
      </c>
      <c r="J269" s="89">
        <v>0.99099790299051793</v>
      </c>
      <c r="K269" s="88">
        <v>1.000613120784795</v>
      </c>
      <c r="L269" s="88">
        <v>1.009083870896514</v>
      </c>
      <c r="M269" s="88">
        <v>1</v>
      </c>
      <c r="N269" s="90">
        <v>0.55400000000000005</v>
      </c>
      <c r="O269" s="90">
        <v>0.55937521890001463</v>
      </c>
      <c r="P269" s="90">
        <v>0.55716011288268319</v>
      </c>
      <c r="Q269" s="91">
        <v>0</v>
      </c>
      <c r="R269" s="88">
        <v>1</v>
      </c>
      <c r="S269" s="88">
        <v>1.005704174878489</v>
      </c>
      <c r="T269" s="91">
        <v>-6.1274509803932453E-4</v>
      </c>
      <c r="U269" s="91">
        <v>6.1312078479458521E-4</v>
      </c>
      <c r="V269" s="87">
        <v>0</v>
      </c>
      <c r="W269" s="91">
        <v>0</v>
      </c>
      <c r="X269" s="87">
        <v>1</v>
      </c>
      <c r="Y269" s="90">
        <v>0.55937521890001463</v>
      </c>
      <c r="Z269" s="90">
        <v>0.55716011288268319</v>
      </c>
      <c r="AA269" s="92">
        <v>0</v>
      </c>
      <c r="AB269" s="88">
        <v>0</v>
      </c>
      <c r="AC269" s="87">
        <v>1</v>
      </c>
      <c r="AD269" s="87">
        <v>0</v>
      </c>
      <c r="AE269" s="88">
        <v>1.0049999999999999</v>
      </c>
      <c r="AF269" s="88">
        <v>1.004037852440528</v>
      </c>
      <c r="AG269" s="88">
        <v>1.0090580722562781</v>
      </c>
      <c r="AH269" s="88">
        <v>19584</v>
      </c>
      <c r="AI269" s="88">
        <v>19572</v>
      </c>
      <c r="AJ269" s="88">
        <v>19027.15973741794</v>
      </c>
      <c r="AK269" s="88">
        <v>19211.771919068058</v>
      </c>
      <c r="AL269" s="88">
        <v>19374.410321213069</v>
      </c>
      <c r="AM269" s="88">
        <v>19200</v>
      </c>
      <c r="AN269" s="88">
        <v>10636.8</v>
      </c>
      <c r="AO269" s="88">
        <v>10740.00420288028</v>
      </c>
      <c r="AP269" s="88">
        <v>10697.47416734752</v>
      </c>
      <c r="AQ269" s="88">
        <v>0</v>
      </c>
      <c r="AR269" s="88">
        <v>19200</v>
      </c>
      <c r="AS269" s="88">
        <v>19309.52015766699</v>
      </c>
      <c r="AT269" s="88">
        <v>10740.00420288028</v>
      </c>
      <c r="AU269" s="88">
        <v>10697.47416734752</v>
      </c>
      <c r="AV269" s="88">
        <v>19200</v>
      </c>
      <c r="AW269" s="88">
        <v>19008</v>
      </c>
      <c r="AX269" s="88">
        <v>19104</v>
      </c>
      <c r="AY269" s="88">
        <v>19200</v>
      </c>
      <c r="AZ269" s="88">
        <v>19200</v>
      </c>
      <c r="BA269" s="88">
        <v>19200</v>
      </c>
      <c r="BB269" s="88">
        <v>19200</v>
      </c>
      <c r="BC269" s="88">
        <v>19200</v>
      </c>
      <c r="BD269" s="88">
        <v>19200</v>
      </c>
      <c r="BE269" s="88">
        <v>19200</v>
      </c>
      <c r="BF269" s="88">
        <v>19200</v>
      </c>
      <c r="BG269" s="88">
        <v>19200</v>
      </c>
      <c r="BH269" s="88">
        <v>19200</v>
      </c>
      <c r="BI269" s="88">
        <v>19200</v>
      </c>
      <c r="BJ269" s="88">
        <v>19200</v>
      </c>
      <c r="BK269" s="88">
        <v>463.2228619560351</v>
      </c>
      <c r="BL269" s="88">
        <v>463.19696868975632</v>
      </c>
      <c r="BM269" s="88">
        <v>463.17109234389869</v>
      </c>
      <c r="BN269" s="88">
        <v>77.592506477112977</v>
      </c>
      <c r="BO269" s="88">
        <v>77.566312667060799</v>
      </c>
      <c r="BP269" s="88">
        <v>77.54013653614038</v>
      </c>
      <c r="BQ269" s="88">
        <v>77.513978066463096</v>
      </c>
      <c r="BR269" s="88">
        <v>77.487408848912764</v>
      </c>
      <c r="BS269" s="88">
        <v>77.461285936929869</v>
      </c>
      <c r="BT269" s="88">
        <v>77.435180632366496</v>
      </c>
      <c r="BU269" s="88">
        <v>77.409092917419287</v>
      </c>
      <c r="BV269" s="88">
        <v>77.383022774327515</v>
      </c>
      <c r="BW269" s="88">
        <v>384.00000000000028</v>
      </c>
      <c r="BX269" s="88">
        <v>384.00000000000028</v>
      </c>
      <c r="BY269" s="88">
        <v>384.00000000000028</v>
      </c>
      <c r="BZ269" s="88">
        <v>0</v>
      </c>
      <c r="CA269" s="88">
        <v>0</v>
      </c>
      <c r="CB269" s="88">
        <v>0</v>
      </c>
      <c r="CC269" s="88">
        <v>0</v>
      </c>
      <c r="CD269" s="88">
        <v>0</v>
      </c>
      <c r="CE269" s="88">
        <v>0</v>
      </c>
      <c r="CF269" s="88">
        <v>0</v>
      </c>
      <c r="CG269" s="88">
        <v>0</v>
      </c>
      <c r="CH269" s="88">
        <v>0</v>
      </c>
      <c r="CI269" s="88">
        <v>19200</v>
      </c>
      <c r="CJ269" s="88">
        <v>19200</v>
      </c>
      <c r="CK269" s="88">
        <v>19200</v>
      </c>
      <c r="CL269" s="88">
        <v>19200</v>
      </c>
      <c r="CM269" s="88">
        <v>19200</v>
      </c>
      <c r="CN269" s="88">
        <v>19200</v>
      </c>
      <c r="CO269" s="88">
        <v>19200</v>
      </c>
      <c r="CP269" s="88">
        <v>19200</v>
      </c>
      <c r="CQ269" s="88">
        <v>19200</v>
      </c>
      <c r="CR269" s="88">
        <v>19200</v>
      </c>
      <c r="CS269" s="88">
        <v>19200</v>
      </c>
      <c r="CT269" s="88">
        <v>19200</v>
      </c>
      <c r="CU269" s="88">
        <v>77.669472505914428</v>
      </c>
      <c r="CV269" s="88">
        <v>77.644086950739677</v>
      </c>
      <c r="CW269" s="88">
        <v>77.61871798421538</v>
      </c>
      <c r="CX269" s="88">
        <v>77.592506477112977</v>
      </c>
      <c r="CY269" s="88">
        <v>77.566312667060799</v>
      </c>
      <c r="CZ269" s="88">
        <v>77.54013653614038</v>
      </c>
      <c r="DA269" s="88">
        <v>77.513978066463096</v>
      </c>
      <c r="DB269" s="88">
        <v>77.487408848912764</v>
      </c>
      <c r="DC269" s="88">
        <v>77.461285936929869</v>
      </c>
      <c r="DD269" s="88">
        <v>77.435180632366496</v>
      </c>
      <c r="DE269" s="88">
        <v>77.409092917419287</v>
      </c>
      <c r="DF269" s="88">
        <v>77.383022774327515</v>
      </c>
      <c r="DG269" s="93">
        <v>46113</v>
      </c>
      <c r="DH269" s="91">
        <v>0.02</v>
      </c>
      <c r="DI269" t="s">
        <v>301</v>
      </c>
      <c r="DJ269" s="93"/>
      <c r="DK269" s="91"/>
      <c r="DM269" s="93"/>
      <c r="DN269" s="91"/>
      <c r="DP269" s="93"/>
      <c r="DQ269" s="91"/>
    </row>
    <row r="270" spans="1:121" x14ac:dyDescent="0.3">
      <c r="A270" t="s">
        <v>30</v>
      </c>
      <c r="B270" t="s">
        <v>42</v>
      </c>
      <c r="C270" t="s">
        <v>91</v>
      </c>
      <c r="D270" t="s">
        <v>333</v>
      </c>
      <c r="E270" t="s">
        <v>633</v>
      </c>
      <c r="F270" s="86">
        <v>14400</v>
      </c>
      <c r="G270" s="87">
        <v>12</v>
      </c>
      <c r="H270" s="88">
        <v>1.03</v>
      </c>
      <c r="I270" s="88">
        <v>1.028333333333334</v>
      </c>
      <c r="J270" s="89">
        <v>0.99399161196207142</v>
      </c>
      <c r="K270" s="88">
        <v>1.00162074554295</v>
      </c>
      <c r="L270" s="88">
        <v>1.006044706983058</v>
      </c>
      <c r="M270" s="88">
        <v>1</v>
      </c>
      <c r="N270" s="90">
        <v>0.53800000000000003</v>
      </c>
      <c r="O270" s="90">
        <v>0.54212928420835527</v>
      </c>
      <c r="P270" s="90">
        <v>0.53409432164966142</v>
      </c>
      <c r="Q270" s="91">
        <v>0</v>
      </c>
      <c r="R270" s="88">
        <v>0.99999999999999978</v>
      </c>
      <c r="S270" s="88">
        <v>0.9927403748134972</v>
      </c>
      <c r="T270" s="91">
        <v>-1.618122977346093E-3</v>
      </c>
      <c r="U270" s="91">
        <v>1.620745542949775E-3</v>
      </c>
      <c r="V270" s="87">
        <v>0</v>
      </c>
      <c r="W270" s="91">
        <v>0</v>
      </c>
      <c r="X270" s="87">
        <v>1</v>
      </c>
      <c r="Y270" s="90">
        <v>0.54212928420835527</v>
      </c>
      <c r="Z270" s="90">
        <v>0.53409432164966142</v>
      </c>
      <c r="AA270" s="92">
        <v>0</v>
      </c>
      <c r="AB270" s="88">
        <v>0</v>
      </c>
      <c r="AC270" s="87">
        <v>1</v>
      </c>
      <c r="AD270" s="87">
        <v>0</v>
      </c>
      <c r="AE270" s="88">
        <v>1.01</v>
      </c>
      <c r="AF270" s="88">
        <v>1.016200824295963</v>
      </c>
      <c r="AG270" s="88">
        <v>1.0263637092757329</v>
      </c>
      <c r="AH270" s="88">
        <v>14832</v>
      </c>
      <c r="AI270" s="88">
        <v>14808</v>
      </c>
      <c r="AJ270" s="88">
        <v>14313.479212253829</v>
      </c>
      <c r="AK270" s="88">
        <v>14423.33873581847</v>
      </c>
      <c r="AL270" s="88">
        <v>14487.04378055604</v>
      </c>
      <c r="AM270" s="88">
        <v>14400</v>
      </c>
      <c r="AN270" s="88">
        <v>7747.2000000000007</v>
      </c>
      <c r="AO270" s="88">
        <v>7806.6616926003162</v>
      </c>
      <c r="AP270" s="88">
        <v>7690.9582317551249</v>
      </c>
      <c r="AQ270" s="88">
        <v>0</v>
      </c>
      <c r="AR270" s="88">
        <v>14400</v>
      </c>
      <c r="AS270" s="88">
        <v>14295.461397314361</v>
      </c>
      <c r="AT270" s="88">
        <v>7806.6616926003162</v>
      </c>
      <c r="AU270" s="88">
        <v>7690.9582317551249</v>
      </c>
      <c r="AV270" s="88">
        <v>14400</v>
      </c>
      <c r="AW270" s="88">
        <v>14256</v>
      </c>
      <c r="AX270" s="88">
        <v>14544</v>
      </c>
      <c r="AY270" s="88">
        <v>14400</v>
      </c>
      <c r="AZ270" s="88">
        <v>14400</v>
      </c>
      <c r="BA270" s="88">
        <v>14400</v>
      </c>
      <c r="BB270" s="88">
        <v>14400</v>
      </c>
      <c r="BC270" s="88">
        <v>14400</v>
      </c>
      <c r="BD270" s="88">
        <v>14400</v>
      </c>
      <c r="BE270" s="88">
        <v>14400</v>
      </c>
      <c r="BF270" s="88">
        <v>14400</v>
      </c>
      <c r="BG270" s="88">
        <v>14400</v>
      </c>
      <c r="BH270" s="88">
        <v>14400</v>
      </c>
      <c r="BI270" s="88">
        <v>14400</v>
      </c>
      <c r="BJ270" s="88">
        <v>14400</v>
      </c>
      <c r="BK270" s="88">
        <v>674.07118583437898</v>
      </c>
      <c r="BL270" s="88">
        <v>673.75229419251173</v>
      </c>
      <c r="BM270" s="88">
        <v>673.43424162690258</v>
      </c>
      <c r="BN270" s="88">
        <v>673.10628632507201</v>
      </c>
      <c r="BO270" s="88">
        <v>233.76623376623581</v>
      </c>
      <c r="BP270" s="88">
        <v>233.44955473139419</v>
      </c>
      <c r="BQ270" s="88">
        <v>233.13373253493211</v>
      </c>
      <c r="BR270" s="88">
        <v>232.81360737066061</v>
      </c>
      <c r="BS270" s="88">
        <v>232.49950235551719</v>
      </c>
      <c r="BT270" s="88">
        <v>232.18624376021671</v>
      </c>
      <c r="BU270" s="88">
        <v>231.87382816808119</v>
      </c>
      <c r="BV270" s="88">
        <v>231.56225218080809</v>
      </c>
      <c r="BW270" s="88">
        <v>432.0000000000004</v>
      </c>
      <c r="BX270" s="88">
        <v>432.0000000000004</v>
      </c>
      <c r="BY270" s="88">
        <v>432.0000000000004</v>
      </c>
      <c r="BZ270" s="88">
        <v>432.0000000000004</v>
      </c>
      <c r="CA270" s="88">
        <v>0</v>
      </c>
      <c r="CB270" s="88">
        <v>0</v>
      </c>
      <c r="CC270" s="88">
        <v>0</v>
      </c>
      <c r="CD270" s="88">
        <v>0</v>
      </c>
      <c r="CE270" s="88">
        <v>0</v>
      </c>
      <c r="CF270" s="88">
        <v>0</v>
      </c>
      <c r="CG270" s="88">
        <v>0</v>
      </c>
      <c r="CH270" s="88">
        <v>0</v>
      </c>
      <c r="CI270" s="88">
        <v>14400</v>
      </c>
      <c r="CJ270" s="88">
        <v>14400</v>
      </c>
      <c r="CK270" s="88">
        <v>14400</v>
      </c>
      <c r="CL270" s="88">
        <v>14400</v>
      </c>
      <c r="CM270" s="88">
        <v>14400</v>
      </c>
      <c r="CN270" s="88">
        <v>14400</v>
      </c>
      <c r="CO270" s="88">
        <v>14400</v>
      </c>
      <c r="CP270" s="88">
        <v>14400</v>
      </c>
      <c r="CQ270" s="88">
        <v>14400</v>
      </c>
      <c r="CR270" s="88">
        <v>14400</v>
      </c>
      <c r="CS270" s="88">
        <v>14400</v>
      </c>
      <c r="CT270" s="88">
        <v>14400</v>
      </c>
      <c r="CU270" s="88">
        <v>235.02056877124139</v>
      </c>
      <c r="CV270" s="88">
        <v>234.71096523544719</v>
      </c>
      <c r="CW270" s="88">
        <v>234.40217633679799</v>
      </c>
      <c r="CX270" s="88">
        <v>234.08377313113749</v>
      </c>
      <c r="CY270" s="88">
        <v>233.76623376623581</v>
      </c>
      <c r="CZ270" s="88">
        <v>233.44955473139419</v>
      </c>
      <c r="DA270" s="88">
        <v>233.13373253493211</v>
      </c>
      <c r="DB270" s="88">
        <v>232.81360737066061</v>
      </c>
      <c r="DC270" s="88">
        <v>232.49950235551719</v>
      </c>
      <c r="DD270" s="88">
        <v>232.18624376021671</v>
      </c>
      <c r="DE270" s="88">
        <v>231.87382816808119</v>
      </c>
      <c r="DF270" s="88">
        <v>231.56225218080809</v>
      </c>
      <c r="DG270" s="93">
        <v>46143</v>
      </c>
      <c r="DH270" s="91">
        <v>0.03</v>
      </c>
      <c r="DI270" t="s">
        <v>301</v>
      </c>
      <c r="DJ270" s="93"/>
      <c r="DK270" s="91"/>
      <c r="DM270" s="93"/>
      <c r="DN270" s="91"/>
      <c r="DP270" s="93"/>
      <c r="DQ270" s="91"/>
    </row>
    <row r="271" spans="1:121" x14ac:dyDescent="0.3">
      <c r="A271" t="s">
        <v>30</v>
      </c>
      <c r="B271" t="s">
        <v>42</v>
      </c>
      <c r="C271" t="s">
        <v>92</v>
      </c>
      <c r="D271" t="s">
        <v>335</v>
      </c>
      <c r="E271" t="s">
        <v>634</v>
      </c>
      <c r="F271" s="86">
        <v>9600</v>
      </c>
      <c r="G271" s="87">
        <v>12</v>
      </c>
      <c r="H271" s="88">
        <v>1</v>
      </c>
      <c r="I271" s="88">
        <v>1.0034722222222221</v>
      </c>
      <c r="J271" s="89">
        <v>0.9900000000000001</v>
      </c>
      <c r="K271" s="88">
        <v>0.9965397923875432</v>
      </c>
      <c r="L271" s="88">
        <v>1.0101010101010099</v>
      </c>
      <c r="M271" s="88">
        <v>1</v>
      </c>
      <c r="N271" s="90">
        <v>0.56599999999999995</v>
      </c>
      <c r="O271" s="90">
        <v>0.56973891160742363</v>
      </c>
      <c r="P271" s="90">
        <v>0.5533490571802171</v>
      </c>
      <c r="Q271" s="91">
        <v>0</v>
      </c>
      <c r="R271" s="88">
        <v>0.9678720258099206</v>
      </c>
      <c r="S271" s="88">
        <v>1.0101010101010099</v>
      </c>
      <c r="T271" s="91">
        <v>3.4722222222223209E-3</v>
      </c>
      <c r="U271" s="91">
        <v>2.9619377162629631E-2</v>
      </c>
      <c r="V271" s="87">
        <v>0</v>
      </c>
      <c r="W271" s="91">
        <v>0</v>
      </c>
      <c r="X271" s="87">
        <v>1</v>
      </c>
      <c r="Y271" s="90">
        <v>0.56973891160742363</v>
      </c>
      <c r="Z271" s="90">
        <v>0.5533490571802171</v>
      </c>
      <c r="AA271" s="92">
        <v>0</v>
      </c>
      <c r="AB271" s="88">
        <v>0</v>
      </c>
      <c r="AC271" s="87">
        <v>0</v>
      </c>
      <c r="AD271" s="87">
        <v>1</v>
      </c>
      <c r="AE271" s="88">
        <v>1.0166666666666659</v>
      </c>
      <c r="AF271" s="88">
        <v>1</v>
      </c>
      <c r="AG271" s="88">
        <v>1.0166666666666659</v>
      </c>
      <c r="AH271" s="88">
        <v>9600</v>
      </c>
      <c r="AI271" s="88">
        <v>9633.3333333333339</v>
      </c>
      <c r="AJ271" s="88">
        <v>9504.0000000000018</v>
      </c>
      <c r="AK271" s="88">
        <v>9566.7820069204154</v>
      </c>
      <c r="AL271" s="88">
        <v>9696.9696969696961</v>
      </c>
      <c r="AM271" s="88">
        <v>9600</v>
      </c>
      <c r="AN271" s="88">
        <v>5433.5999999999995</v>
      </c>
      <c r="AO271" s="88">
        <v>5469.4935514312656</v>
      </c>
      <c r="AP271" s="88">
        <v>5312.1509489300843</v>
      </c>
      <c r="AQ271" s="88">
        <v>0</v>
      </c>
      <c r="AR271" s="88">
        <v>9291.5714477752372</v>
      </c>
      <c r="AS271" s="88">
        <v>9696.9696969696961</v>
      </c>
      <c r="AT271" s="88">
        <v>5469.4935514312656</v>
      </c>
      <c r="AU271" s="88">
        <v>5312.1509489300843</v>
      </c>
      <c r="AV271" s="88">
        <v>9600</v>
      </c>
      <c r="AW271" s="88">
        <v>9504</v>
      </c>
      <c r="AX271" s="88">
        <v>9504</v>
      </c>
      <c r="AY271" s="88">
        <v>9600</v>
      </c>
      <c r="AZ271" s="88">
        <v>9600</v>
      </c>
      <c r="BA271" s="88">
        <v>9600</v>
      </c>
      <c r="BB271" s="88">
        <v>9600</v>
      </c>
      <c r="BC271" s="88">
        <v>9600</v>
      </c>
      <c r="BD271" s="88">
        <v>9600</v>
      </c>
      <c r="BE271" s="88">
        <v>9600</v>
      </c>
      <c r="BF271" s="88">
        <v>9600</v>
      </c>
      <c r="BG271" s="88">
        <v>9600</v>
      </c>
      <c r="BH271" s="88">
        <v>9600</v>
      </c>
      <c r="BI271" s="88">
        <v>9600</v>
      </c>
      <c r="BJ271" s="88">
        <v>9600</v>
      </c>
      <c r="BK271" s="88">
        <v>0</v>
      </c>
      <c r="BL271" s="88">
        <v>0</v>
      </c>
      <c r="BM271" s="88">
        <v>0</v>
      </c>
      <c r="BN271" s="88">
        <v>0</v>
      </c>
      <c r="BO271" s="88">
        <v>0</v>
      </c>
      <c r="BP271" s="88">
        <v>0</v>
      </c>
      <c r="BQ271" s="88">
        <v>0</v>
      </c>
      <c r="BR271" s="88">
        <v>384.00000000000028</v>
      </c>
      <c r="BS271" s="88">
        <v>384.00000000000028</v>
      </c>
      <c r="BT271" s="88">
        <v>384.00000000000028</v>
      </c>
      <c r="BU271" s="88">
        <v>384.00000000000028</v>
      </c>
      <c r="BV271" s="88">
        <v>384.00000000000028</v>
      </c>
      <c r="BW271" s="88">
        <v>0</v>
      </c>
      <c r="BX271" s="88">
        <v>0</v>
      </c>
      <c r="BY271" s="88">
        <v>0</v>
      </c>
      <c r="BZ271" s="88">
        <v>0</v>
      </c>
      <c r="CA271" s="88">
        <v>0</v>
      </c>
      <c r="CB271" s="88">
        <v>0</v>
      </c>
      <c r="CC271" s="88">
        <v>0</v>
      </c>
      <c r="CD271" s="88">
        <v>384.00000000000028</v>
      </c>
      <c r="CE271" s="88">
        <v>384.00000000000028</v>
      </c>
      <c r="CF271" s="88">
        <v>384.00000000000028</v>
      </c>
      <c r="CG271" s="88">
        <v>384.00000000000028</v>
      </c>
      <c r="CH271" s="88">
        <v>384.00000000000028</v>
      </c>
      <c r="CI271" s="88">
        <v>9600</v>
      </c>
      <c r="CJ271" s="88">
        <v>9600</v>
      </c>
      <c r="CK271" s="88">
        <v>9600</v>
      </c>
      <c r="CL271" s="88">
        <v>9600</v>
      </c>
      <c r="CM271" s="88">
        <v>9600</v>
      </c>
      <c r="CN271" s="88">
        <v>9600</v>
      </c>
      <c r="CO271" s="88">
        <v>9600</v>
      </c>
      <c r="CP271" s="88">
        <v>9600</v>
      </c>
      <c r="CQ271" s="88">
        <v>9600</v>
      </c>
      <c r="CR271" s="88">
        <v>9600</v>
      </c>
      <c r="CS271" s="88">
        <v>9600</v>
      </c>
      <c r="CT271" s="88">
        <v>9600</v>
      </c>
      <c r="CU271" s="88">
        <v>0</v>
      </c>
      <c r="CV271" s="88">
        <v>0</v>
      </c>
      <c r="CW271" s="88">
        <v>0</v>
      </c>
      <c r="CX271" s="88">
        <v>0</v>
      </c>
      <c r="CY271" s="88">
        <v>0</v>
      </c>
      <c r="CZ271" s="88">
        <v>0</v>
      </c>
      <c r="DA271" s="88">
        <v>0</v>
      </c>
      <c r="DB271" s="88">
        <v>0</v>
      </c>
      <c r="DC271" s="88">
        <v>0</v>
      </c>
      <c r="DD271" s="88">
        <v>0</v>
      </c>
      <c r="DE271" s="88">
        <v>0</v>
      </c>
      <c r="DF271" s="88">
        <v>0</v>
      </c>
      <c r="DG271" s="93">
        <v>46600</v>
      </c>
      <c r="DH271" s="91">
        <v>0.04</v>
      </c>
      <c r="DI271" t="s">
        <v>302</v>
      </c>
      <c r="DJ271" s="93"/>
      <c r="DK271" s="91"/>
      <c r="DM271" s="93"/>
      <c r="DN271" s="91"/>
      <c r="DP271" s="93"/>
      <c r="DQ271" s="91"/>
    </row>
    <row r="272" spans="1:121" x14ac:dyDescent="0.3">
      <c r="A272" t="s">
        <v>30</v>
      </c>
      <c r="B272" t="s">
        <v>42</v>
      </c>
      <c r="C272" t="s">
        <v>94</v>
      </c>
      <c r="D272" t="s">
        <v>337</v>
      </c>
      <c r="E272" t="s">
        <v>635</v>
      </c>
      <c r="F272" s="86">
        <v>25200</v>
      </c>
      <c r="G272" s="87">
        <v>12</v>
      </c>
      <c r="H272" s="88">
        <v>1.05</v>
      </c>
      <c r="I272" s="88">
        <v>1.04375</v>
      </c>
      <c r="J272" s="89">
        <v>0.99299370897155337</v>
      </c>
      <c r="K272" s="88">
        <v>1.005988023952096</v>
      </c>
      <c r="L272" s="88">
        <v>1.007055725494679</v>
      </c>
      <c r="M272" s="88">
        <v>1</v>
      </c>
      <c r="N272" s="90">
        <v>0.55000000000000004</v>
      </c>
      <c r="O272" s="90">
        <v>0.55719729961502029</v>
      </c>
      <c r="P272" s="90">
        <v>0.54836339051228133</v>
      </c>
      <c r="Q272" s="91">
        <v>0</v>
      </c>
      <c r="R272" s="88">
        <v>1</v>
      </c>
      <c r="S272" s="88">
        <v>0.99702434638596604</v>
      </c>
      <c r="T272" s="91">
        <v>-5.9523809523810423E-3</v>
      </c>
      <c r="U272" s="91">
        <v>5.9880239520959666E-3</v>
      </c>
      <c r="V272" s="87">
        <v>0</v>
      </c>
      <c r="W272" s="91">
        <v>0</v>
      </c>
      <c r="X272" s="87">
        <v>1</v>
      </c>
      <c r="Y272" s="90">
        <v>0.55719729961502029</v>
      </c>
      <c r="Z272" s="90">
        <v>0.54836339051228133</v>
      </c>
      <c r="AA272" s="92">
        <v>0</v>
      </c>
      <c r="AB272" s="88">
        <v>0</v>
      </c>
      <c r="AC272" s="87">
        <v>1</v>
      </c>
      <c r="AD272" s="87">
        <v>0</v>
      </c>
      <c r="AE272" s="88">
        <v>1.0249999999999999</v>
      </c>
      <c r="AF272" s="88">
        <v>1.012138206284618</v>
      </c>
      <c r="AG272" s="88">
        <v>1.037442584375512</v>
      </c>
      <c r="AH272" s="88">
        <v>26460</v>
      </c>
      <c r="AI272" s="88">
        <v>26302.5</v>
      </c>
      <c r="AJ272" s="88">
        <v>25023.44146608315</v>
      </c>
      <c r="AK272" s="88">
        <v>25350.89820359282</v>
      </c>
      <c r="AL272" s="88">
        <v>25377.804282465921</v>
      </c>
      <c r="AM272" s="88">
        <v>25200</v>
      </c>
      <c r="AN272" s="88">
        <v>13860</v>
      </c>
      <c r="AO272" s="88">
        <v>14041.37195029851</v>
      </c>
      <c r="AP272" s="88">
        <v>13818.75744090949</v>
      </c>
      <c r="AQ272" s="88">
        <v>0</v>
      </c>
      <c r="AR272" s="88">
        <v>25200</v>
      </c>
      <c r="AS272" s="88">
        <v>25125.013528926349</v>
      </c>
      <c r="AT272" s="88">
        <v>14041.37195029851</v>
      </c>
      <c r="AU272" s="88">
        <v>13818.75744090949</v>
      </c>
      <c r="AV272" s="88">
        <v>25200</v>
      </c>
      <c r="AW272" s="88">
        <v>24948</v>
      </c>
      <c r="AX272" s="88">
        <v>25326</v>
      </c>
      <c r="AY272" s="88">
        <v>25200</v>
      </c>
      <c r="AZ272" s="88">
        <v>25200</v>
      </c>
      <c r="BA272" s="88">
        <v>25200</v>
      </c>
      <c r="BB272" s="88">
        <v>25200</v>
      </c>
      <c r="BC272" s="88">
        <v>25200</v>
      </c>
      <c r="BD272" s="88">
        <v>25200</v>
      </c>
      <c r="BE272" s="88">
        <v>25200</v>
      </c>
      <c r="BF272" s="88">
        <v>25200</v>
      </c>
      <c r="BG272" s="88">
        <v>25200</v>
      </c>
      <c r="BH272" s="88">
        <v>25200</v>
      </c>
      <c r="BI272" s="88">
        <v>25200</v>
      </c>
      <c r="BJ272" s="88">
        <v>25200</v>
      </c>
      <c r="BK272" s="88">
        <v>1582.958083231623</v>
      </c>
      <c r="BL272" s="88">
        <v>1582.639807576669</v>
      </c>
      <c r="BM272" s="88">
        <v>1582.322158626323</v>
      </c>
      <c r="BN272" s="88">
        <v>1581.9943988797729</v>
      </c>
      <c r="BO272" s="88">
        <v>1581.667305034224</v>
      </c>
      <c r="BP272" s="88">
        <v>1581.340875062386</v>
      </c>
      <c r="BQ272" s="88">
        <v>305.7286732811433</v>
      </c>
      <c r="BR272" s="88">
        <v>305.41397572758962</v>
      </c>
      <c r="BS272" s="88">
        <v>305.10498557070139</v>
      </c>
      <c r="BT272" s="88">
        <v>304.79661999834377</v>
      </c>
      <c r="BU272" s="88">
        <v>304.48887711864211</v>
      </c>
      <c r="BV272" s="88">
        <v>304.18175504737621</v>
      </c>
      <c r="BW272" s="88">
        <v>1260.0000000000009</v>
      </c>
      <c r="BX272" s="88">
        <v>1260.0000000000009</v>
      </c>
      <c r="BY272" s="88">
        <v>1260.0000000000009</v>
      </c>
      <c r="BZ272" s="88">
        <v>1260.0000000000009</v>
      </c>
      <c r="CA272" s="88">
        <v>1260.0000000000009</v>
      </c>
      <c r="CB272" s="88">
        <v>1260.0000000000009</v>
      </c>
      <c r="CC272" s="88">
        <v>0</v>
      </c>
      <c r="CD272" s="88">
        <v>0</v>
      </c>
      <c r="CE272" s="88">
        <v>0</v>
      </c>
      <c r="CF272" s="88">
        <v>0</v>
      </c>
      <c r="CG272" s="88">
        <v>0</v>
      </c>
      <c r="CH272" s="88">
        <v>0</v>
      </c>
      <c r="CI272" s="88">
        <v>25200</v>
      </c>
      <c r="CJ272" s="88">
        <v>25200</v>
      </c>
      <c r="CK272" s="88">
        <v>25200</v>
      </c>
      <c r="CL272" s="88">
        <v>25200</v>
      </c>
      <c r="CM272" s="88">
        <v>25200</v>
      </c>
      <c r="CN272" s="88">
        <v>25200</v>
      </c>
      <c r="CO272" s="88">
        <v>25200</v>
      </c>
      <c r="CP272" s="88">
        <v>25200</v>
      </c>
      <c r="CQ272" s="88">
        <v>25200</v>
      </c>
      <c r="CR272" s="88">
        <v>25200</v>
      </c>
      <c r="CS272" s="88">
        <v>25200</v>
      </c>
      <c r="CT272" s="88">
        <v>25200</v>
      </c>
      <c r="CU272" s="88">
        <v>307.57912688725929</v>
      </c>
      <c r="CV272" s="88">
        <v>307.27600721587612</v>
      </c>
      <c r="CW272" s="88">
        <v>306.97348440602201</v>
      </c>
      <c r="CX272" s="88">
        <v>306.66133226645007</v>
      </c>
      <c r="CY272" s="88">
        <v>306.34981431830812</v>
      </c>
      <c r="CZ272" s="88">
        <v>306.03892863084349</v>
      </c>
      <c r="DA272" s="88">
        <v>305.7286732811433</v>
      </c>
      <c r="DB272" s="88">
        <v>305.41397572758962</v>
      </c>
      <c r="DC272" s="88">
        <v>305.10498557070139</v>
      </c>
      <c r="DD272" s="88">
        <v>304.79661999834377</v>
      </c>
      <c r="DE272" s="88">
        <v>304.48887711864211</v>
      </c>
      <c r="DF272" s="88">
        <v>304.18175504737621</v>
      </c>
      <c r="DG272" s="93">
        <v>46204</v>
      </c>
      <c r="DH272" s="91">
        <v>0.05</v>
      </c>
      <c r="DI272" t="s">
        <v>301</v>
      </c>
      <c r="DJ272" s="93"/>
      <c r="DK272" s="91"/>
      <c r="DM272" s="93"/>
      <c r="DN272" s="91"/>
      <c r="DP272" s="93"/>
      <c r="DQ272" s="91"/>
    </row>
    <row r="273" spans="1:121" x14ac:dyDescent="0.3">
      <c r="A273" t="s">
        <v>30</v>
      </c>
      <c r="B273" t="s">
        <v>42</v>
      </c>
      <c r="C273" t="s">
        <v>95</v>
      </c>
      <c r="D273" t="s">
        <v>339</v>
      </c>
      <c r="E273" t="s">
        <v>636</v>
      </c>
      <c r="F273" s="86">
        <v>20400</v>
      </c>
      <c r="G273" s="87">
        <v>12</v>
      </c>
      <c r="H273" s="88">
        <v>1.06</v>
      </c>
      <c r="I273" s="88">
        <v>1.0497916666666669</v>
      </c>
      <c r="J273" s="89">
        <v>0.98900209700948194</v>
      </c>
      <c r="K273" s="88">
        <v>1.009724151617384</v>
      </c>
      <c r="L273" s="88">
        <v>1.011120201892163</v>
      </c>
      <c r="M273" s="88">
        <v>1</v>
      </c>
      <c r="N273" s="90">
        <v>0.53400000000000003</v>
      </c>
      <c r="O273" s="90">
        <v>0.54518862861269934</v>
      </c>
      <c r="P273" s="90">
        <v>0.54176246919254889</v>
      </c>
      <c r="Q273" s="91">
        <v>0</v>
      </c>
      <c r="R273" s="88">
        <v>0.99999999999999978</v>
      </c>
      <c r="S273" s="88">
        <v>1.0145364591620769</v>
      </c>
      <c r="T273" s="91">
        <v>-9.630503144654079E-3</v>
      </c>
      <c r="U273" s="91">
        <v>9.7241516173847131E-3</v>
      </c>
      <c r="V273" s="87">
        <v>0</v>
      </c>
      <c r="W273" s="91">
        <v>0</v>
      </c>
      <c r="X273" s="87">
        <v>1</v>
      </c>
      <c r="Y273" s="90">
        <v>0.54518862861269934</v>
      </c>
      <c r="Z273" s="90">
        <v>0.54176246919254889</v>
      </c>
      <c r="AA273" s="92">
        <v>0</v>
      </c>
      <c r="AB273" s="88">
        <v>0</v>
      </c>
      <c r="AC273" s="87">
        <v>1</v>
      </c>
      <c r="AD273" s="87">
        <v>0</v>
      </c>
      <c r="AE273" s="88">
        <v>1.0349999999999999</v>
      </c>
      <c r="AF273" s="88">
        <v>0.99597028697853884</v>
      </c>
      <c r="AG273" s="88">
        <v>1.030829365827</v>
      </c>
      <c r="AH273" s="88">
        <v>21624</v>
      </c>
      <c r="AI273" s="88">
        <v>21415.75</v>
      </c>
      <c r="AJ273" s="88">
        <v>20175.642778993431</v>
      </c>
      <c r="AK273" s="88">
        <v>20598.372692994639</v>
      </c>
      <c r="AL273" s="88">
        <v>20626.852118600131</v>
      </c>
      <c r="AM273" s="88">
        <v>20400</v>
      </c>
      <c r="AN273" s="88">
        <v>10893.6</v>
      </c>
      <c r="AO273" s="88">
        <v>11121.848023699071</v>
      </c>
      <c r="AP273" s="88">
        <v>11051.954371528</v>
      </c>
      <c r="AQ273" s="88">
        <v>0</v>
      </c>
      <c r="AR273" s="88">
        <v>20400</v>
      </c>
      <c r="AS273" s="88">
        <v>20696.543766906361</v>
      </c>
      <c r="AT273" s="88">
        <v>11121.848023699071</v>
      </c>
      <c r="AU273" s="88">
        <v>11051.954371528</v>
      </c>
      <c r="AV273" s="88">
        <v>20400</v>
      </c>
      <c r="AW273" s="88">
        <v>20196</v>
      </c>
      <c r="AX273" s="88">
        <v>20094</v>
      </c>
      <c r="AY273" s="88">
        <v>20400</v>
      </c>
      <c r="AZ273" s="88">
        <v>20400</v>
      </c>
      <c r="BA273" s="88">
        <v>20400</v>
      </c>
      <c r="BB273" s="88">
        <v>20400</v>
      </c>
      <c r="BC273" s="88">
        <v>20400</v>
      </c>
      <c r="BD273" s="88">
        <v>20400</v>
      </c>
      <c r="BE273" s="88">
        <v>20400</v>
      </c>
      <c r="BF273" s="88">
        <v>20400</v>
      </c>
      <c r="BG273" s="88">
        <v>20400</v>
      </c>
      <c r="BH273" s="88">
        <v>20400</v>
      </c>
      <c r="BI273" s="88">
        <v>20400</v>
      </c>
      <c r="BJ273" s="88">
        <v>20400</v>
      </c>
      <c r="BK273" s="88">
        <v>1137.021208130609</v>
      </c>
      <c r="BL273" s="88">
        <v>1136.9929228123569</v>
      </c>
      <c r="BM273" s="88">
        <v>1136.964619091465</v>
      </c>
      <c r="BN273" s="88">
        <v>1136.935336554372</v>
      </c>
      <c r="BO273" s="88">
        <v>1136.9060343067761</v>
      </c>
      <c r="BP273" s="88">
        <v>1136.8767123287689</v>
      </c>
      <c r="BQ273" s="88">
        <v>1136.8473706004161</v>
      </c>
      <c r="BR273" s="88">
        <v>-82.247615470858591</v>
      </c>
      <c r="BS273" s="88">
        <v>-82.275333974211989</v>
      </c>
      <c r="BT273" s="88">
        <v>-82.3030711668451</v>
      </c>
      <c r="BU273" s="88">
        <v>-82.330827067669475</v>
      </c>
      <c r="BV273" s="88">
        <v>-82.35860169561704</v>
      </c>
      <c r="BW273" s="88">
        <v>1224.0000000000009</v>
      </c>
      <c r="BX273" s="88">
        <v>1224.0000000000009</v>
      </c>
      <c r="BY273" s="88">
        <v>1224.0000000000009</v>
      </c>
      <c r="BZ273" s="88">
        <v>1224.0000000000009</v>
      </c>
      <c r="CA273" s="88">
        <v>1224.0000000000009</v>
      </c>
      <c r="CB273" s="88">
        <v>1224.0000000000009</v>
      </c>
      <c r="CC273" s="88">
        <v>1224.0000000000009</v>
      </c>
      <c r="CD273" s="88">
        <v>0</v>
      </c>
      <c r="CE273" s="88">
        <v>0</v>
      </c>
      <c r="CF273" s="88">
        <v>0</v>
      </c>
      <c r="CG273" s="88">
        <v>0</v>
      </c>
      <c r="CH273" s="88">
        <v>0</v>
      </c>
      <c r="CI273" s="88">
        <v>20400</v>
      </c>
      <c r="CJ273" s="88">
        <v>20400</v>
      </c>
      <c r="CK273" s="88">
        <v>20400</v>
      </c>
      <c r="CL273" s="88">
        <v>20400</v>
      </c>
      <c r="CM273" s="88">
        <v>20400</v>
      </c>
      <c r="CN273" s="88">
        <v>20400</v>
      </c>
      <c r="CO273" s="88">
        <v>20400</v>
      </c>
      <c r="CP273" s="88">
        <v>20400</v>
      </c>
      <c r="CQ273" s="88">
        <v>20400</v>
      </c>
      <c r="CR273" s="88">
        <v>20400</v>
      </c>
      <c r="CS273" s="88">
        <v>20400</v>
      </c>
      <c r="CT273" s="88">
        <v>20400</v>
      </c>
      <c r="CU273" s="88">
        <v>-82.055464027726771</v>
      </c>
      <c r="CV273" s="88">
        <v>-82.082148290230933</v>
      </c>
      <c r="CW273" s="88">
        <v>-82.108849913711339</v>
      </c>
      <c r="CX273" s="88">
        <v>-82.136474948706081</v>
      </c>
      <c r="CY273" s="88">
        <v>-82.164118578513438</v>
      </c>
      <c r="CZ273" s="88">
        <v>-82.191780821918144</v>
      </c>
      <c r="DA273" s="88">
        <v>-82.219461697722977</v>
      </c>
      <c r="DB273" s="88">
        <v>-82.247615470858591</v>
      </c>
      <c r="DC273" s="88">
        <v>-82.275333974211989</v>
      </c>
      <c r="DD273" s="88">
        <v>-82.3030711668451</v>
      </c>
      <c r="DE273" s="88">
        <v>-82.330827067669475</v>
      </c>
      <c r="DF273" s="88">
        <v>-82.35860169561704</v>
      </c>
      <c r="DG273" s="93">
        <v>46235</v>
      </c>
      <c r="DH273" s="91">
        <v>0.06</v>
      </c>
      <c r="DI273" t="s">
        <v>301</v>
      </c>
      <c r="DJ273" s="93"/>
      <c r="DK273" s="91"/>
      <c r="DM273" s="93"/>
      <c r="DN273" s="91"/>
      <c r="DP273" s="93"/>
      <c r="DQ273" s="91"/>
    </row>
    <row r="274" spans="1:121" x14ac:dyDescent="0.3">
      <c r="A274" t="s">
        <v>30</v>
      </c>
      <c r="B274" t="s">
        <v>42</v>
      </c>
      <c r="C274" t="s">
        <v>96</v>
      </c>
      <c r="D274" t="s">
        <v>341</v>
      </c>
      <c r="E274" t="s">
        <v>637</v>
      </c>
      <c r="F274" s="86">
        <v>15600</v>
      </c>
      <c r="G274" s="87">
        <v>12</v>
      </c>
      <c r="H274" s="88">
        <v>1</v>
      </c>
      <c r="I274" s="88">
        <v>1</v>
      </c>
      <c r="J274" s="89">
        <v>0.99199580598103554</v>
      </c>
      <c r="K274" s="88">
        <v>1</v>
      </c>
      <c r="L274" s="88">
        <v>1.008068778084247</v>
      </c>
      <c r="M274" s="88">
        <v>1</v>
      </c>
      <c r="N274" s="90">
        <v>0.56200000000000006</v>
      </c>
      <c r="O274" s="90">
        <v>0.56653465328334673</v>
      </c>
      <c r="P274" s="90">
        <v>0.56275614370771032</v>
      </c>
      <c r="Q274" s="91">
        <v>0</v>
      </c>
      <c r="R274" s="88">
        <v>1</v>
      </c>
      <c r="S274" s="88">
        <v>1.0013454514372071</v>
      </c>
      <c r="T274" s="91">
        <v>0</v>
      </c>
      <c r="U274" s="91">
        <v>0</v>
      </c>
      <c r="V274" s="87">
        <v>0</v>
      </c>
      <c r="W274" s="91">
        <v>0</v>
      </c>
      <c r="X274" s="87">
        <v>1</v>
      </c>
      <c r="Y274" s="90">
        <v>0.56653465328334673</v>
      </c>
      <c r="Z274" s="90">
        <v>0.56275614370771032</v>
      </c>
      <c r="AA274" s="92">
        <v>0</v>
      </c>
      <c r="AB274" s="88">
        <v>0</v>
      </c>
      <c r="AC274" s="87">
        <v>0</v>
      </c>
      <c r="AD274" s="87">
        <v>0</v>
      </c>
      <c r="AE274" s="88">
        <v>1</v>
      </c>
      <c r="AF274" s="88">
        <v>1.0080839018517109</v>
      </c>
      <c r="AG274" s="88">
        <v>1.0080839018517109</v>
      </c>
      <c r="AH274" s="88">
        <v>15600</v>
      </c>
      <c r="AI274" s="88">
        <v>15600</v>
      </c>
      <c r="AJ274" s="88">
        <v>15475.134573304151</v>
      </c>
      <c r="AK274" s="88">
        <v>15600</v>
      </c>
      <c r="AL274" s="88">
        <v>15725.872938114249</v>
      </c>
      <c r="AM274" s="88">
        <v>15600</v>
      </c>
      <c r="AN274" s="88">
        <v>8767.2000000000007</v>
      </c>
      <c r="AO274" s="88">
        <v>8837.9405912202092</v>
      </c>
      <c r="AP274" s="88">
        <v>8778.9958418402803</v>
      </c>
      <c r="AQ274" s="88">
        <v>0</v>
      </c>
      <c r="AR274" s="88">
        <v>15600</v>
      </c>
      <c r="AS274" s="88">
        <v>15620.98904242043</v>
      </c>
      <c r="AT274" s="88">
        <v>8837.9405912202092</v>
      </c>
      <c r="AU274" s="88">
        <v>8778.9958418402803</v>
      </c>
      <c r="AV274" s="88">
        <v>15600</v>
      </c>
      <c r="AW274" s="88">
        <v>15444</v>
      </c>
      <c r="AX274" s="88">
        <v>15600</v>
      </c>
      <c r="AY274" s="88">
        <v>15600</v>
      </c>
      <c r="AZ274" s="88">
        <v>15600</v>
      </c>
      <c r="BA274" s="88">
        <v>15600</v>
      </c>
      <c r="BB274" s="88">
        <v>15600</v>
      </c>
      <c r="BC274" s="88">
        <v>15600</v>
      </c>
      <c r="BD274" s="88">
        <v>15600</v>
      </c>
      <c r="BE274" s="88">
        <v>15600</v>
      </c>
      <c r="BF274" s="88">
        <v>15600</v>
      </c>
      <c r="BG274" s="88">
        <v>15600</v>
      </c>
      <c r="BH274" s="88">
        <v>15600</v>
      </c>
      <c r="BI274" s="88">
        <v>15600</v>
      </c>
      <c r="BJ274" s="88">
        <v>15600</v>
      </c>
      <c r="BK274" s="88">
        <v>126.57411832701619</v>
      </c>
      <c r="BL274" s="88">
        <v>126.49116961012869</v>
      </c>
      <c r="BM274" s="88">
        <v>126.4083295407866</v>
      </c>
      <c r="BN274" s="88">
        <v>126.32279534109669</v>
      </c>
      <c r="BO274" s="88">
        <v>126.2373768165732</v>
      </c>
      <c r="BP274" s="88">
        <v>126.1520737327174</v>
      </c>
      <c r="BQ274" s="88">
        <v>126.06688585566791</v>
      </c>
      <c r="BR274" s="88">
        <v>125.980419270978</v>
      </c>
      <c r="BS274" s="88">
        <v>125.89546298753091</v>
      </c>
      <c r="BT274" s="88">
        <v>125.810621209278</v>
      </c>
      <c r="BU274" s="88">
        <v>125.72589370487241</v>
      </c>
      <c r="BV274" s="88">
        <v>125.641280243605</v>
      </c>
      <c r="BW274" s="88">
        <v>0</v>
      </c>
      <c r="BX274" s="88">
        <v>0</v>
      </c>
      <c r="BY274" s="88">
        <v>0</v>
      </c>
      <c r="BZ274" s="88">
        <v>0</v>
      </c>
      <c r="CA274" s="88">
        <v>0</v>
      </c>
      <c r="CB274" s="88">
        <v>0</v>
      </c>
      <c r="CC274" s="88">
        <v>0</v>
      </c>
      <c r="CD274" s="88">
        <v>0</v>
      </c>
      <c r="CE274" s="88">
        <v>0</v>
      </c>
      <c r="CF274" s="88">
        <v>0</v>
      </c>
      <c r="CG274" s="88">
        <v>0</v>
      </c>
      <c r="CH274" s="88">
        <v>0</v>
      </c>
      <c r="CI274" s="88">
        <v>15600</v>
      </c>
      <c r="CJ274" s="88">
        <v>15600</v>
      </c>
      <c r="CK274" s="88">
        <v>15600</v>
      </c>
      <c r="CL274" s="88">
        <v>15600</v>
      </c>
      <c r="CM274" s="88">
        <v>15600</v>
      </c>
      <c r="CN274" s="88">
        <v>15600</v>
      </c>
      <c r="CO274" s="88">
        <v>15600</v>
      </c>
      <c r="CP274" s="88">
        <v>15600</v>
      </c>
      <c r="CQ274" s="88">
        <v>15600</v>
      </c>
      <c r="CR274" s="88">
        <v>15600</v>
      </c>
      <c r="CS274" s="88">
        <v>15600</v>
      </c>
      <c r="CT274" s="88">
        <v>15600</v>
      </c>
      <c r="CU274" s="88">
        <v>126.57411832701619</v>
      </c>
      <c r="CV274" s="88">
        <v>126.49116961012869</v>
      </c>
      <c r="CW274" s="88">
        <v>126.4083295407866</v>
      </c>
      <c r="CX274" s="88">
        <v>126.32279534109669</v>
      </c>
      <c r="CY274" s="88">
        <v>126.2373768165732</v>
      </c>
      <c r="CZ274" s="88">
        <v>126.1520737327174</v>
      </c>
      <c r="DA274" s="88">
        <v>126.06688585566791</v>
      </c>
      <c r="DB274" s="88">
        <v>125.980419270978</v>
      </c>
      <c r="DC274" s="88">
        <v>125.89546298753091</v>
      </c>
      <c r="DD274" s="88">
        <v>125.810621209278</v>
      </c>
      <c r="DE274" s="88">
        <v>125.72589370487241</v>
      </c>
      <c r="DF274" s="88">
        <v>125.641280243605</v>
      </c>
      <c r="DG274" s="93"/>
      <c r="DH274" s="91"/>
      <c r="DJ274" s="93"/>
      <c r="DK274" s="91"/>
      <c r="DM274" s="93"/>
      <c r="DN274" s="91"/>
      <c r="DP274" s="93"/>
      <c r="DQ274" s="91"/>
    </row>
    <row r="275" spans="1:121" x14ac:dyDescent="0.3">
      <c r="A275" t="s">
        <v>30</v>
      </c>
      <c r="B275" t="s">
        <v>45</v>
      </c>
      <c r="C275" t="s">
        <v>43</v>
      </c>
      <c r="D275" t="s">
        <v>343</v>
      </c>
      <c r="E275" t="s">
        <v>638</v>
      </c>
      <c r="F275" s="86">
        <v>10800</v>
      </c>
      <c r="G275" s="87">
        <v>12</v>
      </c>
      <c r="H275" s="88">
        <v>1.03</v>
      </c>
      <c r="I275" s="88">
        <v>1.038872222222222</v>
      </c>
      <c r="J275" s="89">
        <v>0.98800419401896411</v>
      </c>
      <c r="K275" s="88">
        <v>0.99145975603886694</v>
      </c>
      <c r="L275" s="88">
        <v>1.012141452489427</v>
      </c>
      <c r="M275" s="88">
        <v>1</v>
      </c>
      <c r="N275" s="90">
        <v>0.54600000000000004</v>
      </c>
      <c r="O275" s="90">
        <v>0.5479096445888475</v>
      </c>
      <c r="P275" s="90">
        <v>0.53505224693950693</v>
      </c>
      <c r="Q275" s="91">
        <v>0</v>
      </c>
      <c r="R275" s="88">
        <v>0.96166688927474275</v>
      </c>
      <c r="S275" s="88">
        <v>1.019011032976213</v>
      </c>
      <c r="T275" s="91">
        <v>8.6138079827400293E-3</v>
      </c>
      <c r="U275" s="91">
        <v>3.098044353652751E-2</v>
      </c>
      <c r="V275" s="87">
        <v>0</v>
      </c>
      <c r="W275" s="91">
        <v>0</v>
      </c>
      <c r="X275" s="87">
        <v>1</v>
      </c>
      <c r="Y275" s="90">
        <v>0.5479096445888475</v>
      </c>
      <c r="Z275" s="90">
        <v>0.53505224693950693</v>
      </c>
      <c r="AA275" s="92">
        <v>0</v>
      </c>
      <c r="AB275" s="88">
        <v>0</v>
      </c>
      <c r="AC275" s="87">
        <v>1</v>
      </c>
      <c r="AD275" s="87">
        <v>1</v>
      </c>
      <c r="AE275" s="88">
        <v>1.0599666666666669</v>
      </c>
      <c r="AF275" s="88">
        <v>0.99194865631796525</v>
      </c>
      <c r="AG275" s="88">
        <v>1.051432600061956</v>
      </c>
      <c r="AH275" s="88">
        <v>11124</v>
      </c>
      <c r="AI275" s="88">
        <v>11219.82</v>
      </c>
      <c r="AJ275" s="88">
        <v>10670.44529540481</v>
      </c>
      <c r="AK275" s="88">
        <v>10707.76536521976</v>
      </c>
      <c r="AL275" s="88">
        <v>10931.127686885809</v>
      </c>
      <c r="AM275" s="88">
        <v>10800</v>
      </c>
      <c r="AN275" s="88">
        <v>5896.8</v>
      </c>
      <c r="AO275" s="88">
        <v>5917.4241615595529</v>
      </c>
      <c r="AP275" s="88">
        <v>5778.5642669466752</v>
      </c>
      <c r="AQ275" s="88">
        <v>0</v>
      </c>
      <c r="AR275" s="88">
        <v>10386.00240416722</v>
      </c>
      <c r="AS275" s="88">
        <v>11005.319156143099</v>
      </c>
      <c r="AT275" s="88">
        <v>5917.4241615595529</v>
      </c>
      <c r="AU275" s="88">
        <v>5778.5642669466752</v>
      </c>
      <c r="AV275" s="88">
        <v>10800</v>
      </c>
      <c r="AW275" s="88">
        <v>10692</v>
      </c>
      <c r="AX275" s="88">
        <v>10584</v>
      </c>
      <c r="AY275" s="88">
        <v>10800</v>
      </c>
      <c r="AZ275" s="88">
        <v>10800</v>
      </c>
      <c r="BA275" s="88">
        <v>10800</v>
      </c>
      <c r="BB275" s="88">
        <v>10800</v>
      </c>
      <c r="BC275" s="88">
        <v>10800</v>
      </c>
      <c r="BD275" s="88">
        <v>10800</v>
      </c>
      <c r="BE275" s="88">
        <v>10800</v>
      </c>
      <c r="BF275" s="88">
        <v>10800</v>
      </c>
      <c r="BG275" s="88">
        <v>10800</v>
      </c>
      <c r="BH275" s="88">
        <v>10800</v>
      </c>
      <c r="BI275" s="88">
        <v>10800</v>
      </c>
      <c r="BJ275" s="88">
        <v>10800</v>
      </c>
      <c r="BK275" s="88">
        <v>234.76449709344001</v>
      </c>
      <c r="BL275" s="88">
        <v>676.09486837764973</v>
      </c>
      <c r="BM275" s="88">
        <v>676.03458160492301</v>
      </c>
      <c r="BN275" s="88">
        <v>675.97216885776857</v>
      </c>
      <c r="BO275" s="88">
        <v>675.90967221604114</v>
      </c>
      <c r="BP275" s="88">
        <v>675.8470915104748</v>
      </c>
      <c r="BQ275" s="88">
        <v>675.78442657134497</v>
      </c>
      <c r="BR275" s="88">
        <v>675.72064784658585</v>
      </c>
      <c r="BS275" s="88">
        <v>675.65781254143246</v>
      </c>
      <c r="BT275" s="88">
        <v>341.35426455143318</v>
      </c>
      <c r="BU275" s="88">
        <v>341.29309467442721</v>
      </c>
      <c r="BV275" s="88">
        <v>341.23184218392032</v>
      </c>
      <c r="BW275" s="88">
        <v>324.00000000000028</v>
      </c>
      <c r="BX275" s="88">
        <v>768.96000000000163</v>
      </c>
      <c r="BY275" s="88">
        <v>768.96000000000163</v>
      </c>
      <c r="BZ275" s="88">
        <v>768.96000000000163</v>
      </c>
      <c r="CA275" s="88">
        <v>768.96000000000163</v>
      </c>
      <c r="CB275" s="88">
        <v>768.96000000000163</v>
      </c>
      <c r="CC275" s="88">
        <v>768.96000000000163</v>
      </c>
      <c r="CD275" s="88">
        <v>768.96000000000163</v>
      </c>
      <c r="CE275" s="88">
        <v>768.96000000000163</v>
      </c>
      <c r="CF275" s="88">
        <v>432.0000000000004</v>
      </c>
      <c r="CG275" s="88">
        <v>432.0000000000004</v>
      </c>
      <c r="CH275" s="88">
        <v>432.0000000000004</v>
      </c>
      <c r="CI275" s="88">
        <v>10800</v>
      </c>
      <c r="CJ275" s="88">
        <v>10800</v>
      </c>
      <c r="CK275" s="88">
        <v>10800</v>
      </c>
      <c r="CL275" s="88">
        <v>10800</v>
      </c>
      <c r="CM275" s="88">
        <v>10800</v>
      </c>
      <c r="CN275" s="88">
        <v>10800</v>
      </c>
      <c r="CO275" s="88">
        <v>10800</v>
      </c>
      <c r="CP275" s="88">
        <v>10800</v>
      </c>
      <c r="CQ275" s="88">
        <v>10800</v>
      </c>
      <c r="CR275" s="88">
        <v>10800</v>
      </c>
      <c r="CS275" s="88">
        <v>10800</v>
      </c>
      <c r="CT275" s="88">
        <v>10800</v>
      </c>
      <c r="CU275" s="88">
        <v>-86.636410588894108</v>
      </c>
      <c r="CV275" s="88">
        <v>-86.692617272547068</v>
      </c>
      <c r="CW275" s="88">
        <v>-86.748896933419502</v>
      </c>
      <c r="CX275" s="88">
        <v>-86.807161260487305</v>
      </c>
      <c r="CY275" s="88">
        <v>-86.865503905862568</v>
      </c>
      <c r="CZ275" s="88">
        <v>-86.923925027563257</v>
      </c>
      <c r="DA275" s="88">
        <v>-86.982424784033043</v>
      </c>
      <c r="DB275" s="88">
        <v>-87.041964295572072</v>
      </c>
      <c r="DC275" s="88">
        <v>-87.10062309425885</v>
      </c>
      <c r="DD275" s="88">
        <v>-87.159361008237553</v>
      </c>
      <c r="DE275" s="88">
        <v>-87.218178197667669</v>
      </c>
      <c r="DF275" s="88">
        <v>-87.277074823154692</v>
      </c>
      <c r="DG275" s="93">
        <v>46296</v>
      </c>
      <c r="DH275" s="91">
        <v>0.03</v>
      </c>
      <c r="DI275" t="s">
        <v>301</v>
      </c>
      <c r="DJ275" s="93">
        <v>46419</v>
      </c>
      <c r="DK275" s="91">
        <v>0.04</v>
      </c>
      <c r="DL275" t="s">
        <v>302</v>
      </c>
      <c r="DM275" s="93"/>
      <c r="DN275" s="91"/>
      <c r="DP275" s="93"/>
      <c r="DQ275" s="91"/>
    </row>
    <row r="276" spans="1:121" x14ac:dyDescent="0.3">
      <c r="A276" t="s">
        <v>30</v>
      </c>
      <c r="B276" t="s">
        <v>45</v>
      </c>
      <c r="C276" t="s">
        <v>46</v>
      </c>
      <c r="D276" t="s">
        <v>345</v>
      </c>
      <c r="E276" t="s">
        <v>639</v>
      </c>
      <c r="F276" s="86">
        <v>26400</v>
      </c>
      <c r="G276" s="87">
        <v>12</v>
      </c>
      <c r="H276" s="88">
        <v>1.04</v>
      </c>
      <c r="I276" s="88">
        <v>1.026111111111111</v>
      </c>
      <c r="J276" s="89">
        <v>0.99099790299051793</v>
      </c>
      <c r="K276" s="88">
        <v>1.013535462912831</v>
      </c>
      <c r="L276" s="88">
        <v>1.009083870896514</v>
      </c>
      <c r="M276" s="88">
        <v>1</v>
      </c>
      <c r="N276" s="90">
        <v>0.57240000000000002</v>
      </c>
      <c r="O276" s="90">
        <v>0.5854176857696699</v>
      </c>
      <c r="P276" s="90">
        <v>0.58142172039745155</v>
      </c>
      <c r="Q276" s="91">
        <v>0.01</v>
      </c>
      <c r="R276" s="88">
        <v>0.99999999999999978</v>
      </c>
      <c r="S276" s="88">
        <v>1.005704174878489</v>
      </c>
      <c r="T276" s="91">
        <v>-1.3354700854700811E-2</v>
      </c>
      <c r="U276" s="91">
        <v>1.3535462912831701E-2</v>
      </c>
      <c r="V276" s="87">
        <v>0</v>
      </c>
      <c r="W276" s="91">
        <v>0</v>
      </c>
      <c r="X276" s="87">
        <v>1</v>
      </c>
      <c r="Y276" s="90">
        <v>0.5854176857696699</v>
      </c>
      <c r="Z276" s="90">
        <v>0.58142172039745155</v>
      </c>
      <c r="AA276" s="92">
        <v>0</v>
      </c>
      <c r="AB276" s="88">
        <v>0</v>
      </c>
      <c r="AC276" s="87">
        <v>1</v>
      </c>
      <c r="AD276" s="87">
        <v>0</v>
      </c>
      <c r="AE276" s="88">
        <v>1.033333333333333</v>
      </c>
      <c r="AF276" s="88">
        <v>1.004037852440528</v>
      </c>
      <c r="AG276" s="88">
        <v>1.0375058262402861</v>
      </c>
      <c r="AH276" s="88">
        <v>27456</v>
      </c>
      <c r="AI276" s="88">
        <v>27089.333333333339</v>
      </c>
      <c r="AJ276" s="88">
        <v>26162.344638949671</v>
      </c>
      <c r="AK276" s="88">
        <v>26757.336220898749</v>
      </c>
      <c r="AL276" s="88">
        <v>26639.814191667971</v>
      </c>
      <c r="AM276" s="88">
        <v>26400</v>
      </c>
      <c r="AN276" s="88">
        <v>15111.36</v>
      </c>
      <c r="AO276" s="88">
        <v>15455.026904319289</v>
      </c>
      <c r="AP276" s="88">
        <v>15349.53341849272</v>
      </c>
      <c r="AQ276" s="88">
        <v>264</v>
      </c>
      <c r="AR276" s="88">
        <v>26399.999999999989</v>
      </c>
      <c r="AS276" s="88">
        <v>26550.590216792119</v>
      </c>
      <c r="AT276" s="88">
        <v>15455.026904319289</v>
      </c>
      <c r="AU276" s="88">
        <v>15349.53341849272</v>
      </c>
      <c r="AV276" s="88">
        <v>26400</v>
      </c>
      <c r="AW276" s="88">
        <v>26136</v>
      </c>
      <c r="AX276" s="88">
        <v>26268</v>
      </c>
      <c r="AY276" s="88">
        <v>26400</v>
      </c>
      <c r="AZ276" s="88">
        <v>26400</v>
      </c>
      <c r="BA276" s="88">
        <v>26400</v>
      </c>
      <c r="BB276" s="88">
        <v>26400</v>
      </c>
      <c r="BC276" s="88">
        <v>26400</v>
      </c>
      <c r="BD276" s="88">
        <v>26400</v>
      </c>
      <c r="BE276" s="88">
        <v>26400</v>
      </c>
      <c r="BF276" s="88">
        <v>26400</v>
      </c>
      <c r="BG276" s="88">
        <v>26400</v>
      </c>
      <c r="BH276" s="88">
        <v>26400</v>
      </c>
      <c r="BI276" s="88">
        <v>26400</v>
      </c>
      <c r="BJ276" s="88">
        <v>26400</v>
      </c>
      <c r="BK276" s="88">
        <v>1167.0673456834579</v>
      </c>
      <c r="BL276" s="88">
        <v>1167.031044339557</v>
      </c>
      <c r="BM276" s="88">
        <v>1166.994766717431</v>
      </c>
      <c r="BN276" s="88">
        <v>1166.9572842622749</v>
      </c>
      <c r="BO276" s="88">
        <v>1166.9198271138971</v>
      </c>
      <c r="BP276" s="88">
        <v>1166.882395246681</v>
      </c>
      <c r="BQ276" s="88">
        <v>1166.844988635045</v>
      </c>
      <c r="BR276" s="88">
        <v>1166.806994653949</v>
      </c>
      <c r="BS276" s="88">
        <v>1166.76963888981</v>
      </c>
      <c r="BT276" s="88">
        <v>1166.7323083042829</v>
      </c>
      <c r="BU276" s="88">
        <v>106.4375027614515</v>
      </c>
      <c r="BV276" s="88">
        <v>106.4016563147003</v>
      </c>
      <c r="BW276" s="88">
        <v>1056.0000000000009</v>
      </c>
      <c r="BX276" s="88">
        <v>1056.0000000000009</v>
      </c>
      <c r="BY276" s="88">
        <v>1056.0000000000009</v>
      </c>
      <c r="BZ276" s="88">
        <v>1056.0000000000009</v>
      </c>
      <c r="CA276" s="88">
        <v>1056.0000000000009</v>
      </c>
      <c r="CB276" s="88">
        <v>1056.0000000000009</v>
      </c>
      <c r="CC276" s="88">
        <v>1056.0000000000009</v>
      </c>
      <c r="CD276" s="88">
        <v>1056.0000000000009</v>
      </c>
      <c r="CE276" s="88">
        <v>1056.0000000000009</v>
      </c>
      <c r="CF276" s="88">
        <v>1056.0000000000009</v>
      </c>
      <c r="CG276" s="88">
        <v>0</v>
      </c>
      <c r="CH276" s="88">
        <v>0</v>
      </c>
      <c r="CI276" s="88">
        <v>26400</v>
      </c>
      <c r="CJ276" s="88">
        <v>26400</v>
      </c>
      <c r="CK276" s="88">
        <v>26400</v>
      </c>
      <c r="CL276" s="88">
        <v>26400</v>
      </c>
      <c r="CM276" s="88">
        <v>26400</v>
      </c>
      <c r="CN276" s="88">
        <v>26400</v>
      </c>
      <c r="CO276" s="88">
        <v>26400</v>
      </c>
      <c r="CP276" s="88">
        <v>26400</v>
      </c>
      <c r="CQ276" s="88">
        <v>26400</v>
      </c>
      <c r="CR276" s="88">
        <v>26400</v>
      </c>
      <c r="CS276" s="88">
        <v>26400</v>
      </c>
      <c r="CT276" s="88">
        <v>26400</v>
      </c>
      <c r="CU276" s="88">
        <v>106.7955246956323</v>
      </c>
      <c r="CV276" s="88">
        <v>106.76061955726711</v>
      </c>
      <c r="CW276" s="88">
        <v>106.7257372282961</v>
      </c>
      <c r="CX276" s="88">
        <v>106.68969640603039</v>
      </c>
      <c r="CY276" s="88">
        <v>106.65367991720861</v>
      </c>
      <c r="CZ276" s="88">
        <v>106.61768773719299</v>
      </c>
      <c r="DA276" s="88">
        <v>106.5817198413868</v>
      </c>
      <c r="DB276" s="88">
        <v>106.54518716725509</v>
      </c>
      <c r="DC276" s="88">
        <v>106.50926816327861</v>
      </c>
      <c r="DD276" s="88">
        <v>106.4733733695039</v>
      </c>
      <c r="DE276" s="88">
        <v>106.4375027614515</v>
      </c>
      <c r="DF276" s="88">
        <v>106.4016563147003</v>
      </c>
      <c r="DG276" s="93">
        <v>46327</v>
      </c>
      <c r="DH276" s="91">
        <v>0.04</v>
      </c>
      <c r="DI276" t="s">
        <v>301</v>
      </c>
      <c r="DJ276" s="93"/>
      <c r="DK276" s="91"/>
      <c r="DM276" s="93"/>
      <c r="DN276" s="91"/>
      <c r="DP276" s="93"/>
      <c r="DQ276" s="91"/>
    </row>
    <row r="277" spans="1:121" x14ac:dyDescent="0.3">
      <c r="A277" t="s">
        <v>30</v>
      </c>
      <c r="B277" t="s">
        <v>45</v>
      </c>
      <c r="C277" t="s">
        <v>48</v>
      </c>
      <c r="D277" t="s">
        <v>347</v>
      </c>
      <c r="E277" t="s">
        <v>640</v>
      </c>
      <c r="F277" s="86">
        <v>21600</v>
      </c>
      <c r="G277" s="87">
        <v>12</v>
      </c>
      <c r="H277" s="88">
        <v>1.05</v>
      </c>
      <c r="I277" s="88">
        <v>1.054696572580645</v>
      </c>
      <c r="J277" s="89">
        <v>1.000865040760869</v>
      </c>
      <c r="K277" s="88">
        <v>0.99554699171046557</v>
      </c>
      <c r="L277" s="88">
        <v>0.99913570688790188</v>
      </c>
      <c r="M277" s="88">
        <v>1.02</v>
      </c>
      <c r="N277" s="90">
        <v>0.55800000000000005</v>
      </c>
      <c r="O277" s="90">
        <v>0.56613579526283908</v>
      </c>
      <c r="P277" s="90">
        <v>0.53859724316767776</v>
      </c>
      <c r="Q277" s="91">
        <v>0</v>
      </c>
      <c r="R277" s="88">
        <v>0.97284786829941206</v>
      </c>
      <c r="S277" s="88">
        <v>0.97271323225041562</v>
      </c>
      <c r="T277" s="91">
        <v>4.4729262672811299E-3</v>
      </c>
      <c r="U277" s="91">
        <v>2.3332654725072951E-2</v>
      </c>
      <c r="V277" s="87">
        <v>0</v>
      </c>
      <c r="W277" s="91">
        <v>0</v>
      </c>
      <c r="X277" s="87">
        <v>1</v>
      </c>
      <c r="Y277" s="90">
        <v>0.56613579526283908</v>
      </c>
      <c r="Z277" s="90">
        <v>0.53859724316767776</v>
      </c>
      <c r="AA277" s="92">
        <v>0</v>
      </c>
      <c r="AB277" s="88">
        <v>0</v>
      </c>
      <c r="AC277" s="87">
        <v>1</v>
      </c>
      <c r="AD277" s="87">
        <v>1</v>
      </c>
      <c r="AE277" s="88">
        <v>1.0313709677419349</v>
      </c>
      <c r="AF277" s="88">
        <v>1.0410108178186279</v>
      </c>
      <c r="AG277" s="88">
        <v>1.07365054415658</v>
      </c>
      <c r="AH277" s="88">
        <v>22680</v>
      </c>
      <c r="AI277" s="88">
        <v>22781.44596774194</v>
      </c>
      <c r="AJ277" s="88">
        <v>21618.684880434779</v>
      </c>
      <c r="AK277" s="88">
        <v>21503.815020946051</v>
      </c>
      <c r="AL277" s="88">
        <v>21581.331268778678</v>
      </c>
      <c r="AM277" s="88">
        <v>22032</v>
      </c>
      <c r="AN277" s="88">
        <v>12052.8</v>
      </c>
      <c r="AO277" s="88">
        <v>12228.53317767732</v>
      </c>
      <c r="AP277" s="88">
        <v>11633.700452421839</v>
      </c>
      <c r="AQ277" s="88">
        <v>0</v>
      </c>
      <c r="AR277" s="88">
        <v>21013.513955267299</v>
      </c>
      <c r="AS277" s="88">
        <v>21010.605816608979</v>
      </c>
      <c r="AT277" s="88">
        <v>12228.53317767732</v>
      </c>
      <c r="AU277" s="88">
        <v>11633.700452421839</v>
      </c>
      <c r="AV277" s="88">
        <v>21600</v>
      </c>
      <c r="AW277" s="88">
        <v>21384</v>
      </c>
      <c r="AX277" s="88">
        <v>21816</v>
      </c>
      <c r="AY277" s="88">
        <v>21600</v>
      </c>
      <c r="AZ277" s="88">
        <v>21600</v>
      </c>
      <c r="BA277" s="88">
        <v>21600</v>
      </c>
      <c r="BB277" s="88">
        <v>21600</v>
      </c>
      <c r="BC277" s="88">
        <v>21600</v>
      </c>
      <c r="BD277" s="88">
        <v>21600</v>
      </c>
      <c r="BE277" s="88">
        <v>21600</v>
      </c>
      <c r="BF277" s="88">
        <v>21600</v>
      </c>
      <c r="BG277" s="88">
        <v>21600</v>
      </c>
      <c r="BH277" s="88">
        <v>21600</v>
      </c>
      <c r="BI277" s="88">
        <v>21600</v>
      </c>
      <c r="BJ277" s="88">
        <v>21600</v>
      </c>
      <c r="BK277" s="88">
        <v>1975.617196768548</v>
      </c>
      <c r="BL277" s="88">
        <v>1897.2972972973</v>
      </c>
      <c r="BM277" s="88">
        <v>2287.8859644200052</v>
      </c>
      <c r="BN277" s="88">
        <v>1072.7516778523491</v>
      </c>
      <c r="BO277" s="88">
        <v>1367.398674148777</v>
      </c>
      <c r="BP277" s="88">
        <v>1594.6708143539599</v>
      </c>
      <c r="BQ277" s="88">
        <v>1516.3408071748879</v>
      </c>
      <c r="BR277" s="88">
        <v>1437.266979310343</v>
      </c>
      <c r="BS277" s="88">
        <v>1601.0746657868681</v>
      </c>
      <c r="BT277" s="88">
        <v>1523.513118430428</v>
      </c>
      <c r="BU277" s="88">
        <v>1446.468422110552</v>
      </c>
      <c r="BV277" s="88">
        <v>1369.9354277315031</v>
      </c>
      <c r="BW277" s="88">
        <v>1080.0000000000009</v>
      </c>
      <c r="BX277" s="88">
        <v>1080.0000000000009</v>
      </c>
      <c r="BY277" s="88">
        <v>1080.0000000000009</v>
      </c>
      <c r="BZ277" s="88">
        <v>0</v>
      </c>
      <c r="CA277" s="88">
        <v>355.35483870967562</v>
      </c>
      <c r="CB277" s="88">
        <v>648.00000000000057</v>
      </c>
      <c r="CC277" s="88">
        <v>648.00000000000057</v>
      </c>
      <c r="CD277" s="88">
        <v>648.00000000000057</v>
      </c>
      <c r="CE277" s="88">
        <v>648.00000000000057</v>
      </c>
      <c r="CF277" s="88">
        <v>648.00000000000057</v>
      </c>
      <c r="CG277" s="88">
        <v>648.00000000000057</v>
      </c>
      <c r="CH277" s="88">
        <v>648.00000000000057</v>
      </c>
      <c r="CI277" s="88">
        <v>21600</v>
      </c>
      <c r="CJ277" s="88">
        <v>21600</v>
      </c>
      <c r="CK277" s="88">
        <v>21600</v>
      </c>
      <c r="CL277" s="88">
        <v>21600</v>
      </c>
      <c r="CM277" s="88">
        <v>21600</v>
      </c>
      <c r="CN277" s="88">
        <v>21600</v>
      </c>
      <c r="CO277" s="88">
        <v>21600</v>
      </c>
      <c r="CP277" s="88">
        <v>21600</v>
      </c>
      <c r="CQ277" s="88">
        <v>21600</v>
      </c>
      <c r="CR277" s="88">
        <v>21600</v>
      </c>
      <c r="CS277" s="88">
        <v>21600</v>
      </c>
      <c r="CT277" s="88">
        <v>21600</v>
      </c>
      <c r="CU277" s="88">
        <v>852.96875882718552</v>
      </c>
      <c r="CV277" s="88">
        <v>778.37837837838003</v>
      </c>
      <c r="CW277" s="88">
        <v>1150.36758516191</v>
      </c>
      <c r="CX277" s="88">
        <v>1072.7516778523491</v>
      </c>
      <c r="CY277" s="88">
        <v>995.66356390390638</v>
      </c>
      <c r="CZ277" s="88">
        <v>919.0978780135531</v>
      </c>
      <c r="DA277" s="88">
        <v>843.0493273542611</v>
      </c>
      <c r="DB277" s="88">
        <v>766.27862068965419</v>
      </c>
      <c r="DC277" s="88">
        <v>925.31520950181425</v>
      </c>
      <c r="DD277" s="88">
        <v>850.01273634021948</v>
      </c>
      <c r="DE277" s="88">
        <v>775.21206030150563</v>
      </c>
      <c r="DF277" s="88">
        <v>700.90818226359488</v>
      </c>
      <c r="DG277" s="93">
        <v>46113</v>
      </c>
      <c r="DH277" s="91">
        <v>0.05</v>
      </c>
      <c r="DI277" t="s">
        <v>301</v>
      </c>
      <c r="DJ277" s="93">
        <v>46522</v>
      </c>
      <c r="DK277" s="91">
        <v>0.03</v>
      </c>
      <c r="DL277" t="s">
        <v>302</v>
      </c>
      <c r="DM277" s="93"/>
      <c r="DN277" s="91"/>
      <c r="DP277" s="93"/>
      <c r="DQ277" s="91"/>
    </row>
    <row r="278" spans="1:121" x14ac:dyDescent="0.3">
      <c r="A278" t="s">
        <v>30</v>
      </c>
      <c r="B278" t="s">
        <v>45</v>
      </c>
      <c r="C278" t="s">
        <v>50</v>
      </c>
      <c r="D278" t="s">
        <v>349</v>
      </c>
      <c r="E278" t="s">
        <v>641</v>
      </c>
      <c r="F278" s="86">
        <v>16800</v>
      </c>
      <c r="G278" s="87">
        <v>12</v>
      </c>
      <c r="H278" s="88">
        <v>1.08</v>
      </c>
      <c r="I278" s="88">
        <v>1.0754999999999999</v>
      </c>
      <c r="J278" s="89">
        <v>0.9900000000000001</v>
      </c>
      <c r="K278" s="88">
        <v>1.00418410041841</v>
      </c>
      <c r="L278" s="88">
        <v>1.0101010101010099</v>
      </c>
      <c r="M278" s="88">
        <v>1</v>
      </c>
      <c r="N278" s="90">
        <v>0.54200000000000004</v>
      </c>
      <c r="O278" s="90">
        <v>0.54976543679472534</v>
      </c>
      <c r="P278" s="90">
        <v>0.52273209497907136</v>
      </c>
      <c r="Q278" s="91">
        <v>0</v>
      </c>
      <c r="R278" s="88">
        <v>0.95480585614258429</v>
      </c>
      <c r="S278" s="88">
        <v>1.0101010101010099</v>
      </c>
      <c r="T278" s="91">
        <v>-4.1666666666666519E-3</v>
      </c>
      <c r="U278" s="91">
        <v>5.1715481171548117E-2</v>
      </c>
      <c r="V278" s="87">
        <v>0</v>
      </c>
      <c r="W278" s="91">
        <v>0</v>
      </c>
      <c r="X278" s="87">
        <v>1</v>
      </c>
      <c r="Y278" s="90">
        <v>0.54976543679472534</v>
      </c>
      <c r="Z278" s="90">
        <v>0.52273209497907136</v>
      </c>
      <c r="AA278" s="92">
        <v>0</v>
      </c>
      <c r="AB278" s="88">
        <v>0</v>
      </c>
      <c r="AC278" s="87">
        <v>1</v>
      </c>
      <c r="AD278" s="87">
        <v>1</v>
      </c>
      <c r="AE278" s="88">
        <v>1.1022400000000001</v>
      </c>
      <c r="AF278" s="88">
        <v>1</v>
      </c>
      <c r="AG278" s="88">
        <v>1.1022400000000001</v>
      </c>
      <c r="AH278" s="88">
        <v>18144</v>
      </c>
      <c r="AI278" s="88">
        <v>18068.400000000001</v>
      </c>
      <c r="AJ278" s="88">
        <v>16632</v>
      </c>
      <c r="AK278" s="88">
        <v>16870.292887029289</v>
      </c>
      <c r="AL278" s="88">
        <v>16969.696969696972</v>
      </c>
      <c r="AM278" s="88">
        <v>16800</v>
      </c>
      <c r="AN278" s="88">
        <v>9105.6</v>
      </c>
      <c r="AO278" s="88">
        <v>9236.0593381513863</v>
      </c>
      <c r="AP278" s="88">
        <v>8781.8991956483987</v>
      </c>
      <c r="AQ278" s="88">
        <v>0</v>
      </c>
      <c r="AR278" s="88">
        <v>16040.738383195419</v>
      </c>
      <c r="AS278" s="88">
        <v>16969.696969696972</v>
      </c>
      <c r="AT278" s="88">
        <v>9236.0593381513863</v>
      </c>
      <c r="AU278" s="88">
        <v>8781.8991956483987</v>
      </c>
      <c r="AV278" s="88">
        <v>16800</v>
      </c>
      <c r="AW278" s="88">
        <v>16632</v>
      </c>
      <c r="AX278" s="88">
        <v>16632</v>
      </c>
      <c r="AY278" s="88">
        <v>16800</v>
      </c>
      <c r="AZ278" s="88">
        <v>16800</v>
      </c>
      <c r="BA278" s="88">
        <v>16800</v>
      </c>
      <c r="BB278" s="88">
        <v>16800</v>
      </c>
      <c r="BC278" s="88">
        <v>16800</v>
      </c>
      <c r="BD278" s="88">
        <v>16800</v>
      </c>
      <c r="BE278" s="88">
        <v>16800</v>
      </c>
      <c r="BF278" s="88">
        <v>16800</v>
      </c>
      <c r="BG278" s="88">
        <v>16800</v>
      </c>
      <c r="BH278" s="88">
        <v>16800</v>
      </c>
      <c r="BI278" s="88">
        <v>16800</v>
      </c>
      <c r="BJ278" s="88">
        <v>16800</v>
      </c>
      <c r="BK278" s="88">
        <v>1344.0000000000009</v>
      </c>
      <c r="BL278" s="88">
        <v>1344.0000000000009</v>
      </c>
      <c r="BM278" s="88">
        <v>2214.912000000003</v>
      </c>
      <c r="BN278" s="88">
        <v>2214.912000000003</v>
      </c>
      <c r="BO278" s="88">
        <v>2214.912000000003</v>
      </c>
      <c r="BP278" s="88">
        <v>2214.912000000003</v>
      </c>
      <c r="BQ278" s="88">
        <v>2214.912000000003</v>
      </c>
      <c r="BR278" s="88">
        <v>2214.912000000003</v>
      </c>
      <c r="BS278" s="88">
        <v>2214.912000000003</v>
      </c>
      <c r="BT278" s="88">
        <v>806.40000000000077</v>
      </c>
      <c r="BU278" s="88">
        <v>806.40000000000077</v>
      </c>
      <c r="BV278" s="88">
        <v>806.40000000000077</v>
      </c>
      <c r="BW278" s="88">
        <v>1344.0000000000009</v>
      </c>
      <c r="BX278" s="88">
        <v>1344.0000000000009</v>
      </c>
      <c r="BY278" s="88">
        <v>2214.912000000003</v>
      </c>
      <c r="BZ278" s="88">
        <v>2214.912000000003</v>
      </c>
      <c r="CA278" s="88">
        <v>2214.912000000003</v>
      </c>
      <c r="CB278" s="88">
        <v>2214.912000000003</v>
      </c>
      <c r="CC278" s="88">
        <v>2214.912000000003</v>
      </c>
      <c r="CD278" s="88">
        <v>2214.912000000003</v>
      </c>
      <c r="CE278" s="88">
        <v>2214.912000000003</v>
      </c>
      <c r="CF278" s="88">
        <v>806.40000000000077</v>
      </c>
      <c r="CG278" s="88">
        <v>806.40000000000077</v>
      </c>
      <c r="CH278" s="88">
        <v>806.40000000000077</v>
      </c>
      <c r="CI278" s="88">
        <v>16800</v>
      </c>
      <c r="CJ278" s="88">
        <v>16800</v>
      </c>
      <c r="CK278" s="88">
        <v>16800</v>
      </c>
      <c r="CL278" s="88">
        <v>16800</v>
      </c>
      <c r="CM278" s="88">
        <v>16800</v>
      </c>
      <c r="CN278" s="88">
        <v>16800</v>
      </c>
      <c r="CO278" s="88">
        <v>16800</v>
      </c>
      <c r="CP278" s="88">
        <v>16800</v>
      </c>
      <c r="CQ278" s="88">
        <v>16800</v>
      </c>
      <c r="CR278" s="88">
        <v>16800</v>
      </c>
      <c r="CS278" s="88">
        <v>16800</v>
      </c>
      <c r="CT278" s="88">
        <v>16800</v>
      </c>
      <c r="CU278" s="88">
        <v>0</v>
      </c>
      <c r="CV278" s="88">
        <v>0</v>
      </c>
      <c r="CW278" s="88">
        <v>0</v>
      </c>
      <c r="CX278" s="88">
        <v>0</v>
      </c>
      <c r="CY278" s="88">
        <v>0</v>
      </c>
      <c r="CZ278" s="88">
        <v>0</v>
      </c>
      <c r="DA278" s="88">
        <v>0</v>
      </c>
      <c r="DB278" s="88">
        <v>0</v>
      </c>
      <c r="DC278" s="88">
        <v>0</v>
      </c>
      <c r="DD278" s="88">
        <v>0</v>
      </c>
      <c r="DE278" s="88">
        <v>0</v>
      </c>
      <c r="DF278" s="88">
        <v>0</v>
      </c>
      <c r="DG278" s="93">
        <v>46296</v>
      </c>
      <c r="DH278" s="91">
        <v>0.08</v>
      </c>
      <c r="DI278" t="s">
        <v>301</v>
      </c>
      <c r="DJ278" s="93">
        <v>46447</v>
      </c>
      <c r="DK278" s="91">
        <v>4.8000000000000001E-2</v>
      </c>
      <c r="DL278" t="s">
        <v>302</v>
      </c>
      <c r="DM278" s="93"/>
      <c r="DN278" s="91"/>
      <c r="DP278" s="93"/>
      <c r="DQ278" s="91"/>
    </row>
    <row r="279" spans="1:121" x14ac:dyDescent="0.3">
      <c r="A279" t="s">
        <v>30</v>
      </c>
      <c r="B279" t="s">
        <v>45</v>
      </c>
      <c r="C279" t="s">
        <v>57</v>
      </c>
      <c r="D279" t="s">
        <v>351</v>
      </c>
      <c r="E279" t="s">
        <v>642</v>
      </c>
      <c r="F279" s="86">
        <v>12000</v>
      </c>
      <c r="G279" s="87">
        <v>12</v>
      </c>
      <c r="H279" s="88">
        <v>1.02</v>
      </c>
      <c r="I279" s="88">
        <v>1.026872222222222</v>
      </c>
      <c r="J279" s="89">
        <v>0.99299370897155337</v>
      </c>
      <c r="K279" s="88">
        <v>0.99330761698144854</v>
      </c>
      <c r="L279" s="88">
        <v>1.007055725494679</v>
      </c>
      <c r="M279" s="88">
        <v>1</v>
      </c>
      <c r="N279" s="90">
        <v>0.56999999999999995</v>
      </c>
      <c r="O279" s="90">
        <v>0.57018019002942677</v>
      </c>
      <c r="P279" s="90">
        <v>0.54827655333887215</v>
      </c>
      <c r="Q279" s="91">
        <v>0</v>
      </c>
      <c r="R279" s="88">
        <v>0.96475948010183543</v>
      </c>
      <c r="S279" s="88">
        <v>0.99702434638596604</v>
      </c>
      <c r="T279" s="91">
        <v>6.7374727668845216E-3</v>
      </c>
      <c r="U279" s="91">
        <v>2.9590936879521301E-2</v>
      </c>
      <c r="V279" s="87">
        <v>0</v>
      </c>
      <c r="W279" s="91">
        <v>0</v>
      </c>
      <c r="X279" s="87">
        <v>1</v>
      </c>
      <c r="Y279" s="90">
        <v>0.57018019002942677</v>
      </c>
      <c r="Z279" s="90">
        <v>0.54827655333887215</v>
      </c>
      <c r="AA279" s="92">
        <v>0</v>
      </c>
      <c r="AB279" s="88">
        <v>0</v>
      </c>
      <c r="AC279" s="87">
        <v>1</v>
      </c>
      <c r="AD279" s="87">
        <v>1</v>
      </c>
      <c r="AE279" s="88">
        <v>1.0249999999999999</v>
      </c>
      <c r="AF279" s="88">
        <v>1.012138206284618</v>
      </c>
      <c r="AG279" s="88">
        <v>1.037441055937901</v>
      </c>
      <c r="AH279" s="88">
        <v>12240</v>
      </c>
      <c r="AI279" s="88">
        <v>12322.466666666671</v>
      </c>
      <c r="AJ279" s="88">
        <v>11915.924507658639</v>
      </c>
      <c r="AK279" s="88">
        <v>11919.69140377738</v>
      </c>
      <c r="AL279" s="88">
        <v>12084.66870593615</v>
      </c>
      <c r="AM279" s="88">
        <v>12000</v>
      </c>
      <c r="AN279" s="88">
        <v>6839.9999999999991</v>
      </c>
      <c r="AO279" s="88">
        <v>6842.1622803531209</v>
      </c>
      <c r="AP279" s="88">
        <v>6579.3186400664654</v>
      </c>
      <c r="AQ279" s="88">
        <v>0</v>
      </c>
      <c r="AR279" s="88">
        <v>11577.113761222019</v>
      </c>
      <c r="AS279" s="88">
        <v>11964.292156631591</v>
      </c>
      <c r="AT279" s="88">
        <v>6842.1622803531209</v>
      </c>
      <c r="AU279" s="88">
        <v>6579.3186400664654</v>
      </c>
      <c r="AV279" s="88">
        <v>12000</v>
      </c>
      <c r="AW279" s="88">
        <v>11880</v>
      </c>
      <c r="AX279" s="88">
        <v>12060</v>
      </c>
      <c r="AY279" s="88">
        <v>12000</v>
      </c>
      <c r="AZ279" s="88">
        <v>12000</v>
      </c>
      <c r="BA279" s="88">
        <v>12000</v>
      </c>
      <c r="BB279" s="88">
        <v>12000</v>
      </c>
      <c r="BC279" s="88">
        <v>12000</v>
      </c>
      <c r="BD279" s="88">
        <v>12000</v>
      </c>
      <c r="BE279" s="88">
        <v>12000</v>
      </c>
      <c r="BF279" s="88">
        <v>12000</v>
      </c>
      <c r="BG279" s="88">
        <v>12000</v>
      </c>
      <c r="BH279" s="88">
        <v>12000</v>
      </c>
      <c r="BI279" s="88">
        <v>12000</v>
      </c>
      <c r="BJ279" s="88">
        <v>12000</v>
      </c>
      <c r="BK279" s="88">
        <v>389.39557591666937</v>
      </c>
      <c r="BL279" s="88">
        <v>146.32190819803631</v>
      </c>
      <c r="BM279" s="88">
        <v>146.17784971715329</v>
      </c>
      <c r="BN279" s="88">
        <v>146.02920584116671</v>
      </c>
      <c r="BO279" s="88">
        <v>145.8808639610991</v>
      </c>
      <c r="BP279" s="88">
        <v>631.56213608384792</v>
      </c>
      <c r="BQ279" s="88">
        <v>631.4084858154248</v>
      </c>
      <c r="BR279" s="88">
        <v>631.25263559842631</v>
      </c>
      <c r="BS279" s="88">
        <v>631.0996119016803</v>
      </c>
      <c r="BT279" s="88">
        <v>630.94689752299087</v>
      </c>
      <c r="BU279" s="88">
        <v>630.79449152542202</v>
      </c>
      <c r="BV279" s="88">
        <v>630.64239297584288</v>
      </c>
      <c r="BW279" s="88">
        <v>240.0000000000002</v>
      </c>
      <c r="BX279" s="88">
        <v>0</v>
      </c>
      <c r="BY279" s="88">
        <v>0</v>
      </c>
      <c r="BZ279" s="88">
        <v>0</v>
      </c>
      <c r="CA279" s="88">
        <v>0</v>
      </c>
      <c r="CB279" s="88">
        <v>480.00000000000051</v>
      </c>
      <c r="CC279" s="88">
        <v>480.00000000000051</v>
      </c>
      <c r="CD279" s="88">
        <v>480.00000000000051</v>
      </c>
      <c r="CE279" s="88">
        <v>480.00000000000051</v>
      </c>
      <c r="CF279" s="88">
        <v>480.00000000000051</v>
      </c>
      <c r="CG279" s="88">
        <v>480.00000000000051</v>
      </c>
      <c r="CH279" s="88">
        <v>480.00000000000051</v>
      </c>
      <c r="CI279" s="88">
        <v>12000</v>
      </c>
      <c r="CJ279" s="88">
        <v>12000</v>
      </c>
      <c r="CK279" s="88">
        <v>12000</v>
      </c>
      <c r="CL279" s="88">
        <v>12000</v>
      </c>
      <c r="CM279" s="88">
        <v>12000</v>
      </c>
      <c r="CN279" s="88">
        <v>12000</v>
      </c>
      <c r="CO279" s="88">
        <v>12000</v>
      </c>
      <c r="CP279" s="88">
        <v>12000</v>
      </c>
      <c r="CQ279" s="88">
        <v>12000</v>
      </c>
      <c r="CR279" s="88">
        <v>12000</v>
      </c>
      <c r="CS279" s="88">
        <v>12000</v>
      </c>
      <c r="CT279" s="88">
        <v>12000</v>
      </c>
      <c r="CU279" s="88">
        <v>146.46625089869491</v>
      </c>
      <c r="CV279" s="88">
        <v>146.32190819803631</v>
      </c>
      <c r="CW279" s="88">
        <v>146.17784971715329</v>
      </c>
      <c r="CX279" s="88">
        <v>146.02920584116671</v>
      </c>
      <c r="CY279" s="88">
        <v>145.8808639610991</v>
      </c>
      <c r="CZ279" s="88">
        <v>145.73282315754449</v>
      </c>
      <c r="DA279" s="88">
        <v>145.58508251483019</v>
      </c>
      <c r="DB279" s="88">
        <v>145.4352265369474</v>
      </c>
      <c r="DC279" s="88">
        <v>145.28808836700071</v>
      </c>
      <c r="DD279" s="88">
        <v>145.141247618259</v>
      </c>
      <c r="DE279" s="88">
        <v>144.9947033898296</v>
      </c>
      <c r="DF279" s="88">
        <v>144.84845478446479</v>
      </c>
      <c r="DG279" s="93">
        <v>46054</v>
      </c>
      <c r="DH279" s="91">
        <v>0.02</v>
      </c>
      <c r="DI279" t="s">
        <v>301</v>
      </c>
      <c r="DJ279" s="93">
        <v>46539</v>
      </c>
      <c r="DK279" s="91">
        <v>0.04</v>
      </c>
      <c r="DL279" t="s">
        <v>302</v>
      </c>
      <c r="DM279" s="93"/>
      <c r="DN279" s="91"/>
      <c r="DP279" s="93"/>
      <c r="DQ279" s="91"/>
    </row>
    <row r="280" spans="1:121" x14ac:dyDescent="0.3">
      <c r="A280" t="s">
        <v>30</v>
      </c>
      <c r="B280" t="s">
        <v>45</v>
      </c>
      <c r="C280" t="s">
        <v>58</v>
      </c>
      <c r="D280" t="s">
        <v>353</v>
      </c>
      <c r="E280" t="s">
        <v>643</v>
      </c>
      <c r="F280" s="86">
        <v>27600</v>
      </c>
      <c r="G280" s="87">
        <v>12</v>
      </c>
      <c r="H280" s="88">
        <v>1</v>
      </c>
      <c r="I280" s="88">
        <v>1</v>
      </c>
      <c r="J280" s="89">
        <v>0.98900209700948194</v>
      </c>
      <c r="K280" s="88">
        <v>1</v>
      </c>
      <c r="L280" s="88">
        <v>1.011120201892163</v>
      </c>
      <c r="M280" s="88">
        <v>1</v>
      </c>
      <c r="N280" s="90">
        <v>0.55400000000000005</v>
      </c>
      <c r="O280" s="90">
        <v>0.56016059184825839</v>
      </c>
      <c r="P280" s="90">
        <v>0.56205319837579049</v>
      </c>
      <c r="Q280" s="91">
        <v>0</v>
      </c>
      <c r="R280" s="88">
        <v>1</v>
      </c>
      <c r="S280" s="88">
        <v>1.0145364591620769</v>
      </c>
      <c r="T280" s="91">
        <v>0</v>
      </c>
      <c r="U280" s="91">
        <v>0</v>
      </c>
      <c r="V280" s="87">
        <v>0</v>
      </c>
      <c r="W280" s="91">
        <v>0</v>
      </c>
      <c r="X280" s="87">
        <v>1</v>
      </c>
      <c r="Y280" s="90">
        <v>0.56016059184825839</v>
      </c>
      <c r="Z280" s="90">
        <v>0.56205319837579049</v>
      </c>
      <c r="AA280" s="92">
        <v>0</v>
      </c>
      <c r="AB280" s="88">
        <v>0</v>
      </c>
      <c r="AC280" s="87">
        <v>0</v>
      </c>
      <c r="AD280" s="87">
        <v>0</v>
      </c>
      <c r="AE280" s="88">
        <v>1</v>
      </c>
      <c r="AF280" s="88">
        <v>0.99597028697853884</v>
      </c>
      <c r="AG280" s="88">
        <v>0.99597028697853884</v>
      </c>
      <c r="AH280" s="88">
        <v>27600</v>
      </c>
      <c r="AI280" s="88">
        <v>27600</v>
      </c>
      <c r="AJ280" s="88">
        <v>27296.4578774617</v>
      </c>
      <c r="AK280" s="88">
        <v>27600</v>
      </c>
      <c r="AL280" s="88">
        <v>27906.917572223701</v>
      </c>
      <c r="AM280" s="88">
        <v>27600</v>
      </c>
      <c r="AN280" s="88">
        <v>15290.4</v>
      </c>
      <c r="AO280" s="88">
        <v>15460.43233501193</v>
      </c>
      <c r="AP280" s="88">
        <v>15512.66827517182</v>
      </c>
      <c r="AQ280" s="88">
        <v>0</v>
      </c>
      <c r="AR280" s="88">
        <v>27600</v>
      </c>
      <c r="AS280" s="88">
        <v>28001.206272873322</v>
      </c>
      <c r="AT280" s="88">
        <v>15460.43233501193</v>
      </c>
      <c r="AU280" s="88">
        <v>15512.66827517182</v>
      </c>
      <c r="AV280" s="88">
        <v>27600</v>
      </c>
      <c r="AW280" s="88">
        <v>27324</v>
      </c>
      <c r="AX280" s="88">
        <v>27186</v>
      </c>
      <c r="AY280" s="88">
        <v>27600</v>
      </c>
      <c r="AZ280" s="88">
        <v>27600</v>
      </c>
      <c r="BA280" s="88">
        <v>27600</v>
      </c>
      <c r="BB280" s="88">
        <v>27600</v>
      </c>
      <c r="BC280" s="88">
        <v>27600</v>
      </c>
      <c r="BD280" s="88">
        <v>27600</v>
      </c>
      <c r="BE280" s="88">
        <v>27600</v>
      </c>
      <c r="BF280" s="88">
        <v>27600</v>
      </c>
      <c r="BG280" s="88">
        <v>27600</v>
      </c>
      <c r="BH280" s="88">
        <v>27600</v>
      </c>
      <c r="BI280" s="88">
        <v>27600</v>
      </c>
      <c r="BJ280" s="88">
        <v>27600</v>
      </c>
      <c r="BK280" s="88">
        <v>-111.01621603751271</v>
      </c>
      <c r="BL280" s="88">
        <v>-111.05231827501829</v>
      </c>
      <c r="BM280" s="88">
        <v>-111.08844400090361</v>
      </c>
      <c r="BN280" s="88">
        <v>-111.1258190482494</v>
      </c>
      <c r="BO280" s="88">
        <v>-111.1632192532829</v>
      </c>
      <c r="BP280" s="88">
        <v>-111.20064464141861</v>
      </c>
      <c r="BQ280" s="88">
        <v>-111.2380952380958</v>
      </c>
      <c r="BR280" s="88">
        <v>-111.27618563704399</v>
      </c>
      <c r="BS280" s="88">
        <v>-111.3136871415809</v>
      </c>
      <c r="BT280" s="88">
        <v>-111.351213931614</v>
      </c>
      <c r="BU280" s="88">
        <v>-111.38876603272929</v>
      </c>
      <c r="BV280" s="88">
        <v>-111.4263434705407</v>
      </c>
      <c r="BW280" s="88">
        <v>0</v>
      </c>
      <c r="BX280" s="88">
        <v>0</v>
      </c>
      <c r="BY280" s="88">
        <v>0</v>
      </c>
      <c r="BZ280" s="88">
        <v>0</v>
      </c>
      <c r="CA280" s="88">
        <v>0</v>
      </c>
      <c r="CB280" s="88">
        <v>0</v>
      </c>
      <c r="CC280" s="88">
        <v>0</v>
      </c>
      <c r="CD280" s="88">
        <v>0</v>
      </c>
      <c r="CE280" s="88">
        <v>0</v>
      </c>
      <c r="CF280" s="88">
        <v>0</v>
      </c>
      <c r="CG280" s="88">
        <v>0</v>
      </c>
      <c r="CH280" s="88">
        <v>0</v>
      </c>
      <c r="CI280" s="88">
        <v>27600</v>
      </c>
      <c r="CJ280" s="88">
        <v>27600</v>
      </c>
      <c r="CK280" s="88">
        <v>27600</v>
      </c>
      <c r="CL280" s="88">
        <v>27600</v>
      </c>
      <c r="CM280" s="88">
        <v>27600</v>
      </c>
      <c r="CN280" s="88">
        <v>27600</v>
      </c>
      <c r="CO280" s="88">
        <v>27600</v>
      </c>
      <c r="CP280" s="88">
        <v>27600</v>
      </c>
      <c r="CQ280" s="88">
        <v>27600</v>
      </c>
      <c r="CR280" s="88">
        <v>27600</v>
      </c>
      <c r="CS280" s="88">
        <v>27600</v>
      </c>
      <c r="CT280" s="88">
        <v>27600</v>
      </c>
      <c r="CU280" s="88">
        <v>-111.01621603751271</v>
      </c>
      <c r="CV280" s="88">
        <v>-111.05231827501829</v>
      </c>
      <c r="CW280" s="88">
        <v>-111.08844400090361</v>
      </c>
      <c r="CX280" s="88">
        <v>-111.1258190482494</v>
      </c>
      <c r="CY280" s="88">
        <v>-111.1632192532829</v>
      </c>
      <c r="CZ280" s="88">
        <v>-111.20064464141861</v>
      </c>
      <c r="DA280" s="88">
        <v>-111.2380952380958</v>
      </c>
      <c r="DB280" s="88">
        <v>-111.27618563704399</v>
      </c>
      <c r="DC280" s="88">
        <v>-111.3136871415809</v>
      </c>
      <c r="DD280" s="88">
        <v>-111.351213931614</v>
      </c>
      <c r="DE280" s="88">
        <v>-111.38876603272929</v>
      </c>
      <c r="DF280" s="88">
        <v>-111.4263434705407</v>
      </c>
      <c r="DG280" s="93"/>
      <c r="DH280" s="91"/>
      <c r="DJ280" s="93"/>
      <c r="DK280" s="91"/>
      <c r="DM280" s="93"/>
      <c r="DN280" s="91"/>
      <c r="DP280" s="93"/>
      <c r="DQ280" s="91"/>
    </row>
    <row r="281" spans="1:121" x14ac:dyDescent="0.3">
      <c r="A281" t="s">
        <v>30</v>
      </c>
      <c r="B281" t="s">
        <v>45</v>
      </c>
      <c r="C281" t="s">
        <v>65</v>
      </c>
      <c r="D281" t="s">
        <v>355</v>
      </c>
      <c r="E281" t="s">
        <v>644</v>
      </c>
      <c r="F281" s="86">
        <v>22800</v>
      </c>
      <c r="G281" s="87">
        <v>12</v>
      </c>
      <c r="H281" s="88">
        <v>1.04</v>
      </c>
      <c r="I281" s="88">
        <v>1.0387500000000001</v>
      </c>
      <c r="J281" s="89">
        <v>0.99199580598103554</v>
      </c>
      <c r="K281" s="88">
        <v>1.001203369434416</v>
      </c>
      <c r="L281" s="88">
        <v>1.008068778084247</v>
      </c>
      <c r="M281" s="88">
        <v>1</v>
      </c>
      <c r="N281" s="90">
        <v>0.53800000000000003</v>
      </c>
      <c r="O281" s="90">
        <v>0.54299363919489552</v>
      </c>
      <c r="P281" s="90">
        <v>0.53872385287321722</v>
      </c>
      <c r="Q281" s="91">
        <v>0</v>
      </c>
      <c r="R281" s="88">
        <v>0.99999999999999978</v>
      </c>
      <c r="S281" s="88">
        <v>1.0013454514372071</v>
      </c>
      <c r="T281" s="91">
        <v>-1.2019230769230169E-3</v>
      </c>
      <c r="U281" s="91">
        <v>1.2033694344164569E-3</v>
      </c>
      <c r="V281" s="87">
        <v>0</v>
      </c>
      <c r="W281" s="91">
        <v>0</v>
      </c>
      <c r="X281" s="87">
        <v>1</v>
      </c>
      <c r="Y281" s="90">
        <v>0.54299363919489552</v>
      </c>
      <c r="Z281" s="90">
        <v>0.53872385287321722</v>
      </c>
      <c r="AA281" s="92">
        <v>0</v>
      </c>
      <c r="AB281" s="88">
        <v>0</v>
      </c>
      <c r="AC281" s="87">
        <v>1</v>
      </c>
      <c r="AD281" s="87">
        <v>0</v>
      </c>
      <c r="AE281" s="88">
        <v>1.01</v>
      </c>
      <c r="AF281" s="88">
        <v>1.0080839018517109</v>
      </c>
      <c r="AG281" s="88">
        <v>1.01816498595801</v>
      </c>
      <c r="AH281" s="88">
        <v>23712</v>
      </c>
      <c r="AI281" s="88">
        <v>23683.5</v>
      </c>
      <c r="AJ281" s="88">
        <v>22617.504376367611</v>
      </c>
      <c r="AK281" s="88">
        <v>22827.43682310469</v>
      </c>
      <c r="AL281" s="88">
        <v>22983.968140320831</v>
      </c>
      <c r="AM281" s="88">
        <v>22800</v>
      </c>
      <c r="AN281" s="88">
        <v>12266.4</v>
      </c>
      <c r="AO281" s="88">
        <v>12380.254973643619</v>
      </c>
      <c r="AP281" s="88">
        <v>12282.903845509351</v>
      </c>
      <c r="AQ281" s="88">
        <v>0</v>
      </c>
      <c r="AR281" s="88">
        <v>22800</v>
      </c>
      <c r="AS281" s="88">
        <v>22830.676292768319</v>
      </c>
      <c r="AT281" s="88">
        <v>12380.254973643619</v>
      </c>
      <c r="AU281" s="88">
        <v>12282.903845509351</v>
      </c>
      <c r="AV281" s="88">
        <v>22800</v>
      </c>
      <c r="AW281" s="88">
        <v>22572</v>
      </c>
      <c r="AX281" s="88">
        <v>22800</v>
      </c>
      <c r="AY281" s="88">
        <v>22800</v>
      </c>
      <c r="AZ281" s="88">
        <v>22800</v>
      </c>
      <c r="BA281" s="88">
        <v>22800</v>
      </c>
      <c r="BB281" s="88">
        <v>22800</v>
      </c>
      <c r="BC281" s="88">
        <v>22800</v>
      </c>
      <c r="BD281" s="88">
        <v>22800</v>
      </c>
      <c r="BE281" s="88">
        <v>22800</v>
      </c>
      <c r="BF281" s="88">
        <v>22800</v>
      </c>
      <c r="BG281" s="88">
        <v>22800</v>
      </c>
      <c r="BH281" s="88">
        <v>22800</v>
      </c>
      <c r="BI281" s="88">
        <v>22800</v>
      </c>
      <c r="BJ281" s="88">
        <v>22800</v>
      </c>
      <c r="BK281" s="88">
        <v>1104.392659857064</v>
      </c>
      <c r="BL281" s="88">
        <v>1104.266577807399</v>
      </c>
      <c r="BM281" s="88">
        <v>1104.140660901995</v>
      </c>
      <c r="BN281" s="88">
        <v>184.62562396006439</v>
      </c>
      <c r="BO281" s="88">
        <v>184.5007815011455</v>
      </c>
      <c r="BP281" s="88">
        <v>184.37610776320241</v>
      </c>
      <c r="BQ281" s="88">
        <v>184.2516024044377</v>
      </c>
      <c r="BR281" s="88">
        <v>184.12522816527559</v>
      </c>
      <c r="BS281" s="88">
        <v>184.00106128946831</v>
      </c>
      <c r="BT281" s="88">
        <v>183.87706176740619</v>
      </c>
      <c r="BU281" s="88">
        <v>183.7532292609674</v>
      </c>
      <c r="BV281" s="88">
        <v>183.62956343296119</v>
      </c>
      <c r="BW281" s="88">
        <v>912.0000000000008</v>
      </c>
      <c r="BX281" s="88">
        <v>912.0000000000008</v>
      </c>
      <c r="BY281" s="88">
        <v>912.0000000000008</v>
      </c>
      <c r="BZ281" s="88">
        <v>0</v>
      </c>
      <c r="CA281" s="88">
        <v>0</v>
      </c>
      <c r="CB281" s="88">
        <v>0</v>
      </c>
      <c r="CC281" s="88">
        <v>0</v>
      </c>
      <c r="CD281" s="88">
        <v>0</v>
      </c>
      <c r="CE281" s="88">
        <v>0</v>
      </c>
      <c r="CF281" s="88">
        <v>0</v>
      </c>
      <c r="CG281" s="88">
        <v>0</v>
      </c>
      <c r="CH281" s="88">
        <v>0</v>
      </c>
      <c r="CI281" s="88">
        <v>22800</v>
      </c>
      <c r="CJ281" s="88">
        <v>22800</v>
      </c>
      <c r="CK281" s="88">
        <v>22800</v>
      </c>
      <c r="CL281" s="88">
        <v>22800</v>
      </c>
      <c r="CM281" s="88">
        <v>22800</v>
      </c>
      <c r="CN281" s="88">
        <v>22800</v>
      </c>
      <c r="CO281" s="88">
        <v>22800</v>
      </c>
      <c r="CP281" s="88">
        <v>22800</v>
      </c>
      <c r="CQ281" s="88">
        <v>22800</v>
      </c>
      <c r="CR281" s="88">
        <v>22800</v>
      </c>
      <c r="CS281" s="88">
        <v>22800</v>
      </c>
      <c r="CT281" s="88">
        <v>22800</v>
      </c>
      <c r="CU281" s="88">
        <v>184.99294217025439</v>
      </c>
      <c r="CV281" s="88">
        <v>184.87170943018819</v>
      </c>
      <c r="CW281" s="88">
        <v>184.75063548268821</v>
      </c>
      <c r="CX281" s="88">
        <v>184.62562396006439</v>
      </c>
      <c r="CY281" s="88">
        <v>184.5007815011455</v>
      </c>
      <c r="CZ281" s="88">
        <v>184.37610776320241</v>
      </c>
      <c r="DA281" s="88">
        <v>184.2516024044377</v>
      </c>
      <c r="DB281" s="88">
        <v>184.12522816527559</v>
      </c>
      <c r="DC281" s="88">
        <v>184.00106128946831</v>
      </c>
      <c r="DD281" s="88">
        <v>183.87706176740619</v>
      </c>
      <c r="DE281" s="88">
        <v>183.7532292609674</v>
      </c>
      <c r="DF281" s="88">
        <v>183.62956343296119</v>
      </c>
      <c r="DG281" s="93">
        <v>46113</v>
      </c>
      <c r="DH281" s="91">
        <v>0.04</v>
      </c>
      <c r="DI281" t="s">
        <v>301</v>
      </c>
      <c r="DJ281" s="93"/>
      <c r="DK281" s="91"/>
      <c r="DM281" s="93"/>
      <c r="DN281" s="91"/>
      <c r="DP281" s="93"/>
      <c r="DQ281" s="91"/>
    </row>
    <row r="282" spans="1:121" x14ac:dyDescent="0.3">
      <c r="A282" t="s">
        <v>30</v>
      </c>
      <c r="B282" t="s">
        <v>45</v>
      </c>
      <c r="C282" t="s">
        <v>66</v>
      </c>
      <c r="D282" t="s">
        <v>357</v>
      </c>
      <c r="E282" t="s">
        <v>645</v>
      </c>
      <c r="F282" s="86">
        <v>18000</v>
      </c>
      <c r="G282" s="87">
        <v>12</v>
      </c>
      <c r="H282" s="88">
        <v>1.05</v>
      </c>
      <c r="I282" s="88">
        <v>1.0472222222222221</v>
      </c>
      <c r="J282" s="89">
        <v>0.98800419401896411</v>
      </c>
      <c r="K282" s="88">
        <v>1.0026525198938989</v>
      </c>
      <c r="L282" s="88">
        <v>1.012141452489427</v>
      </c>
      <c r="M282" s="88">
        <v>1</v>
      </c>
      <c r="N282" s="90">
        <v>0.56599999999999995</v>
      </c>
      <c r="O282" s="90">
        <v>0.57439161665041882</v>
      </c>
      <c r="P282" s="90">
        <v>0.57676024466453646</v>
      </c>
      <c r="Q282" s="91">
        <v>0</v>
      </c>
      <c r="R282" s="88">
        <v>1</v>
      </c>
      <c r="S282" s="88">
        <v>1.019011032976213</v>
      </c>
      <c r="T282" s="91">
        <v>-2.6455026455026731E-3</v>
      </c>
      <c r="U282" s="91">
        <v>2.6525198938991408E-3</v>
      </c>
      <c r="V282" s="87">
        <v>0</v>
      </c>
      <c r="W282" s="91">
        <v>0</v>
      </c>
      <c r="X282" s="87">
        <v>1</v>
      </c>
      <c r="Y282" s="90">
        <v>0.57439161665041882</v>
      </c>
      <c r="Z282" s="90">
        <v>0.57676024466453646</v>
      </c>
      <c r="AA282" s="92">
        <v>0</v>
      </c>
      <c r="AB282" s="88">
        <v>0</v>
      </c>
      <c r="AC282" s="87">
        <v>1</v>
      </c>
      <c r="AD282" s="87">
        <v>0</v>
      </c>
      <c r="AE282" s="88">
        <v>1.0166666666666671</v>
      </c>
      <c r="AF282" s="88">
        <v>0.99194865631796525</v>
      </c>
      <c r="AG282" s="88">
        <v>1.008481493861926</v>
      </c>
      <c r="AH282" s="88">
        <v>18900</v>
      </c>
      <c r="AI282" s="88">
        <v>18850</v>
      </c>
      <c r="AJ282" s="88">
        <v>17784.075492341359</v>
      </c>
      <c r="AK282" s="88">
        <v>18047.745358090189</v>
      </c>
      <c r="AL282" s="88">
        <v>18218.54614480969</v>
      </c>
      <c r="AM282" s="88">
        <v>18000</v>
      </c>
      <c r="AN282" s="88">
        <v>10188</v>
      </c>
      <c r="AO282" s="88">
        <v>10339.049099707539</v>
      </c>
      <c r="AP282" s="88">
        <v>10381.684403961661</v>
      </c>
      <c r="AQ282" s="88">
        <v>0</v>
      </c>
      <c r="AR282" s="88">
        <v>18000</v>
      </c>
      <c r="AS282" s="88">
        <v>18342.198593571829</v>
      </c>
      <c r="AT282" s="88">
        <v>10339.049099707539</v>
      </c>
      <c r="AU282" s="88">
        <v>10381.684403961661</v>
      </c>
      <c r="AV282" s="88">
        <v>18000</v>
      </c>
      <c r="AW282" s="88">
        <v>17820</v>
      </c>
      <c r="AX282" s="88">
        <v>17640</v>
      </c>
      <c r="AY282" s="88">
        <v>18000</v>
      </c>
      <c r="AZ282" s="88">
        <v>18000</v>
      </c>
      <c r="BA282" s="88">
        <v>18000</v>
      </c>
      <c r="BB282" s="88">
        <v>18000</v>
      </c>
      <c r="BC282" s="88">
        <v>18000</v>
      </c>
      <c r="BD282" s="88">
        <v>18000</v>
      </c>
      <c r="BE282" s="88">
        <v>18000</v>
      </c>
      <c r="BF282" s="88">
        <v>18000</v>
      </c>
      <c r="BG282" s="88">
        <v>18000</v>
      </c>
      <c r="BH282" s="88">
        <v>18000</v>
      </c>
      <c r="BI282" s="88">
        <v>18000</v>
      </c>
      <c r="BJ282" s="88">
        <v>18000</v>
      </c>
      <c r="BK282" s="88">
        <v>748.38628146943529</v>
      </c>
      <c r="BL282" s="88">
        <v>748.28791977304343</v>
      </c>
      <c r="BM282" s="88">
        <v>748.18943036651706</v>
      </c>
      <c r="BN282" s="88">
        <v>748.08746779414776</v>
      </c>
      <c r="BO282" s="88">
        <v>-144.77583984310431</v>
      </c>
      <c r="BP282" s="88">
        <v>-144.87320837927211</v>
      </c>
      <c r="BQ282" s="88">
        <v>-144.97070797338839</v>
      </c>
      <c r="BR282" s="88">
        <v>-145.06994049262011</v>
      </c>
      <c r="BS282" s="88">
        <v>-145.16770515709811</v>
      </c>
      <c r="BT282" s="88">
        <v>-145.26560168039589</v>
      </c>
      <c r="BU282" s="88">
        <v>-145.3636303294461</v>
      </c>
      <c r="BV282" s="88">
        <v>-145.46179137192451</v>
      </c>
      <c r="BW282" s="88">
        <v>900.0000000000008</v>
      </c>
      <c r="BX282" s="88">
        <v>900.0000000000008</v>
      </c>
      <c r="BY282" s="88">
        <v>900.0000000000008</v>
      </c>
      <c r="BZ282" s="88">
        <v>900.0000000000008</v>
      </c>
      <c r="CA282" s="88">
        <v>0</v>
      </c>
      <c r="CB282" s="88">
        <v>0</v>
      </c>
      <c r="CC282" s="88">
        <v>0</v>
      </c>
      <c r="CD282" s="88">
        <v>0</v>
      </c>
      <c r="CE282" s="88">
        <v>0</v>
      </c>
      <c r="CF282" s="88">
        <v>0</v>
      </c>
      <c r="CG282" s="88">
        <v>0</v>
      </c>
      <c r="CH282" s="88">
        <v>0</v>
      </c>
      <c r="CI282" s="88">
        <v>18000</v>
      </c>
      <c r="CJ282" s="88">
        <v>18000</v>
      </c>
      <c r="CK282" s="88">
        <v>18000</v>
      </c>
      <c r="CL282" s="88">
        <v>18000</v>
      </c>
      <c r="CM282" s="88">
        <v>18000</v>
      </c>
      <c r="CN282" s="88">
        <v>18000</v>
      </c>
      <c r="CO282" s="88">
        <v>18000</v>
      </c>
      <c r="CP282" s="88">
        <v>18000</v>
      </c>
      <c r="CQ282" s="88">
        <v>18000</v>
      </c>
      <c r="CR282" s="88">
        <v>18000</v>
      </c>
      <c r="CS282" s="88">
        <v>18000</v>
      </c>
      <c r="CT282" s="88">
        <v>18000</v>
      </c>
      <c r="CU282" s="88">
        <v>-144.39401764815679</v>
      </c>
      <c r="CV282" s="88">
        <v>-144.48769545424511</v>
      </c>
      <c r="CW282" s="88">
        <v>-144.58149488903251</v>
      </c>
      <c r="CX282" s="88">
        <v>-144.67860210081221</v>
      </c>
      <c r="CY282" s="88">
        <v>-144.77583984310431</v>
      </c>
      <c r="CZ282" s="88">
        <v>-144.87320837927211</v>
      </c>
      <c r="DA282" s="88">
        <v>-144.97070797338839</v>
      </c>
      <c r="DB282" s="88">
        <v>-145.06994049262011</v>
      </c>
      <c r="DC282" s="88">
        <v>-145.16770515709811</v>
      </c>
      <c r="DD282" s="88">
        <v>-145.26560168039589</v>
      </c>
      <c r="DE282" s="88">
        <v>-145.3636303294461</v>
      </c>
      <c r="DF282" s="88">
        <v>-145.46179137192451</v>
      </c>
      <c r="DG282" s="93">
        <v>46143</v>
      </c>
      <c r="DH282" s="91">
        <v>0.05</v>
      </c>
      <c r="DI282" t="s">
        <v>301</v>
      </c>
      <c r="DJ282" s="93"/>
      <c r="DK282" s="91"/>
      <c r="DM282" s="93"/>
      <c r="DN282" s="91"/>
      <c r="DP282" s="93"/>
      <c r="DQ282" s="91"/>
    </row>
    <row r="283" spans="1:121" x14ac:dyDescent="0.3">
      <c r="A283" t="s">
        <v>30</v>
      </c>
      <c r="B283" t="s">
        <v>45</v>
      </c>
      <c r="C283" t="s">
        <v>67</v>
      </c>
      <c r="D283" t="s">
        <v>359</v>
      </c>
      <c r="E283" t="s">
        <v>646</v>
      </c>
      <c r="F283" s="86">
        <v>13200</v>
      </c>
      <c r="G283" s="87">
        <v>12</v>
      </c>
      <c r="H283" s="88">
        <v>1</v>
      </c>
      <c r="I283" s="88">
        <v>1.00125</v>
      </c>
      <c r="J283" s="89">
        <v>0.99099790299051793</v>
      </c>
      <c r="K283" s="88">
        <v>0.99875156054931336</v>
      </c>
      <c r="L283" s="88">
        <v>1.009083870896514</v>
      </c>
      <c r="M283" s="88">
        <v>1</v>
      </c>
      <c r="N283" s="90">
        <v>0.55000000000000004</v>
      </c>
      <c r="O283" s="90">
        <v>0.55430324993066948</v>
      </c>
      <c r="P283" s="90">
        <v>0.53767902423637326</v>
      </c>
      <c r="Q283" s="91">
        <v>0</v>
      </c>
      <c r="R283" s="88">
        <v>0.97205346294046169</v>
      </c>
      <c r="S283" s="88">
        <v>1.005704174878489</v>
      </c>
      <c r="T283" s="91">
        <v>1.2499999999999729E-3</v>
      </c>
      <c r="U283" s="91">
        <v>2.7465667915106181E-2</v>
      </c>
      <c r="V283" s="87">
        <v>0</v>
      </c>
      <c r="W283" s="91">
        <v>0</v>
      </c>
      <c r="X283" s="87">
        <v>1</v>
      </c>
      <c r="Y283" s="90">
        <v>0.55430324993066948</v>
      </c>
      <c r="Z283" s="90">
        <v>0.53767902423637326</v>
      </c>
      <c r="AA283" s="92">
        <v>0</v>
      </c>
      <c r="AB283" s="88">
        <v>0</v>
      </c>
      <c r="AC283" s="87">
        <v>0</v>
      </c>
      <c r="AD283" s="87">
        <v>1</v>
      </c>
      <c r="AE283" s="88">
        <v>1.01</v>
      </c>
      <c r="AF283" s="88">
        <v>1.004037852440528</v>
      </c>
      <c r="AG283" s="88">
        <v>1.014078169679473</v>
      </c>
      <c r="AH283" s="88">
        <v>13200</v>
      </c>
      <c r="AI283" s="88">
        <v>13216.5</v>
      </c>
      <c r="AJ283" s="88">
        <v>13081.172319474839</v>
      </c>
      <c r="AK283" s="88">
        <v>13183.52059925094</v>
      </c>
      <c r="AL283" s="88">
        <v>13319.907095833991</v>
      </c>
      <c r="AM283" s="88">
        <v>13200</v>
      </c>
      <c r="AN283" s="88">
        <v>7260.0000000000009</v>
      </c>
      <c r="AO283" s="88">
        <v>7316.802899084837</v>
      </c>
      <c r="AP283" s="88">
        <v>7097.3631199201272</v>
      </c>
      <c r="AQ283" s="88">
        <v>0</v>
      </c>
      <c r="AR283" s="88">
        <v>12831.10571081409</v>
      </c>
      <c r="AS283" s="88">
        <v>13275.29510839606</v>
      </c>
      <c r="AT283" s="88">
        <v>7316.802899084837</v>
      </c>
      <c r="AU283" s="88">
        <v>7097.3631199201272</v>
      </c>
      <c r="AV283" s="88">
        <v>13200</v>
      </c>
      <c r="AW283" s="88">
        <v>13068</v>
      </c>
      <c r="AX283" s="88">
        <v>13134</v>
      </c>
      <c r="AY283" s="88">
        <v>13200</v>
      </c>
      <c r="AZ283" s="88">
        <v>13200</v>
      </c>
      <c r="BA283" s="88">
        <v>13200</v>
      </c>
      <c r="BB283" s="88">
        <v>13200</v>
      </c>
      <c r="BC283" s="88">
        <v>13200</v>
      </c>
      <c r="BD283" s="88">
        <v>13200</v>
      </c>
      <c r="BE283" s="88">
        <v>13200</v>
      </c>
      <c r="BF283" s="88">
        <v>13200</v>
      </c>
      <c r="BG283" s="88">
        <v>13200</v>
      </c>
      <c r="BH283" s="88">
        <v>13200</v>
      </c>
      <c r="BI283" s="88">
        <v>13200</v>
      </c>
      <c r="BJ283" s="88">
        <v>13200</v>
      </c>
      <c r="BK283" s="88">
        <v>53.397762347816169</v>
      </c>
      <c r="BL283" s="88">
        <v>53.380309778633531</v>
      </c>
      <c r="BM283" s="88">
        <v>53.36286861414807</v>
      </c>
      <c r="BN283" s="88">
        <v>53.344848203015182</v>
      </c>
      <c r="BO283" s="88">
        <v>53.326839958604303</v>
      </c>
      <c r="BP283" s="88">
        <v>53.308843868596512</v>
      </c>
      <c r="BQ283" s="88">
        <v>53.290859920693379</v>
      </c>
      <c r="BR283" s="88">
        <v>53.272593583627533</v>
      </c>
      <c r="BS283" s="88">
        <v>53.254634081639281</v>
      </c>
      <c r="BT283" s="88">
        <v>583.36615415214146</v>
      </c>
      <c r="BU283" s="88">
        <v>583.34750143595488</v>
      </c>
      <c r="BV283" s="88">
        <v>583.32886128364521</v>
      </c>
      <c r="BW283" s="88">
        <v>0</v>
      </c>
      <c r="BX283" s="88">
        <v>0</v>
      </c>
      <c r="BY283" s="88">
        <v>0</v>
      </c>
      <c r="BZ283" s="88">
        <v>0</v>
      </c>
      <c r="CA283" s="88">
        <v>0</v>
      </c>
      <c r="CB283" s="88">
        <v>0</v>
      </c>
      <c r="CC283" s="88">
        <v>0</v>
      </c>
      <c r="CD283" s="88">
        <v>0</v>
      </c>
      <c r="CE283" s="88">
        <v>0</v>
      </c>
      <c r="CF283" s="88">
        <v>528.00000000000045</v>
      </c>
      <c r="CG283" s="88">
        <v>528.00000000000045</v>
      </c>
      <c r="CH283" s="88">
        <v>528.00000000000045</v>
      </c>
      <c r="CI283" s="88">
        <v>13200</v>
      </c>
      <c r="CJ283" s="88">
        <v>13200</v>
      </c>
      <c r="CK283" s="88">
        <v>13200</v>
      </c>
      <c r="CL283" s="88">
        <v>13200</v>
      </c>
      <c r="CM283" s="88">
        <v>13200</v>
      </c>
      <c r="CN283" s="88">
        <v>13200</v>
      </c>
      <c r="CO283" s="88">
        <v>13200</v>
      </c>
      <c r="CP283" s="88">
        <v>13200</v>
      </c>
      <c r="CQ283" s="88">
        <v>13200</v>
      </c>
      <c r="CR283" s="88">
        <v>13200</v>
      </c>
      <c r="CS283" s="88">
        <v>13200</v>
      </c>
      <c r="CT283" s="88">
        <v>13200</v>
      </c>
      <c r="CU283" s="88">
        <v>53.397762347816169</v>
      </c>
      <c r="CV283" s="88">
        <v>53.380309778633531</v>
      </c>
      <c r="CW283" s="88">
        <v>53.36286861414807</v>
      </c>
      <c r="CX283" s="88">
        <v>53.344848203015182</v>
      </c>
      <c r="CY283" s="88">
        <v>53.326839958604303</v>
      </c>
      <c r="CZ283" s="88">
        <v>53.308843868596512</v>
      </c>
      <c r="DA283" s="88">
        <v>53.290859920693379</v>
      </c>
      <c r="DB283" s="88">
        <v>53.272593583627533</v>
      </c>
      <c r="DC283" s="88">
        <v>53.254634081639281</v>
      </c>
      <c r="DD283" s="88">
        <v>53.236686684751973</v>
      </c>
      <c r="DE283" s="88">
        <v>53.218751380725763</v>
      </c>
      <c r="DF283" s="88">
        <v>53.200828157350173</v>
      </c>
      <c r="DG283" s="93">
        <v>46661</v>
      </c>
      <c r="DH283" s="91">
        <v>0.04</v>
      </c>
      <c r="DI283" t="s">
        <v>302</v>
      </c>
      <c r="DJ283" s="93"/>
      <c r="DK283" s="91"/>
      <c r="DM283" s="93"/>
      <c r="DN283" s="91"/>
      <c r="DP283" s="93"/>
      <c r="DQ283" s="91"/>
    </row>
    <row r="284" spans="1:121" x14ac:dyDescent="0.3">
      <c r="A284" t="s">
        <v>30</v>
      </c>
      <c r="B284" t="s">
        <v>45</v>
      </c>
      <c r="C284" t="s">
        <v>73</v>
      </c>
      <c r="D284" t="s">
        <v>361</v>
      </c>
      <c r="E284" t="s">
        <v>647</v>
      </c>
      <c r="F284" s="86">
        <v>28800</v>
      </c>
      <c r="G284" s="87">
        <v>12</v>
      </c>
      <c r="H284" s="88">
        <v>1.02</v>
      </c>
      <c r="I284" s="88">
        <v>1.0175000000000001</v>
      </c>
      <c r="J284" s="89">
        <v>0.99399161196207142</v>
      </c>
      <c r="K284" s="88">
        <v>1.002457002457003</v>
      </c>
      <c r="L284" s="88">
        <v>1.006044706983058</v>
      </c>
      <c r="M284" s="88">
        <v>1</v>
      </c>
      <c r="N284" s="90">
        <v>0.53400000000000003</v>
      </c>
      <c r="O284" s="90">
        <v>0.53854784373418418</v>
      </c>
      <c r="P284" s="90">
        <v>0.53012336015040762</v>
      </c>
      <c r="Q284" s="91">
        <v>0</v>
      </c>
      <c r="R284" s="88">
        <v>1</v>
      </c>
      <c r="S284" s="88">
        <v>0.9927403748134972</v>
      </c>
      <c r="T284" s="91">
        <v>-2.4509803921570761E-3</v>
      </c>
      <c r="U284" s="91">
        <v>2.4570024570023108E-3</v>
      </c>
      <c r="V284" s="87">
        <v>0</v>
      </c>
      <c r="W284" s="91">
        <v>0</v>
      </c>
      <c r="X284" s="87">
        <v>1</v>
      </c>
      <c r="Y284" s="90">
        <v>0.53854784373418418</v>
      </c>
      <c r="Z284" s="90">
        <v>0.53012336015040762</v>
      </c>
      <c r="AA284" s="92">
        <v>0</v>
      </c>
      <c r="AB284" s="88">
        <v>0</v>
      </c>
      <c r="AC284" s="87">
        <v>1</v>
      </c>
      <c r="AD284" s="87">
        <v>0</v>
      </c>
      <c r="AE284" s="88">
        <v>1.01</v>
      </c>
      <c r="AF284" s="88">
        <v>1.016200824295963</v>
      </c>
      <c r="AG284" s="88">
        <v>1.0263634901839229</v>
      </c>
      <c r="AH284" s="88">
        <v>29376</v>
      </c>
      <c r="AI284" s="88">
        <v>29304</v>
      </c>
      <c r="AJ284" s="88">
        <v>28626.958424507658</v>
      </c>
      <c r="AK284" s="88">
        <v>28870.761670761669</v>
      </c>
      <c r="AL284" s="88">
        <v>28974.087561112079</v>
      </c>
      <c r="AM284" s="88">
        <v>28800</v>
      </c>
      <c r="AN284" s="88">
        <v>15379.2</v>
      </c>
      <c r="AO284" s="88">
        <v>15510.1778995445</v>
      </c>
      <c r="AP284" s="88">
        <v>15267.552772331739</v>
      </c>
      <c r="AQ284" s="88">
        <v>0</v>
      </c>
      <c r="AR284" s="88">
        <v>28800.000000000011</v>
      </c>
      <c r="AS284" s="88">
        <v>28590.922794628721</v>
      </c>
      <c r="AT284" s="88">
        <v>15510.1778995445</v>
      </c>
      <c r="AU284" s="88">
        <v>15267.552772331739</v>
      </c>
      <c r="AV284" s="88">
        <v>28800</v>
      </c>
      <c r="AW284" s="88">
        <v>28512</v>
      </c>
      <c r="AX284" s="88">
        <v>29088</v>
      </c>
      <c r="AY284" s="88">
        <v>28800</v>
      </c>
      <c r="AZ284" s="88">
        <v>28800</v>
      </c>
      <c r="BA284" s="88">
        <v>28800</v>
      </c>
      <c r="BB284" s="88">
        <v>28800</v>
      </c>
      <c r="BC284" s="88">
        <v>28800</v>
      </c>
      <c r="BD284" s="88">
        <v>28800</v>
      </c>
      <c r="BE284" s="88">
        <v>28800</v>
      </c>
      <c r="BF284" s="88">
        <v>28800</v>
      </c>
      <c r="BG284" s="88">
        <v>28800</v>
      </c>
      <c r="BH284" s="88">
        <v>28800</v>
      </c>
      <c r="BI284" s="88">
        <v>28800</v>
      </c>
      <c r="BJ284" s="88">
        <v>28800</v>
      </c>
      <c r="BK284" s="88">
        <v>1055.441960293331</v>
      </c>
      <c r="BL284" s="88">
        <v>1054.8103690803121</v>
      </c>
      <c r="BM284" s="88">
        <v>1054.1804397270689</v>
      </c>
      <c r="BN284" s="88">
        <v>1053.530897187519</v>
      </c>
      <c r="BO284" s="88">
        <v>1052.88311688312</v>
      </c>
      <c r="BP284" s="88">
        <v>1052.237091652044</v>
      </c>
      <c r="BQ284" s="88">
        <v>466.2674650698641</v>
      </c>
      <c r="BR284" s="88">
        <v>465.62721474132121</v>
      </c>
      <c r="BS284" s="88">
        <v>464.99900471103427</v>
      </c>
      <c r="BT284" s="88">
        <v>464.37248752043342</v>
      </c>
      <c r="BU284" s="88">
        <v>463.74765633616232</v>
      </c>
      <c r="BV284" s="88">
        <v>463.12450436161612</v>
      </c>
      <c r="BW284" s="88">
        <v>576.00000000000045</v>
      </c>
      <c r="BX284" s="88">
        <v>576.00000000000045</v>
      </c>
      <c r="BY284" s="88">
        <v>576.00000000000045</v>
      </c>
      <c r="BZ284" s="88">
        <v>576.00000000000045</v>
      </c>
      <c r="CA284" s="88">
        <v>576.00000000000045</v>
      </c>
      <c r="CB284" s="88">
        <v>576.00000000000045</v>
      </c>
      <c r="CC284" s="88">
        <v>0</v>
      </c>
      <c r="CD284" s="88">
        <v>0</v>
      </c>
      <c r="CE284" s="88">
        <v>0</v>
      </c>
      <c r="CF284" s="88">
        <v>0</v>
      </c>
      <c r="CG284" s="88">
        <v>0</v>
      </c>
      <c r="CH284" s="88">
        <v>0</v>
      </c>
      <c r="CI284" s="88">
        <v>28800</v>
      </c>
      <c r="CJ284" s="88">
        <v>28800</v>
      </c>
      <c r="CK284" s="88">
        <v>28800</v>
      </c>
      <c r="CL284" s="88">
        <v>28800</v>
      </c>
      <c r="CM284" s="88">
        <v>28800</v>
      </c>
      <c r="CN284" s="88">
        <v>28800</v>
      </c>
      <c r="CO284" s="88">
        <v>28800</v>
      </c>
      <c r="CP284" s="88">
        <v>28800</v>
      </c>
      <c r="CQ284" s="88">
        <v>28800</v>
      </c>
      <c r="CR284" s="88">
        <v>28800</v>
      </c>
      <c r="CS284" s="88">
        <v>28800</v>
      </c>
      <c r="CT284" s="88">
        <v>28800</v>
      </c>
      <c r="CU284" s="88">
        <v>470.04113754248277</v>
      </c>
      <c r="CV284" s="88">
        <v>469.42193047089449</v>
      </c>
      <c r="CW284" s="88">
        <v>468.80435267359599</v>
      </c>
      <c r="CX284" s="88">
        <v>468.16754626227493</v>
      </c>
      <c r="CY284" s="88">
        <v>467.53246753247168</v>
      </c>
      <c r="CZ284" s="88">
        <v>466.89910946278837</v>
      </c>
      <c r="DA284" s="88">
        <v>466.2674650698641</v>
      </c>
      <c r="DB284" s="88">
        <v>465.62721474132121</v>
      </c>
      <c r="DC284" s="88">
        <v>464.99900471103427</v>
      </c>
      <c r="DD284" s="88">
        <v>464.37248752043342</v>
      </c>
      <c r="DE284" s="88">
        <v>463.74765633616232</v>
      </c>
      <c r="DF284" s="88">
        <v>463.12450436161612</v>
      </c>
      <c r="DG284" s="93">
        <v>46204</v>
      </c>
      <c r="DH284" s="91">
        <v>0.02</v>
      </c>
      <c r="DI284" t="s">
        <v>301</v>
      </c>
      <c r="DJ284" s="93"/>
      <c r="DK284" s="91"/>
      <c r="DM284" s="93"/>
      <c r="DN284" s="91"/>
      <c r="DP284" s="93"/>
      <c r="DQ284" s="91"/>
    </row>
    <row r="285" spans="1:121" x14ac:dyDescent="0.3">
      <c r="A285" t="s">
        <v>30</v>
      </c>
      <c r="B285" t="s">
        <v>45</v>
      </c>
      <c r="C285" t="s">
        <v>78</v>
      </c>
      <c r="D285" t="s">
        <v>363</v>
      </c>
      <c r="E285" t="s">
        <v>648</v>
      </c>
      <c r="F285" s="86">
        <v>24000</v>
      </c>
      <c r="G285" s="87">
        <v>12</v>
      </c>
      <c r="H285" s="88">
        <v>1.03</v>
      </c>
      <c r="I285" s="88">
        <v>1.024895833333334</v>
      </c>
      <c r="J285" s="89">
        <v>0.9900000000000001</v>
      </c>
      <c r="K285" s="88">
        <v>1.0049801809126939</v>
      </c>
      <c r="L285" s="88">
        <v>1.0101010101010099</v>
      </c>
      <c r="M285" s="88">
        <v>1</v>
      </c>
      <c r="N285" s="90">
        <v>0.56200000000000006</v>
      </c>
      <c r="O285" s="90">
        <v>0.57050390067973122</v>
      </c>
      <c r="P285" s="90">
        <v>0.56767676767676756</v>
      </c>
      <c r="Q285" s="91">
        <v>0</v>
      </c>
      <c r="R285" s="88">
        <v>0.99999999999999978</v>
      </c>
      <c r="S285" s="88">
        <v>1.0101010101010099</v>
      </c>
      <c r="T285" s="91">
        <v>-4.9555016181225264E-3</v>
      </c>
      <c r="U285" s="91">
        <v>4.9801809126941432E-3</v>
      </c>
      <c r="V285" s="87">
        <v>0</v>
      </c>
      <c r="W285" s="91">
        <v>0</v>
      </c>
      <c r="X285" s="87">
        <v>1</v>
      </c>
      <c r="Y285" s="90">
        <v>0.57050390067973122</v>
      </c>
      <c r="Z285" s="90">
        <v>0.56767676767676756</v>
      </c>
      <c r="AA285" s="92">
        <v>0</v>
      </c>
      <c r="AB285" s="88">
        <v>0</v>
      </c>
      <c r="AC285" s="87">
        <v>1</v>
      </c>
      <c r="AD285" s="87">
        <v>0</v>
      </c>
      <c r="AE285" s="88">
        <v>1.0175000000000001</v>
      </c>
      <c r="AF285" s="88">
        <v>1</v>
      </c>
      <c r="AG285" s="88">
        <v>1.0175000000000001</v>
      </c>
      <c r="AH285" s="88">
        <v>24720</v>
      </c>
      <c r="AI285" s="88">
        <v>24597.500000000011</v>
      </c>
      <c r="AJ285" s="88">
        <v>23760</v>
      </c>
      <c r="AK285" s="88">
        <v>24119.524341904649</v>
      </c>
      <c r="AL285" s="88">
        <v>24242.42424242424</v>
      </c>
      <c r="AM285" s="88">
        <v>24000</v>
      </c>
      <c r="AN285" s="88">
        <v>13488</v>
      </c>
      <c r="AO285" s="88">
        <v>13692.09361631355</v>
      </c>
      <c r="AP285" s="88">
        <v>13624.24242424242</v>
      </c>
      <c r="AQ285" s="88">
        <v>0</v>
      </c>
      <c r="AR285" s="88">
        <v>24000</v>
      </c>
      <c r="AS285" s="88">
        <v>24242.42424242424</v>
      </c>
      <c r="AT285" s="88">
        <v>13692.09361631355</v>
      </c>
      <c r="AU285" s="88">
        <v>13624.24242424242</v>
      </c>
      <c r="AV285" s="88">
        <v>24000</v>
      </c>
      <c r="AW285" s="88">
        <v>23760</v>
      </c>
      <c r="AX285" s="88">
        <v>23760</v>
      </c>
      <c r="AY285" s="88">
        <v>24000</v>
      </c>
      <c r="AZ285" s="88">
        <v>24000</v>
      </c>
      <c r="BA285" s="88">
        <v>24000</v>
      </c>
      <c r="BB285" s="88">
        <v>24000</v>
      </c>
      <c r="BC285" s="88">
        <v>24000</v>
      </c>
      <c r="BD285" s="88">
        <v>24000</v>
      </c>
      <c r="BE285" s="88">
        <v>24000</v>
      </c>
      <c r="BF285" s="88">
        <v>24000</v>
      </c>
      <c r="BG285" s="88">
        <v>24000</v>
      </c>
      <c r="BH285" s="88">
        <v>24000</v>
      </c>
      <c r="BI285" s="88">
        <v>24000</v>
      </c>
      <c r="BJ285" s="88">
        <v>24000</v>
      </c>
      <c r="BK285" s="88">
        <v>720.00000000000068</v>
      </c>
      <c r="BL285" s="88">
        <v>720.00000000000068</v>
      </c>
      <c r="BM285" s="88">
        <v>720.00000000000068</v>
      </c>
      <c r="BN285" s="88">
        <v>720.00000000000068</v>
      </c>
      <c r="BO285" s="88">
        <v>720.00000000000068</v>
      </c>
      <c r="BP285" s="88">
        <v>720.00000000000068</v>
      </c>
      <c r="BQ285" s="88">
        <v>720.00000000000068</v>
      </c>
      <c r="BR285" s="88">
        <v>0</v>
      </c>
      <c r="BS285" s="88">
        <v>0</v>
      </c>
      <c r="BT285" s="88">
        <v>0</v>
      </c>
      <c r="BU285" s="88">
        <v>0</v>
      </c>
      <c r="BV285" s="88">
        <v>0</v>
      </c>
      <c r="BW285" s="88">
        <v>720.00000000000068</v>
      </c>
      <c r="BX285" s="88">
        <v>720.00000000000068</v>
      </c>
      <c r="BY285" s="88">
        <v>720.00000000000068</v>
      </c>
      <c r="BZ285" s="88">
        <v>720.00000000000068</v>
      </c>
      <c r="CA285" s="88">
        <v>720.00000000000068</v>
      </c>
      <c r="CB285" s="88">
        <v>720.00000000000068</v>
      </c>
      <c r="CC285" s="88">
        <v>720.00000000000068</v>
      </c>
      <c r="CD285" s="88">
        <v>0</v>
      </c>
      <c r="CE285" s="88">
        <v>0</v>
      </c>
      <c r="CF285" s="88">
        <v>0</v>
      </c>
      <c r="CG285" s="88">
        <v>0</v>
      </c>
      <c r="CH285" s="88">
        <v>0</v>
      </c>
      <c r="CI285" s="88">
        <v>24000</v>
      </c>
      <c r="CJ285" s="88">
        <v>24000</v>
      </c>
      <c r="CK285" s="88">
        <v>24000</v>
      </c>
      <c r="CL285" s="88">
        <v>24000</v>
      </c>
      <c r="CM285" s="88">
        <v>24000</v>
      </c>
      <c r="CN285" s="88">
        <v>24000</v>
      </c>
      <c r="CO285" s="88">
        <v>24000</v>
      </c>
      <c r="CP285" s="88">
        <v>24000</v>
      </c>
      <c r="CQ285" s="88">
        <v>24000</v>
      </c>
      <c r="CR285" s="88">
        <v>24000</v>
      </c>
      <c r="CS285" s="88">
        <v>24000</v>
      </c>
      <c r="CT285" s="88">
        <v>24000</v>
      </c>
      <c r="CU285" s="88">
        <v>0</v>
      </c>
      <c r="CV285" s="88">
        <v>0</v>
      </c>
      <c r="CW285" s="88">
        <v>0</v>
      </c>
      <c r="CX285" s="88">
        <v>0</v>
      </c>
      <c r="CY285" s="88">
        <v>0</v>
      </c>
      <c r="CZ285" s="88">
        <v>0</v>
      </c>
      <c r="DA285" s="88">
        <v>0</v>
      </c>
      <c r="DB285" s="88">
        <v>0</v>
      </c>
      <c r="DC285" s="88">
        <v>0</v>
      </c>
      <c r="DD285" s="88">
        <v>0</v>
      </c>
      <c r="DE285" s="88">
        <v>0</v>
      </c>
      <c r="DF285" s="88">
        <v>0</v>
      </c>
      <c r="DG285" s="93">
        <v>46235</v>
      </c>
      <c r="DH285" s="91">
        <v>0.03</v>
      </c>
      <c r="DI285" t="s">
        <v>301</v>
      </c>
      <c r="DJ285" s="93"/>
      <c r="DK285" s="91"/>
      <c r="DM285" s="93"/>
      <c r="DN285" s="91"/>
      <c r="DP285" s="93"/>
      <c r="DQ285" s="91"/>
    </row>
    <row r="286" spans="1:121" x14ac:dyDescent="0.3">
      <c r="A286" t="s">
        <v>30</v>
      </c>
      <c r="B286" t="s">
        <v>45</v>
      </c>
      <c r="C286" t="s">
        <v>80</v>
      </c>
      <c r="D286" t="s">
        <v>365</v>
      </c>
      <c r="E286" t="s">
        <v>649</v>
      </c>
      <c r="F286" s="86">
        <v>19200</v>
      </c>
      <c r="G286" s="87">
        <v>12</v>
      </c>
      <c r="H286" s="88">
        <v>1</v>
      </c>
      <c r="I286" s="88">
        <v>1</v>
      </c>
      <c r="J286" s="89">
        <v>0.99299370897155337</v>
      </c>
      <c r="K286" s="88">
        <v>1</v>
      </c>
      <c r="L286" s="88">
        <v>1.007055725494679</v>
      </c>
      <c r="M286" s="88">
        <v>1</v>
      </c>
      <c r="N286" s="90">
        <v>0.54600000000000004</v>
      </c>
      <c r="O286" s="90">
        <v>0.54985242612009488</v>
      </c>
      <c r="P286" s="90">
        <v>0.54437529312673749</v>
      </c>
      <c r="Q286" s="91">
        <v>0</v>
      </c>
      <c r="R286" s="88">
        <v>1</v>
      </c>
      <c r="S286" s="88">
        <v>0.99702434638596604</v>
      </c>
      <c r="T286" s="91">
        <v>0</v>
      </c>
      <c r="U286" s="91">
        <v>0</v>
      </c>
      <c r="V286" s="87">
        <v>0</v>
      </c>
      <c r="W286" s="91">
        <v>0</v>
      </c>
      <c r="X286" s="87">
        <v>1</v>
      </c>
      <c r="Y286" s="90">
        <v>0.54985242612009488</v>
      </c>
      <c r="Z286" s="90">
        <v>0.54437529312673749</v>
      </c>
      <c r="AA286" s="92">
        <v>0</v>
      </c>
      <c r="AB286" s="88">
        <v>0</v>
      </c>
      <c r="AC286" s="87">
        <v>0</v>
      </c>
      <c r="AD286" s="87">
        <v>0</v>
      </c>
      <c r="AE286" s="88">
        <v>1</v>
      </c>
      <c r="AF286" s="88">
        <v>1.012138206284618</v>
      </c>
      <c r="AG286" s="88">
        <v>1.012138206284618</v>
      </c>
      <c r="AH286" s="88">
        <v>19200</v>
      </c>
      <c r="AI286" s="88">
        <v>19200</v>
      </c>
      <c r="AJ286" s="88">
        <v>19065.47921225382</v>
      </c>
      <c r="AK286" s="88">
        <v>19200</v>
      </c>
      <c r="AL286" s="88">
        <v>19335.469929497842</v>
      </c>
      <c r="AM286" s="88">
        <v>19200</v>
      </c>
      <c r="AN286" s="88">
        <v>10483.200000000001</v>
      </c>
      <c r="AO286" s="88">
        <v>10557.16658150582</v>
      </c>
      <c r="AP286" s="88">
        <v>10452.005628033359</v>
      </c>
      <c r="AQ286" s="88">
        <v>0</v>
      </c>
      <c r="AR286" s="88">
        <v>19200</v>
      </c>
      <c r="AS286" s="88">
        <v>19142.867450610549</v>
      </c>
      <c r="AT286" s="88">
        <v>10557.16658150582</v>
      </c>
      <c r="AU286" s="88">
        <v>10452.005628033359</v>
      </c>
      <c r="AV286" s="88">
        <v>19200</v>
      </c>
      <c r="AW286" s="88">
        <v>19008</v>
      </c>
      <c r="AX286" s="88">
        <v>19296</v>
      </c>
      <c r="AY286" s="88">
        <v>19200</v>
      </c>
      <c r="AZ286" s="88">
        <v>19200</v>
      </c>
      <c r="BA286" s="88">
        <v>19200</v>
      </c>
      <c r="BB286" s="88">
        <v>19200</v>
      </c>
      <c r="BC286" s="88">
        <v>19200</v>
      </c>
      <c r="BD286" s="88">
        <v>19200</v>
      </c>
      <c r="BE286" s="88">
        <v>19200</v>
      </c>
      <c r="BF286" s="88">
        <v>19200</v>
      </c>
      <c r="BG286" s="88">
        <v>19200</v>
      </c>
      <c r="BH286" s="88">
        <v>19200</v>
      </c>
      <c r="BI286" s="88">
        <v>19200</v>
      </c>
      <c r="BJ286" s="88">
        <v>19200</v>
      </c>
      <c r="BK286" s="88">
        <v>234.34600143791189</v>
      </c>
      <c r="BL286" s="88">
        <v>234.11505311685801</v>
      </c>
      <c r="BM286" s="88">
        <v>233.88455954744529</v>
      </c>
      <c r="BN286" s="88">
        <v>233.64672934586679</v>
      </c>
      <c r="BO286" s="88">
        <v>233.40938233775859</v>
      </c>
      <c r="BP286" s="88">
        <v>233.1725170520713</v>
      </c>
      <c r="BQ286" s="88">
        <v>232.93613202372819</v>
      </c>
      <c r="BR286" s="88">
        <v>232.69636245911579</v>
      </c>
      <c r="BS286" s="88">
        <v>232.4609413872011</v>
      </c>
      <c r="BT286" s="88">
        <v>232.22599618921441</v>
      </c>
      <c r="BU286" s="88">
        <v>231.9915254237273</v>
      </c>
      <c r="BV286" s="88">
        <v>231.75752765514369</v>
      </c>
      <c r="BW286" s="88">
        <v>0</v>
      </c>
      <c r="BX286" s="88">
        <v>0</v>
      </c>
      <c r="BY286" s="88">
        <v>0</v>
      </c>
      <c r="BZ286" s="88">
        <v>0</v>
      </c>
      <c r="CA286" s="88">
        <v>0</v>
      </c>
      <c r="CB286" s="88">
        <v>0</v>
      </c>
      <c r="CC286" s="88">
        <v>0</v>
      </c>
      <c r="CD286" s="88">
        <v>0</v>
      </c>
      <c r="CE286" s="88">
        <v>0</v>
      </c>
      <c r="CF286" s="88">
        <v>0</v>
      </c>
      <c r="CG286" s="88">
        <v>0</v>
      </c>
      <c r="CH286" s="88">
        <v>0</v>
      </c>
      <c r="CI286" s="88">
        <v>19200</v>
      </c>
      <c r="CJ286" s="88">
        <v>19200</v>
      </c>
      <c r="CK286" s="88">
        <v>19200</v>
      </c>
      <c r="CL286" s="88">
        <v>19200</v>
      </c>
      <c r="CM286" s="88">
        <v>19200</v>
      </c>
      <c r="CN286" s="88">
        <v>19200</v>
      </c>
      <c r="CO286" s="88">
        <v>19200</v>
      </c>
      <c r="CP286" s="88">
        <v>19200</v>
      </c>
      <c r="CQ286" s="88">
        <v>19200</v>
      </c>
      <c r="CR286" s="88">
        <v>19200</v>
      </c>
      <c r="CS286" s="88">
        <v>19200</v>
      </c>
      <c r="CT286" s="88">
        <v>19200</v>
      </c>
      <c r="CU286" s="88">
        <v>234.34600143791189</v>
      </c>
      <c r="CV286" s="88">
        <v>234.11505311685801</v>
      </c>
      <c r="CW286" s="88">
        <v>233.88455954744529</v>
      </c>
      <c r="CX286" s="88">
        <v>233.64672934586679</v>
      </c>
      <c r="CY286" s="88">
        <v>233.40938233775859</v>
      </c>
      <c r="CZ286" s="88">
        <v>233.1725170520713</v>
      </c>
      <c r="DA286" s="88">
        <v>232.93613202372819</v>
      </c>
      <c r="DB286" s="88">
        <v>232.69636245911579</v>
      </c>
      <c r="DC286" s="88">
        <v>232.4609413872011</v>
      </c>
      <c r="DD286" s="88">
        <v>232.22599618921441</v>
      </c>
      <c r="DE286" s="88">
        <v>231.9915254237273</v>
      </c>
      <c r="DF286" s="88">
        <v>231.75752765514369</v>
      </c>
      <c r="DG286" s="93"/>
      <c r="DH286" s="91"/>
      <c r="DJ286" s="93"/>
      <c r="DK286" s="91"/>
      <c r="DM286" s="93"/>
      <c r="DN286" s="91"/>
      <c r="DP286" s="93"/>
      <c r="DQ286" s="91"/>
    </row>
    <row r="287" spans="1:121" x14ac:dyDescent="0.3">
      <c r="A287" t="s">
        <v>30</v>
      </c>
      <c r="B287" t="s">
        <v>45</v>
      </c>
      <c r="C287" t="s">
        <v>82</v>
      </c>
      <c r="D287" t="s">
        <v>367</v>
      </c>
      <c r="E287" t="s">
        <v>650</v>
      </c>
      <c r="F287" s="86">
        <v>14400</v>
      </c>
      <c r="G287" s="87">
        <v>12</v>
      </c>
      <c r="H287" s="88">
        <v>1.05</v>
      </c>
      <c r="I287" s="88">
        <v>1.04775</v>
      </c>
      <c r="J287" s="89">
        <v>0.98900209700948194</v>
      </c>
      <c r="K287" s="88">
        <v>1.002147458840372</v>
      </c>
      <c r="L287" s="88">
        <v>1.011120201892163</v>
      </c>
      <c r="M287" s="88">
        <v>1</v>
      </c>
      <c r="N287" s="90">
        <v>0.53</v>
      </c>
      <c r="O287" s="90">
        <v>0.53704451668144959</v>
      </c>
      <c r="P287" s="90">
        <v>0.51764555798402001</v>
      </c>
      <c r="Q287" s="91">
        <v>0</v>
      </c>
      <c r="R287" s="88">
        <v>0.96269554753309272</v>
      </c>
      <c r="S287" s="88">
        <v>1.0145364591620769</v>
      </c>
      <c r="T287" s="91">
        <v>-2.1428571428572241E-3</v>
      </c>
      <c r="U287" s="91">
        <v>4.0980672870436718E-2</v>
      </c>
      <c r="V287" s="87">
        <v>0</v>
      </c>
      <c r="W287" s="91">
        <v>0</v>
      </c>
      <c r="X287" s="87">
        <v>1</v>
      </c>
      <c r="Y287" s="90">
        <v>0.53704451668144959</v>
      </c>
      <c r="Z287" s="90">
        <v>0.51764555798402001</v>
      </c>
      <c r="AA287" s="92">
        <v>0</v>
      </c>
      <c r="AB287" s="88">
        <v>0</v>
      </c>
      <c r="AC287" s="87">
        <v>1</v>
      </c>
      <c r="AD287" s="87">
        <v>1</v>
      </c>
      <c r="AE287" s="88">
        <v>1.0685</v>
      </c>
      <c r="AF287" s="88">
        <v>0.99597028697853884</v>
      </c>
      <c r="AG287" s="88">
        <v>1.0641942672752129</v>
      </c>
      <c r="AH287" s="88">
        <v>15120</v>
      </c>
      <c r="AI287" s="88">
        <v>15087.6</v>
      </c>
      <c r="AJ287" s="88">
        <v>14241.63019693654</v>
      </c>
      <c r="AK287" s="88">
        <v>14430.923407301359</v>
      </c>
      <c r="AL287" s="88">
        <v>14560.13090724715</v>
      </c>
      <c r="AM287" s="88">
        <v>14400</v>
      </c>
      <c r="AN287" s="88">
        <v>7632</v>
      </c>
      <c r="AO287" s="88">
        <v>7733.4410402128742</v>
      </c>
      <c r="AP287" s="88">
        <v>7454.096034969888</v>
      </c>
      <c r="AQ287" s="88">
        <v>0</v>
      </c>
      <c r="AR287" s="88">
        <v>13862.815884476529</v>
      </c>
      <c r="AS287" s="88">
        <v>14609.325011933901</v>
      </c>
      <c r="AT287" s="88">
        <v>7733.4410402128742</v>
      </c>
      <c r="AU287" s="88">
        <v>7454.096034969888</v>
      </c>
      <c r="AV287" s="88">
        <v>14400</v>
      </c>
      <c r="AW287" s="88">
        <v>14256</v>
      </c>
      <c r="AX287" s="88">
        <v>14184</v>
      </c>
      <c r="AY287" s="88">
        <v>14400</v>
      </c>
      <c r="AZ287" s="88">
        <v>14400</v>
      </c>
      <c r="BA287" s="88">
        <v>14400</v>
      </c>
      <c r="BB287" s="88">
        <v>14400</v>
      </c>
      <c r="BC287" s="88">
        <v>14400</v>
      </c>
      <c r="BD287" s="88">
        <v>14400</v>
      </c>
      <c r="BE287" s="88">
        <v>14400</v>
      </c>
      <c r="BF287" s="88">
        <v>14400</v>
      </c>
      <c r="BG287" s="88">
        <v>14400</v>
      </c>
      <c r="BH287" s="88">
        <v>14400</v>
      </c>
      <c r="BI287" s="88">
        <v>14400</v>
      </c>
      <c r="BJ287" s="88">
        <v>14400</v>
      </c>
      <c r="BK287" s="88">
        <v>659.18242077944922</v>
      </c>
      <c r="BL287" s="88">
        <v>659.16264303194862</v>
      </c>
      <c r="BM287" s="88">
        <v>659.14285241689788</v>
      </c>
      <c r="BN287" s="88">
        <v>1261.4872724865991</v>
      </c>
      <c r="BO287" s="88">
        <v>1261.465964126304</v>
      </c>
      <c r="BP287" s="88">
        <v>1261.4446414182121</v>
      </c>
      <c r="BQ287" s="88">
        <v>1261.4233043478259</v>
      </c>
      <c r="BR287" s="88">
        <v>1261.4016027570519</v>
      </c>
      <c r="BS287" s="88">
        <v>1261.3802366824691</v>
      </c>
      <c r="BT287" s="88">
        <v>515.57986304927999</v>
      </c>
      <c r="BU287" s="88">
        <v>515.55948695267477</v>
      </c>
      <c r="BV287" s="88">
        <v>515.53909710815799</v>
      </c>
      <c r="BW287" s="88">
        <v>720.00000000000068</v>
      </c>
      <c r="BX287" s="88">
        <v>720.00000000000068</v>
      </c>
      <c r="BY287" s="88">
        <v>720.00000000000068</v>
      </c>
      <c r="BZ287" s="88">
        <v>1324.8000000000011</v>
      </c>
      <c r="CA287" s="88">
        <v>1324.8000000000011</v>
      </c>
      <c r="CB287" s="88">
        <v>1324.8000000000011</v>
      </c>
      <c r="CC287" s="88">
        <v>1324.8000000000011</v>
      </c>
      <c r="CD287" s="88">
        <v>1324.8000000000011</v>
      </c>
      <c r="CE287" s="88">
        <v>1324.8000000000011</v>
      </c>
      <c r="CF287" s="88">
        <v>576.00000000000045</v>
      </c>
      <c r="CG287" s="88">
        <v>576.00000000000045</v>
      </c>
      <c r="CH287" s="88">
        <v>576.00000000000045</v>
      </c>
      <c r="CI287" s="88">
        <v>14400</v>
      </c>
      <c r="CJ287" s="88">
        <v>14400</v>
      </c>
      <c r="CK287" s="88">
        <v>14400</v>
      </c>
      <c r="CL287" s="88">
        <v>14400</v>
      </c>
      <c r="CM287" s="88">
        <v>14400</v>
      </c>
      <c r="CN287" s="88">
        <v>14400</v>
      </c>
      <c r="CO287" s="88">
        <v>14400</v>
      </c>
      <c r="CP287" s="88">
        <v>14400</v>
      </c>
      <c r="CQ287" s="88">
        <v>14400</v>
      </c>
      <c r="CR287" s="88">
        <v>14400</v>
      </c>
      <c r="CS287" s="88">
        <v>14400</v>
      </c>
      <c r="CT287" s="88">
        <v>14400</v>
      </c>
      <c r="CU287" s="88">
        <v>-57.921504019571827</v>
      </c>
      <c r="CV287" s="88">
        <v>-57.940339969574772</v>
      </c>
      <c r="CW287" s="88">
        <v>-57.959188174384479</v>
      </c>
      <c r="CX287" s="88">
        <v>-57.978688199086648</v>
      </c>
      <c r="CY287" s="88">
        <v>-57.998201349538903</v>
      </c>
      <c r="CZ287" s="88">
        <v>-58.017727639001038</v>
      </c>
      <c r="DA287" s="88">
        <v>-58.037267080745643</v>
      </c>
      <c r="DB287" s="88">
        <v>-58.057140332370771</v>
      </c>
      <c r="DC287" s="88">
        <v>-58.076706334737871</v>
      </c>
      <c r="DD287" s="88">
        <v>-58.096285529537717</v>
      </c>
      <c r="DE287" s="88">
        <v>-58.11587793011963</v>
      </c>
      <c r="DF287" s="88">
        <v>-58.135483549847322</v>
      </c>
      <c r="DG287" s="93">
        <v>46296</v>
      </c>
      <c r="DH287" s="91">
        <v>0.05</v>
      </c>
      <c r="DI287" t="s">
        <v>301</v>
      </c>
      <c r="DJ287" s="93">
        <v>46478</v>
      </c>
      <c r="DK287" s="91">
        <v>0.04</v>
      </c>
      <c r="DL287" t="s">
        <v>302</v>
      </c>
      <c r="DM287" s="93"/>
      <c r="DN287" s="91"/>
      <c r="DP287" s="93"/>
      <c r="DQ287" s="91"/>
    </row>
    <row r="288" spans="1:121" x14ac:dyDescent="0.3">
      <c r="A288" t="s">
        <v>30</v>
      </c>
      <c r="B288" t="s">
        <v>45</v>
      </c>
      <c r="C288" t="s">
        <v>85</v>
      </c>
      <c r="D288" t="s">
        <v>369</v>
      </c>
      <c r="E288" t="s">
        <v>651</v>
      </c>
      <c r="F288" s="86">
        <v>9600</v>
      </c>
      <c r="G288" s="87">
        <v>12</v>
      </c>
      <c r="H288" s="88">
        <v>1.06</v>
      </c>
      <c r="I288" s="88">
        <v>1.039166666666667</v>
      </c>
      <c r="J288" s="89">
        <v>0.99199580598103554</v>
      </c>
      <c r="K288" s="88">
        <v>1.020048115477145</v>
      </c>
      <c r="L288" s="88">
        <v>1.008068778084247</v>
      </c>
      <c r="M288" s="88">
        <v>1</v>
      </c>
      <c r="N288" s="90">
        <v>0.55800000000000005</v>
      </c>
      <c r="O288" s="90">
        <v>0.57377949080475088</v>
      </c>
      <c r="P288" s="90">
        <v>0.55875076190196138</v>
      </c>
      <c r="Q288" s="91">
        <v>0</v>
      </c>
      <c r="R288" s="88">
        <v>0.99999999999999978</v>
      </c>
      <c r="S288" s="88">
        <v>1.0013454514372071</v>
      </c>
      <c r="T288" s="91">
        <v>-1.965408805031443E-2</v>
      </c>
      <c r="U288" s="91">
        <v>2.0048115477145249E-2</v>
      </c>
      <c r="V288" s="87">
        <v>0</v>
      </c>
      <c r="W288" s="91">
        <v>0</v>
      </c>
      <c r="X288" s="87">
        <v>1</v>
      </c>
      <c r="Y288" s="90">
        <v>0.57377949080475088</v>
      </c>
      <c r="Z288" s="90">
        <v>0.55875076190196138</v>
      </c>
      <c r="AA288" s="92">
        <v>0</v>
      </c>
      <c r="AB288" s="88">
        <v>0</v>
      </c>
      <c r="AC288" s="87">
        <v>1</v>
      </c>
      <c r="AD288" s="87">
        <v>0</v>
      </c>
      <c r="AE288" s="88">
        <v>1.05</v>
      </c>
      <c r="AF288" s="88">
        <v>1.0080839018517109</v>
      </c>
      <c r="AG288" s="88">
        <v>1.0584883695609071</v>
      </c>
      <c r="AH288" s="88">
        <v>10176</v>
      </c>
      <c r="AI288" s="88">
        <v>9976.0000000000018</v>
      </c>
      <c r="AJ288" s="88">
        <v>9523.1597374179419</v>
      </c>
      <c r="AK288" s="88">
        <v>9792.4619085805916</v>
      </c>
      <c r="AL288" s="88">
        <v>9677.4602696087695</v>
      </c>
      <c r="AM288" s="88">
        <v>9600</v>
      </c>
      <c r="AN288" s="88">
        <v>5356.8</v>
      </c>
      <c r="AO288" s="88">
        <v>5508.2831117256083</v>
      </c>
      <c r="AP288" s="88">
        <v>5364.007314258829</v>
      </c>
      <c r="AQ288" s="88">
        <v>0</v>
      </c>
      <c r="AR288" s="88">
        <v>9599.9999999999982</v>
      </c>
      <c r="AS288" s="88">
        <v>9612.9163337971859</v>
      </c>
      <c r="AT288" s="88">
        <v>5508.2831117256083</v>
      </c>
      <c r="AU288" s="88">
        <v>5364.007314258829</v>
      </c>
      <c r="AV288" s="88">
        <v>9600</v>
      </c>
      <c r="AW288" s="88">
        <v>9504</v>
      </c>
      <c r="AX288" s="88">
        <v>9600</v>
      </c>
      <c r="AY288" s="88">
        <v>9600</v>
      </c>
      <c r="AZ288" s="88">
        <v>9600</v>
      </c>
      <c r="BA288" s="88">
        <v>9600</v>
      </c>
      <c r="BB288" s="88">
        <v>9600</v>
      </c>
      <c r="BC288" s="88">
        <v>9600</v>
      </c>
      <c r="BD288" s="88">
        <v>9600</v>
      </c>
      <c r="BE288" s="88">
        <v>9600</v>
      </c>
      <c r="BF288" s="88">
        <v>9600</v>
      </c>
      <c r="BG288" s="88">
        <v>9600</v>
      </c>
      <c r="BH288" s="88">
        <v>9600</v>
      </c>
      <c r="BI288" s="88">
        <v>9600</v>
      </c>
      <c r="BJ288" s="88">
        <v>9600</v>
      </c>
      <c r="BK288" s="88">
        <v>658.56527103177746</v>
      </c>
      <c r="BL288" s="88">
        <v>658.51116294568465</v>
      </c>
      <c r="BM288" s="88">
        <v>658.45712573122057</v>
      </c>
      <c r="BN288" s="88">
        <v>658.4013311148077</v>
      </c>
      <c r="BO288" s="88">
        <v>658.34561195419633</v>
      </c>
      <c r="BP288" s="88">
        <v>658.28996809641899</v>
      </c>
      <c r="BQ288" s="88">
        <v>658.2343993889275</v>
      </c>
      <c r="BR288" s="88">
        <v>658.17799657060755</v>
      </c>
      <c r="BS288" s="88">
        <v>658.12257893340632</v>
      </c>
      <c r="BT288" s="88">
        <v>658.06723598882184</v>
      </c>
      <c r="BU288" s="88">
        <v>77.369780741459948</v>
      </c>
      <c r="BV288" s="88">
        <v>77.317710919141547</v>
      </c>
      <c r="BW288" s="88">
        <v>576.00000000000045</v>
      </c>
      <c r="BX288" s="88">
        <v>576.00000000000045</v>
      </c>
      <c r="BY288" s="88">
        <v>576.00000000000045</v>
      </c>
      <c r="BZ288" s="88">
        <v>576.00000000000045</v>
      </c>
      <c r="CA288" s="88">
        <v>576.00000000000045</v>
      </c>
      <c r="CB288" s="88">
        <v>576.00000000000045</v>
      </c>
      <c r="CC288" s="88">
        <v>576.00000000000045</v>
      </c>
      <c r="CD288" s="88">
        <v>576.00000000000045</v>
      </c>
      <c r="CE288" s="88">
        <v>576.00000000000045</v>
      </c>
      <c r="CF288" s="88">
        <v>576.00000000000045</v>
      </c>
      <c r="CG288" s="88">
        <v>0</v>
      </c>
      <c r="CH288" s="88">
        <v>0</v>
      </c>
      <c r="CI288" s="88">
        <v>9600</v>
      </c>
      <c r="CJ288" s="88">
        <v>9600</v>
      </c>
      <c r="CK288" s="88">
        <v>9600</v>
      </c>
      <c r="CL288" s="88">
        <v>9600</v>
      </c>
      <c r="CM288" s="88">
        <v>9600</v>
      </c>
      <c r="CN288" s="88">
        <v>9600</v>
      </c>
      <c r="CO288" s="88">
        <v>9600</v>
      </c>
      <c r="CP288" s="88">
        <v>9600</v>
      </c>
      <c r="CQ288" s="88">
        <v>9600</v>
      </c>
      <c r="CR288" s="88">
        <v>9600</v>
      </c>
      <c r="CS288" s="88">
        <v>9600</v>
      </c>
      <c r="CT288" s="88">
        <v>9600</v>
      </c>
      <c r="CU288" s="88">
        <v>77.891765124317658</v>
      </c>
      <c r="CV288" s="88">
        <v>77.840719760079224</v>
      </c>
      <c r="CW288" s="88">
        <v>77.789741255868705</v>
      </c>
      <c r="CX288" s="88">
        <v>77.73710482529026</v>
      </c>
      <c r="CY288" s="88">
        <v>77.684539579429668</v>
      </c>
      <c r="CZ288" s="88">
        <v>77.632045373979963</v>
      </c>
      <c r="DA288" s="88">
        <v>77.579622065026399</v>
      </c>
      <c r="DB288" s="88">
        <v>77.526411859063415</v>
      </c>
      <c r="DC288" s="88">
        <v>77.474131069249808</v>
      </c>
      <c r="DD288" s="88">
        <v>77.421920744171047</v>
      </c>
      <c r="DE288" s="88">
        <v>77.369780741459948</v>
      </c>
      <c r="DF288" s="88">
        <v>77.317710919141547</v>
      </c>
      <c r="DG288" s="93">
        <v>46327</v>
      </c>
      <c r="DH288" s="91">
        <v>0.06</v>
      </c>
      <c r="DI288" t="s">
        <v>301</v>
      </c>
      <c r="DJ288" s="93"/>
      <c r="DK288" s="91"/>
      <c r="DM288" s="93"/>
      <c r="DN288" s="91"/>
      <c r="DP288" s="93"/>
      <c r="DQ288" s="91"/>
    </row>
    <row r="289" spans="1:121" x14ac:dyDescent="0.3">
      <c r="A289" t="s">
        <v>30</v>
      </c>
      <c r="B289" t="s">
        <v>45</v>
      </c>
      <c r="C289" t="s">
        <v>87</v>
      </c>
      <c r="D289" t="s">
        <v>371</v>
      </c>
      <c r="E289" t="s">
        <v>652</v>
      </c>
      <c r="F289" s="86">
        <v>25200</v>
      </c>
      <c r="G289" s="87">
        <v>12</v>
      </c>
      <c r="H289" s="88">
        <v>1</v>
      </c>
      <c r="I289" s="88">
        <v>1</v>
      </c>
      <c r="J289" s="89">
        <v>0.98800419401896411</v>
      </c>
      <c r="K289" s="88">
        <v>1</v>
      </c>
      <c r="L289" s="88">
        <v>1.012141452489427</v>
      </c>
      <c r="M289" s="88">
        <v>1</v>
      </c>
      <c r="N289" s="90">
        <v>0.54200000000000004</v>
      </c>
      <c r="O289" s="90">
        <v>0.54858066724926946</v>
      </c>
      <c r="P289" s="90">
        <v>0.55230397987310742</v>
      </c>
      <c r="Q289" s="91">
        <v>0</v>
      </c>
      <c r="R289" s="88">
        <v>1</v>
      </c>
      <c r="S289" s="88">
        <v>1.019011032976213</v>
      </c>
      <c r="T289" s="91">
        <v>0</v>
      </c>
      <c r="U289" s="91">
        <v>0</v>
      </c>
      <c r="V289" s="87">
        <v>0</v>
      </c>
      <c r="W289" s="91">
        <v>0</v>
      </c>
      <c r="X289" s="87">
        <v>1</v>
      </c>
      <c r="Y289" s="90">
        <v>0.54858066724926946</v>
      </c>
      <c r="Z289" s="90">
        <v>0.55230397987310742</v>
      </c>
      <c r="AA289" s="92">
        <v>0</v>
      </c>
      <c r="AB289" s="88">
        <v>0</v>
      </c>
      <c r="AC289" s="87">
        <v>0</v>
      </c>
      <c r="AD289" s="87">
        <v>0</v>
      </c>
      <c r="AE289" s="88">
        <v>1</v>
      </c>
      <c r="AF289" s="88">
        <v>0.99194865631796525</v>
      </c>
      <c r="AG289" s="88">
        <v>0.99194865631796525</v>
      </c>
      <c r="AH289" s="88">
        <v>25200</v>
      </c>
      <c r="AI289" s="88">
        <v>25200</v>
      </c>
      <c r="AJ289" s="88">
        <v>24897.7056892779</v>
      </c>
      <c r="AK289" s="88">
        <v>25200</v>
      </c>
      <c r="AL289" s="88">
        <v>25505.964602733558</v>
      </c>
      <c r="AM289" s="88">
        <v>25200</v>
      </c>
      <c r="AN289" s="88">
        <v>13658.4</v>
      </c>
      <c r="AO289" s="88">
        <v>13824.232814681591</v>
      </c>
      <c r="AP289" s="88">
        <v>13918.060292802311</v>
      </c>
      <c r="AQ289" s="88">
        <v>0</v>
      </c>
      <c r="AR289" s="88">
        <v>25200</v>
      </c>
      <c r="AS289" s="88">
        <v>25679.078031000568</v>
      </c>
      <c r="AT289" s="88">
        <v>13824.232814681591</v>
      </c>
      <c r="AU289" s="88">
        <v>13918.060292802311</v>
      </c>
      <c r="AV289" s="88">
        <v>25200</v>
      </c>
      <c r="AW289" s="88">
        <v>24948</v>
      </c>
      <c r="AX289" s="88">
        <v>24696</v>
      </c>
      <c r="AY289" s="88">
        <v>25200</v>
      </c>
      <c r="AZ289" s="88">
        <v>25200</v>
      </c>
      <c r="BA289" s="88">
        <v>25200</v>
      </c>
      <c r="BB289" s="88">
        <v>25200</v>
      </c>
      <c r="BC289" s="88">
        <v>25200</v>
      </c>
      <c r="BD289" s="88">
        <v>25200</v>
      </c>
      <c r="BE289" s="88">
        <v>25200</v>
      </c>
      <c r="BF289" s="88">
        <v>25200</v>
      </c>
      <c r="BG289" s="88">
        <v>25200</v>
      </c>
      <c r="BH289" s="88">
        <v>25200</v>
      </c>
      <c r="BI289" s="88">
        <v>25200</v>
      </c>
      <c r="BJ289" s="88">
        <v>25200</v>
      </c>
      <c r="BK289" s="88">
        <v>-202.15162470741959</v>
      </c>
      <c r="BL289" s="88">
        <v>-202.28277363594319</v>
      </c>
      <c r="BM289" s="88">
        <v>-202.4140928446455</v>
      </c>
      <c r="BN289" s="88">
        <v>-202.55004294113709</v>
      </c>
      <c r="BO289" s="88">
        <v>-202.68617578034599</v>
      </c>
      <c r="BP289" s="88">
        <v>-202.82249173098089</v>
      </c>
      <c r="BQ289" s="88">
        <v>-202.95899116274381</v>
      </c>
      <c r="BR289" s="88">
        <v>-203.09791668966821</v>
      </c>
      <c r="BS289" s="88">
        <v>-203.23478721993729</v>
      </c>
      <c r="BT289" s="88">
        <v>-203.3718423525543</v>
      </c>
      <c r="BU289" s="88">
        <v>-203.50908246122461</v>
      </c>
      <c r="BV289" s="88">
        <v>-203.64650792069429</v>
      </c>
      <c r="BW289" s="88">
        <v>0</v>
      </c>
      <c r="BX289" s="88">
        <v>0</v>
      </c>
      <c r="BY289" s="88">
        <v>0</v>
      </c>
      <c r="BZ289" s="88">
        <v>0</v>
      </c>
      <c r="CA289" s="88">
        <v>0</v>
      </c>
      <c r="CB289" s="88">
        <v>0</v>
      </c>
      <c r="CC289" s="88">
        <v>0</v>
      </c>
      <c r="CD289" s="88">
        <v>0</v>
      </c>
      <c r="CE289" s="88">
        <v>0</v>
      </c>
      <c r="CF289" s="88">
        <v>0</v>
      </c>
      <c r="CG289" s="88">
        <v>0</v>
      </c>
      <c r="CH289" s="88">
        <v>0</v>
      </c>
      <c r="CI289" s="88">
        <v>25200</v>
      </c>
      <c r="CJ289" s="88">
        <v>25200</v>
      </c>
      <c r="CK289" s="88">
        <v>25200</v>
      </c>
      <c r="CL289" s="88">
        <v>25200</v>
      </c>
      <c r="CM289" s="88">
        <v>25200</v>
      </c>
      <c r="CN289" s="88">
        <v>25200</v>
      </c>
      <c r="CO289" s="88">
        <v>25200</v>
      </c>
      <c r="CP289" s="88">
        <v>25200</v>
      </c>
      <c r="CQ289" s="88">
        <v>25200</v>
      </c>
      <c r="CR289" s="88">
        <v>25200</v>
      </c>
      <c r="CS289" s="88">
        <v>25200</v>
      </c>
      <c r="CT289" s="88">
        <v>25200</v>
      </c>
      <c r="CU289" s="88">
        <v>-202.15162470741959</v>
      </c>
      <c r="CV289" s="88">
        <v>-202.28277363594319</v>
      </c>
      <c r="CW289" s="88">
        <v>-202.4140928446455</v>
      </c>
      <c r="CX289" s="88">
        <v>-202.55004294113709</v>
      </c>
      <c r="CY289" s="88">
        <v>-202.68617578034599</v>
      </c>
      <c r="CZ289" s="88">
        <v>-202.82249173098089</v>
      </c>
      <c r="DA289" s="88">
        <v>-202.95899116274381</v>
      </c>
      <c r="DB289" s="88">
        <v>-203.09791668966821</v>
      </c>
      <c r="DC289" s="88">
        <v>-203.23478721993729</v>
      </c>
      <c r="DD289" s="88">
        <v>-203.3718423525543</v>
      </c>
      <c r="DE289" s="88">
        <v>-203.50908246122461</v>
      </c>
      <c r="DF289" s="88">
        <v>-203.64650792069429</v>
      </c>
      <c r="DG289" s="93"/>
      <c r="DH289" s="91"/>
      <c r="DJ289" s="93"/>
      <c r="DK289" s="91"/>
      <c r="DM289" s="93"/>
      <c r="DN289" s="91"/>
      <c r="DP289" s="93"/>
      <c r="DQ289" s="91"/>
    </row>
    <row r="290" spans="1:121" x14ac:dyDescent="0.3">
      <c r="A290" t="s">
        <v>30</v>
      </c>
      <c r="B290" t="s">
        <v>45</v>
      </c>
      <c r="C290" t="s">
        <v>89</v>
      </c>
      <c r="D290" t="s">
        <v>373</v>
      </c>
      <c r="E290" t="s">
        <v>653</v>
      </c>
      <c r="F290" s="86">
        <v>20400</v>
      </c>
      <c r="G290" s="87">
        <v>12</v>
      </c>
      <c r="H290" s="88">
        <v>1.03</v>
      </c>
      <c r="I290" s="88">
        <v>1.03</v>
      </c>
      <c r="J290" s="89">
        <v>0.99099790299051793</v>
      </c>
      <c r="K290" s="88">
        <v>0.99999999999999978</v>
      </c>
      <c r="L290" s="88">
        <v>1.009083870896514</v>
      </c>
      <c r="M290" s="88">
        <v>1</v>
      </c>
      <c r="N290" s="90">
        <v>0.56999999999999995</v>
      </c>
      <c r="O290" s="90">
        <v>0.5751778064110129</v>
      </c>
      <c r="P290" s="90">
        <v>0.57325137968073869</v>
      </c>
      <c r="Q290" s="91">
        <v>0</v>
      </c>
      <c r="R290" s="88">
        <v>0.99999999999999978</v>
      </c>
      <c r="S290" s="88">
        <v>1.005704174878489</v>
      </c>
      <c r="T290" s="91">
        <v>0</v>
      </c>
      <c r="U290" s="91">
        <v>0</v>
      </c>
      <c r="V290" s="87">
        <v>0</v>
      </c>
      <c r="W290" s="91">
        <v>0</v>
      </c>
      <c r="X290" s="87">
        <v>1</v>
      </c>
      <c r="Y290" s="90">
        <v>0.5751778064110129</v>
      </c>
      <c r="Z290" s="90">
        <v>0.57325137968073869</v>
      </c>
      <c r="AA290" s="92">
        <v>0</v>
      </c>
      <c r="AB290" s="88">
        <v>0</v>
      </c>
      <c r="AC290" s="87">
        <v>1</v>
      </c>
      <c r="AD290" s="87">
        <v>0</v>
      </c>
      <c r="AE290" s="88">
        <v>1</v>
      </c>
      <c r="AF290" s="88">
        <v>1.004037852440528</v>
      </c>
      <c r="AG290" s="88">
        <v>1.004037852440528</v>
      </c>
      <c r="AH290" s="88">
        <v>21012</v>
      </c>
      <c r="AI290" s="88">
        <v>21012</v>
      </c>
      <c r="AJ290" s="88">
        <v>20216.357221006561</v>
      </c>
      <c r="AK290" s="88">
        <v>20400</v>
      </c>
      <c r="AL290" s="88">
        <v>20585.310966288889</v>
      </c>
      <c r="AM290" s="88">
        <v>20400</v>
      </c>
      <c r="AN290" s="88">
        <v>11628</v>
      </c>
      <c r="AO290" s="88">
        <v>11733.627250784661</v>
      </c>
      <c r="AP290" s="88">
        <v>11694.32814548707</v>
      </c>
      <c r="AQ290" s="88">
        <v>0</v>
      </c>
      <c r="AR290" s="88">
        <v>20400</v>
      </c>
      <c r="AS290" s="88">
        <v>20516.36516752118</v>
      </c>
      <c r="AT290" s="88">
        <v>11733.627250784661</v>
      </c>
      <c r="AU290" s="88">
        <v>11694.32814548707</v>
      </c>
      <c r="AV290" s="88">
        <v>20400</v>
      </c>
      <c r="AW290" s="88">
        <v>20196</v>
      </c>
      <c r="AX290" s="88">
        <v>20298</v>
      </c>
      <c r="AY290" s="88">
        <v>20400</v>
      </c>
      <c r="AZ290" s="88">
        <v>20400</v>
      </c>
      <c r="BA290" s="88">
        <v>20400</v>
      </c>
      <c r="BB290" s="88">
        <v>20400</v>
      </c>
      <c r="BC290" s="88">
        <v>20400</v>
      </c>
      <c r="BD290" s="88">
        <v>20400</v>
      </c>
      <c r="BE290" s="88">
        <v>20400</v>
      </c>
      <c r="BF290" s="88">
        <v>20400</v>
      </c>
      <c r="BG290" s="88">
        <v>20400</v>
      </c>
      <c r="BH290" s="88">
        <v>20400</v>
      </c>
      <c r="BI290" s="88">
        <v>20400</v>
      </c>
      <c r="BJ290" s="88">
        <v>20400</v>
      </c>
      <c r="BK290" s="88">
        <v>82.523814537534079</v>
      </c>
      <c r="BL290" s="88">
        <v>82.496842385160903</v>
      </c>
      <c r="BM290" s="88">
        <v>82.469887858228844</v>
      </c>
      <c r="BN290" s="88">
        <v>82.442038131932534</v>
      </c>
      <c r="BO290" s="88">
        <v>82.414207208752103</v>
      </c>
      <c r="BP290" s="88">
        <v>82.386395069649154</v>
      </c>
      <c r="BQ290" s="88">
        <v>82.35860169561704</v>
      </c>
      <c r="BR290" s="88">
        <v>82.330371901969812</v>
      </c>
      <c r="BS290" s="88">
        <v>82.302616307987989</v>
      </c>
      <c r="BT290" s="88">
        <v>82.274879421889409</v>
      </c>
      <c r="BU290" s="88">
        <v>82.247161224757988</v>
      </c>
      <c r="BV290" s="88">
        <v>82.219461697722977</v>
      </c>
      <c r="BW290" s="88">
        <v>0</v>
      </c>
      <c r="BX290" s="88">
        <v>0</v>
      </c>
      <c r="BY290" s="88">
        <v>0</v>
      </c>
      <c r="BZ290" s="88">
        <v>0</v>
      </c>
      <c r="CA290" s="88">
        <v>0</v>
      </c>
      <c r="CB290" s="88">
        <v>0</v>
      </c>
      <c r="CC290" s="88">
        <v>0</v>
      </c>
      <c r="CD290" s="88">
        <v>0</v>
      </c>
      <c r="CE290" s="88">
        <v>0</v>
      </c>
      <c r="CF290" s="88">
        <v>0</v>
      </c>
      <c r="CG290" s="88">
        <v>0</v>
      </c>
      <c r="CH290" s="88">
        <v>0</v>
      </c>
      <c r="CI290" s="88">
        <v>20400</v>
      </c>
      <c r="CJ290" s="88">
        <v>20400</v>
      </c>
      <c r="CK290" s="88">
        <v>20400</v>
      </c>
      <c r="CL290" s="88">
        <v>20400</v>
      </c>
      <c r="CM290" s="88">
        <v>20400</v>
      </c>
      <c r="CN290" s="88">
        <v>20400</v>
      </c>
      <c r="CO290" s="88">
        <v>20400</v>
      </c>
      <c r="CP290" s="88">
        <v>20400</v>
      </c>
      <c r="CQ290" s="88">
        <v>20400</v>
      </c>
      <c r="CR290" s="88">
        <v>20400</v>
      </c>
      <c r="CS290" s="88">
        <v>20400</v>
      </c>
      <c r="CT290" s="88">
        <v>20400</v>
      </c>
      <c r="CU290" s="88">
        <v>82.523814537534079</v>
      </c>
      <c r="CV290" s="88">
        <v>82.496842385160903</v>
      </c>
      <c r="CW290" s="88">
        <v>82.469887858228844</v>
      </c>
      <c r="CX290" s="88">
        <v>82.442038131932534</v>
      </c>
      <c r="CY290" s="88">
        <v>82.414207208752103</v>
      </c>
      <c r="CZ290" s="88">
        <v>82.386395069649154</v>
      </c>
      <c r="DA290" s="88">
        <v>82.35860169561704</v>
      </c>
      <c r="DB290" s="88">
        <v>82.330371901969812</v>
      </c>
      <c r="DC290" s="88">
        <v>82.302616307987989</v>
      </c>
      <c r="DD290" s="88">
        <v>82.274879421889409</v>
      </c>
      <c r="DE290" s="88">
        <v>82.247161224757988</v>
      </c>
      <c r="DF290" s="88">
        <v>82.219461697722977</v>
      </c>
      <c r="DG290" s="93">
        <v>46023</v>
      </c>
      <c r="DH290" s="91">
        <v>0.03</v>
      </c>
      <c r="DI290" t="s">
        <v>301</v>
      </c>
      <c r="DJ290" s="93"/>
      <c r="DK290" s="91"/>
      <c r="DM290" s="93"/>
      <c r="DN290" s="91"/>
      <c r="DP290" s="93"/>
      <c r="DQ290" s="91"/>
    </row>
    <row r="291" spans="1:121" x14ac:dyDescent="0.3">
      <c r="A291" t="s">
        <v>30</v>
      </c>
      <c r="B291" t="s">
        <v>45</v>
      </c>
      <c r="C291" t="s">
        <v>91</v>
      </c>
      <c r="D291" t="s">
        <v>375</v>
      </c>
      <c r="E291" t="s">
        <v>654</v>
      </c>
      <c r="F291" s="86">
        <v>15600</v>
      </c>
      <c r="G291" s="87">
        <v>12</v>
      </c>
      <c r="H291" s="88">
        <v>1.04</v>
      </c>
      <c r="I291" s="88">
        <v>1.0434722222222219</v>
      </c>
      <c r="J291" s="89">
        <v>0.99399161196207142</v>
      </c>
      <c r="K291" s="88">
        <v>0.99667243444695852</v>
      </c>
      <c r="L291" s="88">
        <v>1.006044706983058</v>
      </c>
      <c r="M291" s="88">
        <v>1</v>
      </c>
      <c r="N291" s="90">
        <v>0.55400000000000005</v>
      </c>
      <c r="O291" s="90">
        <v>0.55549415310829031</v>
      </c>
      <c r="P291" s="90">
        <v>0.53230848327141767</v>
      </c>
      <c r="Q291" s="91">
        <v>0</v>
      </c>
      <c r="R291" s="88">
        <v>0.96787202580992038</v>
      </c>
      <c r="S291" s="88">
        <v>0.9927403748134972</v>
      </c>
      <c r="T291" s="91">
        <v>3.3386752136752569E-3</v>
      </c>
      <c r="U291" s="91">
        <v>2.9756422201517641E-2</v>
      </c>
      <c r="V291" s="87">
        <v>0</v>
      </c>
      <c r="W291" s="91">
        <v>0</v>
      </c>
      <c r="X291" s="87">
        <v>1</v>
      </c>
      <c r="Y291" s="90">
        <v>0.55549415310829031</v>
      </c>
      <c r="Z291" s="90">
        <v>0.53230848327141767</v>
      </c>
      <c r="AA291" s="92">
        <v>0</v>
      </c>
      <c r="AB291" s="88">
        <v>0</v>
      </c>
      <c r="AC291" s="87">
        <v>1</v>
      </c>
      <c r="AD291" s="87">
        <v>1</v>
      </c>
      <c r="AE291" s="88">
        <v>1.02</v>
      </c>
      <c r="AF291" s="88">
        <v>1.016200824295963</v>
      </c>
      <c r="AG291" s="88">
        <v>1.0365239622595299</v>
      </c>
      <c r="AH291" s="88">
        <v>16224</v>
      </c>
      <c r="AI291" s="88">
        <v>16278.16666666667</v>
      </c>
      <c r="AJ291" s="88">
        <v>15506.269146608311</v>
      </c>
      <c r="AK291" s="88">
        <v>15548.08997737255</v>
      </c>
      <c r="AL291" s="88">
        <v>15694.29742893571</v>
      </c>
      <c r="AM291" s="88">
        <v>15600</v>
      </c>
      <c r="AN291" s="88">
        <v>8642.4000000000015</v>
      </c>
      <c r="AO291" s="88">
        <v>8665.7087884893281</v>
      </c>
      <c r="AP291" s="88">
        <v>8304.0123390341159</v>
      </c>
      <c r="AQ291" s="88">
        <v>0</v>
      </c>
      <c r="AR291" s="88">
        <v>15098.80360263476</v>
      </c>
      <c r="AS291" s="88">
        <v>15486.749847090559</v>
      </c>
      <c r="AT291" s="88">
        <v>8665.7087884893281</v>
      </c>
      <c r="AU291" s="88">
        <v>8304.0123390341159</v>
      </c>
      <c r="AV291" s="88">
        <v>15600</v>
      </c>
      <c r="AW291" s="88">
        <v>15444</v>
      </c>
      <c r="AX291" s="88">
        <v>15756</v>
      </c>
      <c r="AY291" s="88">
        <v>15600</v>
      </c>
      <c r="AZ291" s="88">
        <v>15600</v>
      </c>
      <c r="BA291" s="88">
        <v>15600</v>
      </c>
      <c r="BB291" s="88">
        <v>15600</v>
      </c>
      <c r="BC291" s="88">
        <v>15600</v>
      </c>
      <c r="BD291" s="88">
        <v>15600</v>
      </c>
      <c r="BE291" s="88">
        <v>15600</v>
      </c>
      <c r="BF291" s="88">
        <v>15600</v>
      </c>
      <c r="BG291" s="88">
        <v>15600</v>
      </c>
      <c r="BH291" s="88">
        <v>15600</v>
      </c>
      <c r="BI291" s="88">
        <v>15600</v>
      </c>
      <c r="BJ291" s="88">
        <v>15600</v>
      </c>
      <c r="BK291" s="88">
        <v>888.78984081560031</v>
      </c>
      <c r="BL291" s="88">
        <v>254.27021233840119</v>
      </c>
      <c r="BM291" s="88">
        <v>253.93569103153121</v>
      </c>
      <c r="BN291" s="88">
        <v>253.59075422539891</v>
      </c>
      <c r="BO291" s="88">
        <v>253.2467532467555</v>
      </c>
      <c r="BP291" s="88">
        <v>252.90368429234371</v>
      </c>
      <c r="BQ291" s="88">
        <v>252.5615435795097</v>
      </c>
      <c r="BR291" s="88">
        <v>886.30333097094547</v>
      </c>
      <c r="BS291" s="88">
        <v>885.94943932054821</v>
      </c>
      <c r="BT291" s="88">
        <v>885.59650130317971</v>
      </c>
      <c r="BU291" s="88">
        <v>885.24451306937101</v>
      </c>
      <c r="BV291" s="88">
        <v>884.89347079037759</v>
      </c>
      <c r="BW291" s="88">
        <v>624.00000000000057</v>
      </c>
      <c r="BX291" s="88">
        <v>0</v>
      </c>
      <c r="BY291" s="88">
        <v>0</v>
      </c>
      <c r="BZ291" s="88">
        <v>0</v>
      </c>
      <c r="CA291" s="88">
        <v>0</v>
      </c>
      <c r="CB291" s="88">
        <v>0</v>
      </c>
      <c r="CC291" s="88">
        <v>0</v>
      </c>
      <c r="CD291" s="88">
        <v>624.00000000000057</v>
      </c>
      <c r="CE291" s="88">
        <v>624.00000000000057</v>
      </c>
      <c r="CF291" s="88">
        <v>624.00000000000057</v>
      </c>
      <c r="CG291" s="88">
        <v>624.00000000000057</v>
      </c>
      <c r="CH291" s="88">
        <v>624.00000000000057</v>
      </c>
      <c r="CI291" s="88">
        <v>15600</v>
      </c>
      <c r="CJ291" s="88">
        <v>15600</v>
      </c>
      <c r="CK291" s="88">
        <v>15600</v>
      </c>
      <c r="CL291" s="88">
        <v>15600</v>
      </c>
      <c r="CM291" s="88">
        <v>15600</v>
      </c>
      <c r="CN291" s="88">
        <v>15600</v>
      </c>
      <c r="CO291" s="88">
        <v>15600</v>
      </c>
      <c r="CP291" s="88">
        <v>15600</v>
      </c>
      <c r="CQ291" s="88">
        <v>15600</v>
      </c>
      <c r="CR291" s="88">
        <v>15600</v>
      </c>
      <c r="CS291" s="88">
        <v>15600</v>
      </c>
      <c r="CT291" s="88">
        <v>15600</v>
      </c>
      <c r="CU291" s="88">
        <v>254.60561616884479</v>
      </c>
      <c r="CV291" s="88">
        <v>254.27021233840119</v>
      </c>
      <c r="CW291" s="88">
        <v>253.93569103153121</v>
      </c>
      <c r="CX291" s="88">
        <v>253.59075422539891</v>
      </c>
      <c r="CY291" s="88">
        <v>253.2467532467555</v>
      </c>
      <c r="CZ291" s="88">
        <v>252.90368429234371</v>
      </c>
      <c r="DA291" s="88">
        <v>252.5615435795097</v>
      </c>
      <c r="DB291" s="88">
        <v>252.2147413182156</v>
      </c>
      <c r="DC291" s="88">
        <v>251.87446088514361</v>
      </c>
      <c r="DD291" s="88">
        <v>251.53509740690151</v>
      </c>
      <c r="DE291" s="88">
        <v>251.1966471820879</v>
      </c>
      <c r="DF291" s="88">
        <v>250.8591065292087</v>
      </c>
      <c r="DG291" s="93">
        <v>46054</v>
      </c>
      <c r="DH291" s="91">
        <v>0.04</v>
      </c>
      <c r="DI291" t="s">
        <v>301</v>
      </c>
      <c r="DJ291" s="93">
        <v>46600</v>
      </c>
      <c r="DK291" s="91">
        <v>0.04</v>
      </c>
      <c r="DL291" t="s">
        <v>302</v>
      </c>
      <c r="DM291" s="93"/>
      <c r="DN291" s="91"/>
      <c r="DP291" s="93"/>
      <c r="DQ291" s="91"/>
    </row>
    <row r="292" spans="1:121" x14ac:dyDescent="0.3">
      <c r="A292" t="s">
        <v>30</v>
      </c>
      <c r="B292" t="s">
        <v>45</v>
      </c>
      <c r="C292" t="s">
        <v>92</v>
      </c>
      <c r="D292" t="s">
        <v>377</v>
      </c>
      <c r="E292" t="s">
        <v>655</v>
      </c>
      <c r="F292" s="86">
        <v>10800</v>
      </c>
      <c r="G292" s="87">
        <v>12</v>
      </c>
      <c r="H292" s="88">
        <v>1</v>
      </c>
      <c r="I292" s="88">
        <v>1</v>
      </c>
      <c r="J292" s="89">
        <v>0.9900000000000001</v>
      </c>
      <c r="K292" s="88">
        <v>1</v>
      </c>
      <c r="L292" s="88">
        <v>1.0101010101010099</v>
      </c>
      <c r="M292" s="88">
        <v>1</v>
      </c>
      <c r="N292" s="90">
        <v>0.53800000000000003</v>
      </c>
      <c r="O292" s="90">
        <v>0.54343434343434338</v>
      </c>
      <c r="P292" s="90">
        <v>0.54343434343434338</v>
      </c>
      <c r="Q292" s="91">
        <v>0</v>
      </c>
      <c r="R292" s="88">
        <v>1</v>
      </c>
      <c r="S292" s="88">
        <v>1.0101010101010099</v>
      </c>
      <c r="T292" s="91">
        <v>0</v>
      </c>
      <c r="U292" s="91">
        <v>0</v>
      </c>
      <c r="V292" s="87">
        <v>0</v>
      </c>
      <c r="W292" s="91">
        <v>0</v>
      </c>
      <c r="X292" s="87">
        <v>1</v>
      </c>
      <c r="Y292" s="90">
        <v>0.54343434343434338</v>
      </c>
      <c r="Z292" s="90">
        <v>0.54343434343434338</v>
      </c>
      <c r="AA292" s="92">
        <v>0</v>
      </c>
      <c r="AB292" s="88">
        <v>0</v>
      </c>
      <c r="AC292" s="87">
        <v>0</v>
      </c>
      <c r="AD292" s="87">
        <v>0</v>
      </c>
      <c r="AE292" s="88">
        <v>1</v>
      </c>
      <c r="AF292" s="88">
        <v>1</v>
      </c>
      <c r="AG292" s="88">
        <v>1</v>
      </c>
      <c r="AH292" s="88">
        <v>10800</v>
      </c>
      <c r="AI292" s="88">
        <v>10800</v>
      </c>
      <c r="AJ292" s="88">
        <v>10692</v>
      </c>
      <c r="AK292" s="88">
        <v>10800</v>
      </c>
      <c r="AL292" s="88">
        <v>10909.09090909091</v>
      </c>
      <c r="AM292" s="88">
        <v>10800</v>
      </c>
      <c r="AN292" s="88">
        <v>5810.4000000000005</v>
      </c>
      <c r="AO292" s="88">
        <v>5869.0909090909081</v>
      </c>
      <c r="AP292" s="88">
        <v>5869.0909090909081</v>
      </c>
      <c r="AQ292" s="88">
        <v>0</v>
      </c>
      <c r="AR292" s="88">
        <v>10800</v>
      </c>
      <c r="AS292" s="88">
        <v>10909.09090909091</v>
      </c>
      <c r="AT292" s="88">
        <v>5869.0909090909081</v>
      </c>
      <c r="AU292" s="88">
        <v>5869.0909090909081</v>
      </c>
      <c r="AV292" s="88">
        <v>10800</v>
      </c>
      <c r="AW292" s="88">
        <v>10692</v>
      </c>
      <c r="AX292" s="88">
        <v>10692</v>
      </c>
      <c r="AY292" s="88">
        <v>10800</v>
      </c>
      <c r="AZ292" s="88">
        <v>10800</v>
      </c>
      <c r="BA292" s="88">
        <v>10800</v>
      </c>
      <c r="BB292" s="88">
        <v>10800</v>
      </c>
      <c r="BC292" s="88">
        <v>10800</v>
      </c>
      <c r="BD292" s="88">
        <v>10800</v>
      </c>
      <c r="BE292" s="88">
        <v>10800</v>
      </c>
      <c r="BF292" s="88">
        <v>10800</v>
      </c>
      <c r="BG292" s="88">
        <v>10800</v>
      </c>
      <c r="BH292" s="88">
        <v>10800</v>
      </c>
      <c r="BI292" s="88">
        <v>10800</v>
      </c>
      <c r="BJ292" s="88">
        <v>10800</v>
      </c>
      <c r="BK292" s="88">
        <v>0</v>
      </c>
      <c r="BL292" s="88">
        <v>0</v>
      </c>
      <c r="BM292" s="88">
        <v>0</v>
      </c>
      <c r="BN292" s="88">
        <v>0</v>
      </c>
      <c r="BO292" s="88">
        <v>0</v>
      </c>
      <c r="BP292" s="88">
        <v>0</v>
      </c>
      <c r="BQ292" s="88">
        <v>0</v>
      </c>
      <c r="BR292" s="88">
        <v>0</v>
      </c>
      <c r="BS292" s="88">
        <v>0</v>
      </c>
      <c r="BT292" s="88">
        <v>0</v>
      </c>
      <c r="BU292" s="88">
        <v>0</v>
      </c>
      <c r="BV292" s="88">
        <v>0</v>
      </c>
      <c r="BW292" s="88">
        <v>0</v>
      </c>
      <c r="BX292" s="88">
        <v>0</v>
      </c>
      <c r="BY292" s="88">
        <v>0</v>
      </c>
      <c r="BZ292" s="88">
        <v>0</v>
      </c>
      <c r="CA292" s="88">
        <v>0</v>
      </c>
      <c r="CB292" s="88">
        <v>0</v>
      </c>
      <c r="CC292" s="88">
        <v>0</v>
      </c>
      <c r="CD292" s="88">
        <v>0</v>
      </c>
      <c r="CE292" s="88">
        <v>0</v>
      </c>
      <c r="CF292" s="88">
        <v>0</v>
      </c>
      <c r="CG292" s="88">
        <v>0</v>
      </c>
      <c r="CH292" s="88">
        <v>0</v>
      </c>
      <c r="CI292" s="88">
        <v>10800</v>
      </c>
      <c r="CJ292" s="88">
        <v>10800</v>
      </c>
      <c r="CK292" s="88">
        <v>10800</v>
      </c>
      <c r="CL292" s="88">
        <v>10800</v>
      </c>
      <c r="CM292" s="88">
        <v>10800</v>
      </c>
      <c r="CN292" s="88">
        <v>10800</v>
      </c>
      <c r="CO292" s="88">
        <v>10800</v>
      </c>
      <c r="CP292" s="88">
        <v>10800</v>
      </c>
      <c r="CQ292" s="88">
        <v>10800</v>
      </c>
      <c r="CR292" s="88">
        <v>10800</v>
      </c>
      <c r="CS292" s="88">
        <v>10800</v>
      </c>
      <c r="CT292" s="88">
        <v>10800</v>
      </c>
      <c r="CU292" s="88">
        <v>0</v>
      </c>
      <c r="CV292" s="88">
        <v>0</v>
      </c>
      <c r="CW292" s="88">
        <v>0</v>
      </c>
      <c r="CX292" s="88">
        <v>0</v>
      </c>
      <c r="CY292" s="88">
        <v>0</v>
      </c>
      <c r="CZ292" s="88">
        <v>0</v>
      </c>
      <c r="DA292" s="88">
        <v>0</v>
      </c>
      <c r="DB292" s="88">
        <v>0</v>
      </c>
      <c r="DC292" s="88">
        <v>0</v>
      </c>
      <c r="DD292" s="88">
        <v>0</v>
      </c>
      <c r="DE292" s="88">
        <v>0</v>
      </c>
      <c r="DF292" s="88">
        <v>0</v>
      </c>
      <c r="DG292" s="93"/>
      <c r="DH292" s="91"/>
      <c r="DJ292" s="93"/>
      <c r="DK292" s="91"/>
      <c r="DM292" s="93"/>
      <c r="DN292" s="91"/>
      <c r="DP292" s="93"/>
      <c r="DQ292" s="91"/>
    </row>
    <row r="293" spans="1:121" x14ac:dyDescent="0.3">
      <c r="A293" t="s">
        <v>30</v>
      </c>
      <c r="B293" t="s">
        <v>45</v>
      </c>
      <c r="C293" t="s">
        <v>94</v>
      </c>
      <c r="D293" t="s">
        <v>379</v>
      </c>
      <c r="E293" t="s">
        <v>656</v>
      </c>
      <c r="F293" s="86">
        <v>26400</v>
      </c>
      <c r="G293" s="87">
        <v>12</v>
      </c>
      <c r="H293" s="88">
        <v>1.06</v>
      </c>
      <c r="I293" s="88">
        <v>1.058125</v>
      </c>
      <c r="J293" s="89">
        <v>0.99299370897155337</v>
      </c>
      <c r="K293" s="88">
        <v>1.0017720023626699</v>
      </c>
      <c r="L293" s="88">
        <v>1.007055725494679</v>
      </c>
      <c r="M293" s="88">
        <v>1</v>
      </c>
      <c r="N293" s="90">
        <v>0.56599999999999995</v>
      </c>
      <c r="O293" s="90">
        <v>0.57100357053069128</v>
      </c>
      <c r="P293" s="90">
        <v>0.56431578005445659</v>
      </c>
      <c r="Q293" s="91">
        <v>0</v>
      </c>
      <c r="R293" s="88">
        <v>0.99999999999999978</v>
      </c>
      <c r="S293" s="88">
        <v>0.99702434638596604</v>
      </c>
      <c r="T293" s="91">
        <v>-1.768867924528128E-3</v>
      </c>
      <c r="U293" s="91">
        <v>1.7720023626699439E-3</v>
      </c>
      <c r="V293" s="87">
        <v>0</v>
      </c>
      <c r="W293" s="91">
        <v>0</v>
      </c>
      <c r="X293" s="87">
        <v>1</v>
      </c>
      <c r="Y293" s="90">
        <v>0.57100357053069128</v>
      </c>
      <c r="Z293" s="90">
        <v>0.56431578005445659</v>
      </c>
      <c r="AA293" s="92">
        <v>0</v>
      </c>
      <c r="AB293" s="88">
        <v>0</v>
      </c>
      <c r="AC293" s="87">
        <v>1</v>
      </c>
      <c r="AD293" s="87">
        <v>0</v>
      </c>
      <c r="AE293" s="88">
        <v>1.0149999999999999</v>
      </c>
      <c r="AF293" s="88">
        <v>1.012138206284618</v>
      </c>
      <c r="AG293" s="88">
        <v>1.027321108788291</v>
      </c>
      <c r="AH293" s="88">
        <v>27984</v>
      </c>
      <c r="AI293" s="88">
        <v>27934.5</v>
      </c>
      <c r="AJ293" s="88">
        <v>26215.03391684901</v>
      </c>
      <c r="AK293" s="88">
        <v>26446.780862374479</v>
      </c>
      <c r="AL293" s="88">
        <v>26586.27115305953</v>
      </c>
      <c r="AM293" s="88">
        <v>26400</v>
      </c>
      <c r="AN293" s="88">
        <v>14942.4</v>
      </c>
      <c r="AO293" s="88">
        <v>15074.49426201025</v>
      </c>
      <c r="AP293" s="88">
        <v>14897.936593437649</v>
      </c>
      <c r="AQ293" s="88">
        <v>0</v>
      </c>
      <c r="AR293" s="88">
        <v>26399.999999999989</v>
      </c>
      <c r="AS293" s="88">
        <v>26321.442744589509</v>
      </c>
      <c r="AT293" s="88">
        <v>15074.49426201025</v>
      </c>
      <c r="AU293" s="88">
        <v>14897.936593437649</v>
      </c>
      <c r="AV293" s="88">
        <v>26400</v>
      </c>
      <c r="AW293" s="88">
        <v>26136</v>
      </c>
      <c r="AX293" s="88">
        <v>26532</v>
      </c>
      <c r="AY293" s="88">
        <v>26400</v>
      </c>
      <c r="AZ293" s="88">
        <v>26400</v>
      </c>
      <c r="BA293" s="88">
        <v>26400</v>
      </c>
      <c r="BB293" s="88">
        <v>26400</v>
      </c>
      <c r="BC293" s="88">
        <v>26400</v>
      </c>
      <c r="BD293" s="88">
        <v>26400</v>
      </c>
      <c r="BE293" s="88">
        <v>26400</v>
      </c>
      <c r="BF293" s="88">
        <v>26400</v>
      </c>
      <c r="BG293" s="88">
        <v>26400</v>
      </c>
      <c r="BH293" s="88">
        <v>26400</v>
      </c>
      <c r="BI293" s="88">
        <v>26400</v>
      </c>
      <c r="BJ293" s="88">
        <v>26400</v>
      </c>
      <c r="BK293" s="88">
        <v>1925.55929709576</v>
      </c>
      <c r="BL293" s="88">
        <v>1925.222689917822</v>
      </c>
      <c r="BM293" s="88">
        <v>1924.8867455404029</v>
      </c>
      <c r="BN293" s="88">
        <v>321.26425285056678</v>
      </c>
      <c r="BO293" s="88">
        <v>320.93790071441799</v>
      </c>
      <c r="BP293" s="88">
        <v>320.612210946598</v>
      </c>
      <c r="BQ293" s="88">
        <v>320.28718153262628</v>
      </c>
      <c r="BR293" s="88">
        <v>319.95749838128432</v>
      </c>
      <c r="BS293" s="88">
        <v>319.63379440740152</v>
      </c>
      <c r="BT293" s="88">
        <v>319.31074476016983</v>
      </c>
      <c r="BU293" s="88">
        <v>318.98834745762503</v>
      </c>
      <c r="BV293" s="88">
        <v>318.66660052582267</v>
      </c>
      <c r="BW293" s="88">
        <v>1584.0000000000009</v>
      </c>
      <c r="BX293" s="88">
        <v>1584.0000000000009</v>
      </c>
      <c r="BY293" s="88">
        <v>1584.0000000000009</v>
      </c>
      <c r="BZ293" s="88">
        <v>0</v>
      </c>
      <c r="CA293" s="88">
        <v>0</v>
      </c>
      <c r="CB293" s="88">
        <v>0</v>
      </c>
      <c r="CC293" s="88">
        <v>0</v>
      </c>
      <c r="CD293" s="88">
        <v>0</v>
      </c>
      <c r="CE293" s="88">
        <v>0</v>
      </c>
      <c r="CF293" s="88">
        <v>0</v>
      </c>
      <c r="CG293" s="88">
        <v>0</v>
      </c>
      <c r="CH293" s="88">
        <v>0</v>
      </c>
      <c r="CI293" s="88">
        <v>26400</v>
      </c>
      <c r="CJ293" s="88">
        <v>26400</v>
      </c>
      <c r="CK293" s="88">
        <v>26400</v>
      </c>
      <c r="CL293" s="88">
        <v>26400</v>
      </c>
      <c r="CM293" s="88">
        <v>26400</v>
      </c>
      <c r="CN293" s="88">
        <v>26400</v>
      </c>
      <c r="CO293" s="88">
        <v>26400</v>
      </c>
      <c r="CP293" s="88">
        <v>26400</v>
      </c>
      <c r="CQ293" s="88">
        <v>26400</v>
      </c>
      <c r="CR293" s="88">
        <v>26400</v>
      </c>
      <c r="CS293" s="88">
        <v>26400</v>
      </c>
      <c r="CT293" s="88">
        <v>26400</v>
      </c>
      <c r="CU293" s="88">
        <v>322.22575197712882</v>
      </c>
      <c r="CV293" s="88">
        <v>321.90819803567979</v>
      </c>
      <c r="CW293" s="88">
        <v>321.59126937773732</v>
      </c>
      <c r="CX293" s="88">
        <v>321.26425285056678</v>
      </c>
      <c r="CY293" s="88">
        <v>320.93790071441799</v>
      </c>
      <c r="CZ293" s="88">
        <v>320.612210946598</v>
      </c>
      <c r="DA293" s="88">
        <v>320.28718153262628</v>
      </c>
      <c r="DB293" s="88">
        <v>319.95749838128432</v>
      </c>
      <c r="DC293" s="88">
        <v>319.63379440740152</v>
      </c>
      <c r="DD293" s="88">
        <v>319.31074476016983</v>
      </c>
      <c r="DE293" s="88">
        <v>318.98834745762503</v>
      </c>
      <c r="DF293" s="88">
        <v>318.66660052582267</v>
      </c>
      <c r="DG293" s="93">
        <v>46113</v>
      </c>
      <c r="DH293" s="91">
        <v>0.06</v>
      </c>
      <c r="DI293" t="s">
        <v>301</v>
      </c>
      <c r="DJ293" s="93"/>
      <c r="DK293" s="91"/>
      <c r="DM293" s="93"/>
      <c r="DN293" s="91"/>
      <c r="DP293" s="93"/>
      <c r="DQ293" s="91"/>
    </row>
    <row r="294" spans="1:121" x14ac:dyDescent="0.3">
      <c r="A294" t="s">
        <v>30</v>
      </c>
      <c r="B294" t="s">
        <v>45</v>
      </c>
      <c r="C294" t="s">
        <v>95</v>
      </c>
      <c r="D294" t="s">
        <v>381</v>
      </c>
      <c r="E294" t="s">
        <v>657</v>
      </c>
      <c r="F294" s="86">
        <v>21600</v>
      </c>
      <c r="G294" s="87">
        <v>12</v>
      </c>
      <c r="H294" s="88">
        <v>1.02</v>
      </c>
      <c r="I294" s="88">
        <v>1.018888888888889</v>
      </c>
      <c r="J294" s="89">
        <v>0.98900209700948194</v>
      </c>
      <c r="K294" s="88">
        <v>1.001090512540894</v>
      </c>
      <c r="L294" s="88">
        <v>1.011120201892163</v>
      </c>
      <c r="M294" s="88">
        <v>1</v>
      </c>
      <c r="N294" s="90">
        <v>0.55000000000000004</v>
      </c>
      <c r="O294" s="90">
        <v>0.5567225626339728</v>
      </c>
      <c r="P294" s="90">
        <v>0.55799505253914239</v>
      </c>
      <c r="Q294" s="91">
        <v>0</v>
      </c>
      <c r="R294" s="88">
        <v>1</v>
      </c>
      <c r="S294" s="88">
        <v>1.0145364591620769</v>
      </c>
      <c r="T294" s="91">
        <v>-1.089324618736343E-3</v>
      </c>
      <c r="U294" s="91">
        <v>1.090512540893984E-3</v>
      </c>
      <c r="V294" s="87">
        <v>0</v>
      </c>
      <c r="W294" s="91">
        <v>0</v>
      </c>
      <c r="X294" s="87">
        <v>1</v>
      </c>
      <c r="Y294" s="90">
        <v>0.5567225626339728</v>
      </c>
      <c r="Z294" s="90">
        <v>0.55799505253914239</v>
      </c>
      <c r="AA294" s="92">
        <v>0</v>
      </c>
      <c r="AB294" s="88">
        <v>0</v>
      </c>
      <c r="AC294" s="87">
        <v>1</v>
      </c>
      <c r="AD294" s="87">
        <v>0</v>
      </c>
      <c r="AE294" s="88">
        <v>1.006666666666667</v>
      </c>
      <c r="AF294" s="88">
        <v>0.99597028697853884</v>
      </c>
      <c r="AG294" s="88">
        <v>1.002610124973867</v>
      </c>
      <c r="AH294" s="88">
        <v>22032</v>
      </c>
      <c r="AI294" s="88">
        <v>22008</v>
      </c>
      <c r="AJ294" s="88">
        <v>21362.44529540481</v>
      </c>
      <c r="AK294" s="88">
        <v>21623.555070883311</v>
      </c>
      <c r="AL294" s="88">
        <v>21840.196360870719</v>
      </c>
      <c r="AM294" s="88">
        <v>21600</v>
      </c>
      <c r="AN294" s="88">
        <v>11880</v>
      </c>
      <c r="AO294" s="88">
        <v>12025.207352893811</v>
      </c>
      <c r="AP294" s="88">
        <v>12052.69313484548</v>
      </c>
      <c r="AQ294" s="88">
        <v>0</v>
      </c>
      <c r="AR294" s="88">
        <v>21600</v>
      </c>
      <c r="AS294" s="88">
        <v>21913.98751790086</v>
      </c>
      <c r="AT294" s="88">
        <v>12025.207352893811</v>
      </c>
      <c r="AU294" s="88">
        <v>12052.69313484548</v>
      </c>
      <c r="AV294" s="88">
        <v>21600</v>
      </c>
      <c r="AW294" s="88">
        <v>21384</v>
      </c>
      <c r="AX294" s="88">
        <v>21276</v>
      </c>
      <c r="AY294" s="88">
        <v>21600</v>
      </c>
      <c r="AZ294" s="88">
        <v>21600</v>
      </c>
      <c r="BA294" s="88">
        <v>21600</v>
      </c>
      <c r="BB294" s="88">
        <v>21600</v>
      </c>
      <c r="BC294" s="88">
        <v>21600</v>
      </c>
      <c r="BD294" s="88">
        <v>21600</v>
      </c>
      <c r="BE294" s="88">
        <v>21600</v>
      </c>
      <c r="BF294" s="88">
        <v>21600</v>
      </c>
      <c r="BG294" s="88">
        <v>21600</v>
      </c>
      <c r="BH294" s="88">
        <v>21600</v>
      </c>
      <c r="BI294" s="88">
        <v>21600</v>
      </c>
      <c r="BJ294" s="88">
        <v>21600</v>
      </c>
      <c r="BK294" s="88">
        <v>343.3800988500563</v>
      </c>
      <c r="BL294" s="88">
        <v>343.35127984654952</v>
      </c>
      <c r="BM294" s="88">
        <v>343.32244209318981</v>
      </c>
      <c r="BN294" s="88">
        <v>343.29260705539753</v>
      </c>
      <c r="BO294" s="88">
        <v>-86.997302024308354</v>
      </c>
      <c r="BP294" s="88">
        <v>-87.026591458501557</v>
      </c>
      <c r="BQ294" s="88">
        <v>-87.055900621118454</v>
      </c>
      <c r="BR294" s="88">
        <v>-87.085710498556153</v>
      </c>
      <c r="BS294" s="88">
        <v>-87.115059502106803</v>
      </c>
      <c r="BT294" s="88">
        <v>-87.144428294306579</v>
      </c>
      <c r="BU294" s="88">
        <v>-87.173816895179442</v>
      </c>
      <c r="BV294" s="88">
        <v>-87.203225324770983</v>
      </c>
      <c r="BW294" s="88">
        <v>432.0000000000004</v>
      </c>
      <c r="BX294" s="88">
        <v>432.0000000000004</v>
      </c>
      <c r="BY294" s="88">
        <v>432.0000000000004</v>
      </c>
      <c r="BZ294" s="88">
        <v>432.0000000000004</v>
      </c>
      <c r="CA294" s="88">
        <v>0</v>
      </c>
      <c r="CB294" s="88">
        <v>0</v>
      </c>
      <c r="CC294" s="88">
        <v>0</v>
      </c>
      <c r="CD294" s="88">
        <v>0</v>
      </c>
      <c r="CE294" s="88">
        <v>0</v>
      </c>
      <c r="CF294" s="88">
        <v>0</v>
      </c>
      <c r="CG294" s="88">
        <v>0</v>
      </c>
      <c r="CH294" s="88">
        <v>0</v>
      </c>
      <c r="CI294" s="88">
        <v>21600</v>
      </c>
      <c r="CJ294" s="88">
        <v>21600</v>
      </c>
      <c r="CK294" s="88">
        <v>21600</v>
      </c>
      <c r="CL294" s="88">
        <v>21600</v>
      </c>
      <c r="CM294" s="88">
        <v>21600</v>
      </c>
      <c r="CN294" s="88">
        <v>21600</v>
      </c>
      <c r="CO294" s="88">
        <v>21600</v>
      </c>
      <c r="CP294" s="88">
        <v>21600</v>
      </c>
      <c r="CQ294" s="88">
        <v>21600</v>
      </c>
      <c r="CR294" s="88">
        <v>21600</v>
      </c>
      <c r="CS294" s="88">
        <v>21600</v>
      </c>
      <c r="CT294" s="88">
        <v>21600</v>
      </c>
      <c r="CU294" s="88">
        <v>-86.882256029357748</v>
      </c>
      <c r="CV294" s="88">
        <v>-86.910509954362155</v>
      </c>
      <c r="CW294" s="88">
        <v>-86.938782261576719</v>
      </c>
      <c r="CX294" s="88">
        <v>-86.968032298629964</v>
      </c>
      <c r="CY294" s="88">
        <v>-86.997302024308354</v>
      </c>
      <c r="CZ294" s="88">
        <v>-87.026591458501557</v>
      </c>
      <c r="DA294" s="88">
        <v>-87.055900621118454</v>
      </c>
      <c r="DB294" s="88">
        <v>-87.085710498556153</v>
      </c>
      <c r="DC294" s="88">
        <v>-87.115059502106803</v>
      </c>
      <c r="DD294" s="88">
        <v>-87.144428294306579</v>
      </c>
      <c r="DE294" s="88">
        <v>-87.173816895179442</v>
      </c>
      <c r="DF294" s="88">
        <v>-87.203225324770983</v>
      </c>
      <c r="DG294" s="93">
        <v>46143</v>
      </c>
      <c r="DH294" s="91">
        <v>0.02</v>
      </c>
      <c r="DI294" t="s">
        <v>301</v>
      </c>
      <c r="DJ294" s="93"/>
      <c r="DK294" s="91"/>
      <c r="DM294" s="93"/>
      <c r="DN294" s="91"/>
      <c r="DP294" s="93"/>
      <c r="DQ294" s="91"/>
    </row>
    <row r="295" spans="1:121" x14ac:dyDescent="0.3">
      <c r="A295" t="s">
        <v>30</v>
      </c>
      <c r="B295" t="s">
        <v>45</v>
      </c>
      <c r="C295" t="s">
        <v>96</v>
      </c>
      <c r="D295" t="s">
        <v>383</v>
      </c>
      <c r="E295" t="s">
        <v>658</v>
      </c>
      <c r="F295" s="86">
        <v>16800</v>
      </c>
      <c r="G295" s="87">
        <v>12</v>
      </c>
      <c r="H295" s="88">
        <v>1</v>
      </c>
      <c r="I295" s="88">
        <v>1.016805555555556</v>
      </c>
      <c r="J295" s="89">
        <v>0.99199580598103554</v>
      </c>
      <c r="K295" s="88">
        <v>0.98347220325092199</v>
      </c>
      <c r="L295" s="88">
        <v>1.008068778084247</v>
      </c>
      <c r="M295" s="88">
        <v>1</v>
      </c>
      <c r="N295" s="90">
        <v>0.53400000000000003</v>
      </c>
      <c r="O295" s="90">
        <v>0.52941167026066283</v>
      </c>
      <c r="P295" s="90">
        <v>0.51422104870919894</v>
      </c>
      <c r="Q295" s="91">
        <v>0</v>
      </c>
      <c r="R295" s="88">
        <v>0.96166688927474264</v>
      </c>
      <c r="S295" s="88">
        <v>1.0013454514372071</v>
      </c>
      <c r="T295" s="91">
        <v>1.6805555555555522E-2</v>
      </c>
      <c r="U295" s="91">
        <v>2.2674498019396468E-2</v>
      </c>
      <c r="V295" s="87">
        <v>0</v>
      </c>
      <c r="W295" s="91">
        <v>0</v>
      </c>
      <c r="X295" s="87">
        <v>1</v>
      </c>
      <c r="Y295" s="90">
        <v>0.52941167026066283</v>
      </c>
      <c r="Z295" s="90">
        <v>0.51422104870919894</v>
      </c>
      <c r="AA295" s="92">
        <v>0</v>
      </c>
      <c r="AB295" s="88">
        <v>0</v>
      </c>
      <c r="AC295" s="87">
        <v>0</v>
      </c>
      <c r="AD295" s="87">
        <v>1</v>
      </c>
      <c r="AE295" s="88">
        <v>1.036666666666666</v>
      </c>
      <c r="AF295" s="88">
        <v>1.0080839018517109</v>
      </c>
      <c r="AG295" s="88">
        <v>1.045046878840667</v>
      </c>
      <c r="AH295" s="88">
        <v>16800</v>
      </c>
      <c r="AI295" s="88">
        <v>17082.333333333328</v>
      </c>
      <c r="AJ295" s="88">
        <v>16665.529540481399</v>
      </c>
      <c r="AK295" s="88">
        <v>16522.333014615491</v>
      </c>
      <c r="AL295" s="88">
        <v>16935.555471815351</v>
      </c>
      <c r="AM295" s="88">
        <v>16800</v>
      </c>
      <c r="AN295" s="88">
        <v>8971.2000000000007</v>
      </c>
      <c r="AO295" s="88">
        <v>8894.1160603791359</v>
      </c>
      <c r="AP295" s="88">
        <v>8638.913618314542</v>
      </c>
      <c r="AQ295" s="88">
        <v>0</v>
      </c>
      <c r="AR295" s="88">
        <v>16156.00373981568</v>
      </c>
      <c r="AS295" s="88">
        <v>16822.603584145079</v>
      </c>
      <c r="AT295" s="88">
        <v>8894.1160603791359</v>
      </c>
      <c r="AU295" s="88">
        <v>8638.913618314542</v>
      </c>
      <c r="AV295" s="88">
        <v>16800</v>
      </c>
      <c r="AW295" s="88">
        <v>16632</v>
      </c>
      <c r="AX295" s="88">
        <v>16800</v>
      </c>
      <c r="AY295" s="88">
        <v>16800</v>
      </c>
      <c r="AZ295" s="88">
        <v>16800</v>
      </c>
      <c r="BA295" s="88">
        <v>16800</v>
      </c>
      <c r="BB295" s="88">
        <v>16800</v>
      </c>
      <c r="BC295" s="88">
        <v>16800</v>
      </c>
      <c r="BD295" s="88">
        <v>16800</v>
      </c>
      <c r="BE295" s="88">
        <v>16800</v>
      </c>
      <c r="BF295" s="88">
        <v>16800</v>
      </c>
      <c r="BG295" s="88">
        <v>16800</v>
      </c>
      <c r="BH295" s="88">
        <v>16800</v>
      </c>
      <c r="BI295" s="88">
        <v>16800</v>
      </c>
      <c r="BJ295" s="88">
        <v>16800</v>
      </c>
      <c r="BK295" s="88">
        <v>136.3105889675559</v>
      </c>
      <c r="BL295" s="88">
        <v>813.67010996334625</v>
      </c>
      <c r="BM295" s="88">
        <v>813.57732908568073</v>
      </c>
      <c r="BN295" s="88">
        <v>813.48153078202824</v>
      </c>
      <c r="BO295" s="88">
        <v>813.3858620345618</v>
      </c>
      <c r="BP295" s="88">
        <v>813.29032258064251</v>
      </c>
      <c r="BQ295" s="88">
        <v>813.19491215834751</v>
      </c>
      <c r="BR295" s="88">
        <v>813.09806958349589</v>
      </c>
      <c r="BS295" s="88">
        <v>813.00291854603392</v>
      </c>
      <c r="BT295" s="88">
        <v>812.90789575439067</v>
      </c>
      <c r="BU295" s="88">
        <v>812.81300094945618</v>
      </c>
      <c r="BV295" s="88">
        <v>812.71823387283655</v>
      </c>
      <c r="BW295" s="88">
        <v>0</v>
      </c>
      <c r="BX295" s="88">
        <v>672.00000000000057</v>
      </c>
      <c r="BY295" s="88">
        <v>672.00000000000057</v>
      </c>
      <c r="BZ295" s="88">
        <v>672.00000000000057</v>
      </c>
      <c r="CA295" s="88">
        <v>672.00000000000057</v>
      </c>
      <c r="CB295" s="88">
        <v>672.00000000000057</v>
      </c>
      <c r="CC295" s="88">
        <v>672.00000000000057</v>
      </c>
      <c r="CD295" s="88">
        <v>672.00000000000057</v>
      </c>
      <c r="CE295" s="88">
        <v>672.00000000000057</v>
      </c>
      <c r="CF295" s="88">
        <v>672.00000000000057</v>
      </c>
      <c r="CG295" s="88">
        <v>672.00000000000057</v>
      </c>
      <c r="CH295" s="88">
        <v>672.00000000000057</v>
      </c>
      <c r="CI295" s="88">
        <v>16800</v>
      </c>
      <c r="CJ295" s="88">
        <v>16800</v>
      </c>
      <c r="CK295" s="88">
        <v>16800</v>
      </c>
      <c r="CL295" s="88">
        <v>16800</v>
      </c>
      <c r="CM295" s="88">
        <v>16800</v>
      </c>
      <c r="CN295" s="88">
        <v>16800</v>
      </c>
      <c r="CO295" s="88">
        <v>16800</v>
      </c>
      <c r="CP295" s="88">
        <v>16800</v>
      </c>
      <c r="CQ295" s="88">
        <v>16800</v>
      </c>
      <c r="CR295" s="88">
        <v>16800</v>
      </c>
      <c r="CS295" s="88">
        <v>16800</v>
      </c>
      <c r="CT295" s="88">
        <v>16800</v>
      </c>
      <c r="CU295" s="88">
        <v>136.3105889675559</v>
      </c>
      <c r="CV295" s="88">
        <v>136.22125958013859</v>
      </c>
      <c r="CW295" s="88">
        <v>136.13204719777019</v>
      </c>
      <c r="CX295" s="88">
        <v>136.03993344425791</v>
      </c>
      <c r="CY295" s="88">
        <v>135.9479442640019</v>
      </c>
      <c r="CZ295" s="88">
        <v>135.85607940446491</v>
      </c>
      <c r="DA295" s="88">
        <v>135.76433861379621</v>
      </c>
      <c r="DB295" s="88">
        <v>135.67122075336101</v>
      </c>
      <c r="DC295" s="88">
        <v>135.5797293711872</v>
      </c>
      <c r="DD295" s="88">
        <v>135.4883613022993</v>
      </c>
      <c r="DE295" s="88">
        <v>135.3971162975549</v>
      </c>
      <c r="DF295" s="88">
        <v>135.30599410849771</v>
      </c>
      <c r="DG295" s="93">
        <v>46419</v>
      </c>
      <c r="DH295" s="91">
        <v>0.04</v>
      </c>
      <c r="DI295" t="s">
        <v>302</v>
      </c>
      <c r="DJ295" s="93"/>
      <c r="DK295" s="91"/>
      <c r="DM295" s="93"/>
      <c r="DN295" s="91"/>
      <c r="DP295" s="93"/>
      <c r="DQ295" s="91"/>
    </row>
    <row r="296" spans="1:121" x14ac:dyDescent="0.3">
      <c r="A296" t="s">
        <v>30</v>
      </c>
      <c r="B296" t="s">
        <v>47</v>
      </c>
      <c r="C296" t="s">
        <v>43</v>
      </c>
      <c r="D296" t="s">
        <v>385</v>
      </c>
      <c r="E296" t="s">
        <v>659</v>
      </c>
      <c r="F296" s="86">
        <v>12000</v>
      </c>
      <c r="G296" s="87">
        <v>12</v>
      </c>
      <c r="H296" s="88">
        <v>1.04</v>
      </c>
      <c r="I296" s="88">
        <v>1.0349999999999999</v>
      </c>
      <c r="J296" s="89">
        <v>0.98800419401896411</v>
      </c>
      <c r="K296" s="88">
        <v>1.0048309178743959</v>
      </c>
      <c r="L296" s="88">
        <v>1.012141452489427</v>
      </c>
      <c r="M296" s="88">
        <v>1</v>
      </c>
      <c r="N296" s="90">
        <v>0.56200000000000006</v>
      </c>
      <c r="O296" s="90">
        <v>0.57157143589470549</v>
      </c>
      <c r="P296" s="90">
        <v>0.57268420053263169</v>
      </c>
      <c r="Q296" s="91">
        <v>0</v>
      </c>
      <c r="R296" s="88">
        <v>0.99999999999999978</v>
      </c>
      <c r="S296" s="88">
        <v>1.019011032976213</v>
      </c>
      <c r="T296" s="91">
        <v>-4.8076923076921796E-3</v>
      </c>
      <c r="U296" s="91">
        <v>4.8309178743961567E-3</v>
      </c>
      <c r="V296" s="87">
        <v>0</v>
      </c>
      <c r="W296" s="91">
        <v>0</v>
      </c>
      <c r="X296" s="87">
        <v>1</v>
      </c>
      <c r="Y296" s="90">
        <v>0.57157143589470549</v>
      </c>
      <c r="Z296" s="90">
        <v>0.57268420053263169</v>
      </c>
      <c r="AA296" s="92">
        <v>0</v>
      </c>
      <c r="AB296" s="88">
        <v>0</v>
      </c>
      <c r="AC296" s="87">
        <v>1</v>
      </c>
      <c r="AD296" s="87">
        <v>0</v>
      </c>
      <c r="AE296" s="88">
        <v>1.02</v>
      </c>
      <c r="AF296" s="88">
        <v>0.99194865631796525</v>
      </c>
      <c r="AG296" s="88">
        <v>1.0117879543071659</v>
      </c>
      <c r="AH296" s="88">
        <v>12480</v>
      </c>
      <c r="AI296" s="88">
        <v>12420</v>
      </c>
      <c r="AJ296" s="88">
        <v>11856.050328227569</v>
      </c>
      <c r="AK296" s="88">
        <v>12057.97101449275</v>
      </c>
      <c r="AL296" s="88">
        <v>12145.69742987312</v>
      </c>
      <c r="AM296" s="88">
        <v>12000</v>
      </c>
      <c r="AN296" s="88">
        <v>6744.0000000000009</v>
      </c>
      <c r="AO296" s="88">
        <v>6858.8572307364657</v>
      </c>
      <c r="AP296" s="88">
        <v>6872.2104063915804</v>
      </c>
      <c r="AQ296" s="88">
        <v>0</v>
      </c>
      <c r="AR296" s="88">
        <v>12000</v>
      </c>
      <c r="AS296" s="88">
        <v>12228.13239571456</v>
      </c>
      <c r="AT296" s="88">
        <v>6858.8572307364657</v>
      </c>
      <c r="AU296" s="88">
        <v>6872.2104063915804</v>
      </c>
      <c r="AV296" s="88">
        <v>12000</v>
      </c>
      <c r="AW296" s="88">
        <v>11880</v>
      </c>
      <c r="AX296" s="88">
        <v>11760</v>
      </c>
      <c r="AY296" s="88">
        <v>12000</v>
      </c>
      <c r="AZ296" s="88">
        <v>12000</v>
      </c>
      <c r="BA296" s="88">
        <v>12000</v>
      </c>
      <c r="BB296" s="88">
        <v>12000</v>
      </c>
      <c r="BC296" s="88">
        <v>12000</v>
      </c>
      <c r="BD296" s="88">
        <v>12000</v>
      </c>
      <c r="BE296" s="88">
        <v>12000</v>
      </c>
      <c r="BF296" s="88">
        <v>12000</v>
      </c>
      <c r="BG296" s="88">
        <v>12000</v>
      </c>
      <c r="BH296" s="88">
        <v>12000</v>
      </c>
      <c r="BI296" s="88">
        <v>12000</v>
      </c>
      <c r="BJ296" s="88">
        <v>12000</v>
      </c>
      <c r="BK296" s="88">
        <v>379.88681443061182</v>
      </c>
      <c r="BL296" s="88">
        <v>379.82186448505661</v>
      </c>
      <c r="BM296" s="88">
        <v>379.75683021027248</v>
      </c>
      <c r="BN296" s="88">
        <v>379.68950254343622</v>
      </c>
      <c r="BO296" s="88">
        <v>379.62208437544922</v>
      </c>
      <c r="BP296" s="88">
        <v>379.55457552370581</v>
      </c>
      <c r="BQ296" s="88">
        <v>-96.647138648925605</v>
      </c>
      <c r="BR296" s="88">
        <v>-96.713293661746746</v>
      </c>
      <c r="BS296" s="88">
        <v>-96.778470104732065</v>
      </c>
      <c r="BT296" s="88">
        <v>-96.843734453597278</v>
      </c>
      <c r="BU296" s="88">
        <v>-96.909086886297402</v>
      </c>
      <c r="BV296" s="88">
        <v>-96.974527581282999</v>
      </c>
      <c r="BW296" s="88">
        <v>480.00000000000051</v>
      </c>
      <c r="BX296" s="88">
        <v>480.00000000000051</v>
      </c>
      <c r="BY296" s="88">
        <v>480.00000000000051</v>
      </c>
      <c r="BZ296" s="88">
        <v>480.00000000000051</v>
      </c>
      <c r="CA296" s="88">
        <v>480.00000000000051</v>
      </c>
      <c r="CB296" s="88">
        <v>480.00000000000051</v>
      </c>
      <c r="CC296" s="88">
        <v>0</v>
      </c>
      <c r="CD296" s="88">
        <v>0</v>
      </c>
      <c r="CE296" s="88">
        <v>0</v>
      </c>
      <c r="CF296" s="88">
        <v>0</v>
      </c>
      <c r="CG296" s="88">
        <v>0</v>
      </c>
      <c r="CH296" s="88">
        <v>0</v>
      </c>
      <c r="CI296" s="88">
        <v>12000</v>
      </c>
      <c r="CJ296" s="88">
        <v>12000</v>
      </c>
      <c r="CK296" s="88">
        <v>12000</v>
      </c>
      <c r="CL296" s="88">
        <v>12000</v>
      </c>
      <c r="CM296" s="88">
        <v>12000</v>
      </c>
      <c r="CN296" s="88">
        <v>12000</v>
      </c>
      <c r="CO296" s="88">
        <v>12000</v>
      </c>
      <c r="CP296" s="88">
        <v>12000</v>
      </c>
      <c r="CQ296" s="88">
        <v>12000</v>
      </c>
      <c r="CR296" s="88">
        <v>12000</v>
      </c>
      <c r="CS296" s="88">
        <v>12000</v>
      </c>
      <c r="CT296" s="88">
        <v>12000</v>
      </c>
      <c r="CU296" s="88">
        <v>-96.262678432104565</v>
      </c>
      <c r="CV296" s="88">
        <v>-96.325130302830075</v>
      </c>
      <c r="CW296" s="88">
        <v>-96.387663259354994</v>
      </c>
      <c r="CX296" s="88">
        <v>-96.452401400541447</v>
      </c>
      <c r="CY296" s="88">
        <v>-96.51722656206951</v>
      </c>
      <c r="CZ296" s="88">
        <v>-96.582138919514733</v>
      </c>
      <c r="DA296" s="88">
        <v>-96.647138648925605</v>
      </c>
      <c r="DB296" s="88">
        <v>-96.713293661746746</v>
      </c>
      <c r="DC296" s="88">
        <v>-96.778470104732065</v>
      </c>
      <c r="DD296" s="88">
        <v>-96.843734453597278</v>
      </c>
      <c r="DE296" s="88">
        <v>-96.909086886297402</v>
      </c>
      <c r="DF296" s="88">
        <v>-96.974527581282999</v>
      </c>
      <c r="DG296" s="93">
        <v>46204</v>
      </c>
      <c r="DH296" s="91">
        <v>0.04</v>
      </c>
      <c r="DI296" t="s">
        <v>301</v>
      </c>
      <c r="DJ296" s="93"/>
      <c r="DK296" s="91"/>
      <c r="DM296" s="93"/>
      <c r="DN296" s="91"/>
      <c r="DP296" s="93"/>
      <c r="DQ296" s="91"/>
    </row>
    <row r="297" spans="1:121" x14ac:dyDescent="0.3">
      <c r="A297" t="s">
        <v>30</v>
      </c>
      <c r="B297" t="s">
        <v>47</v>
      </c>
      <c r="C297" t="s">
        <v>46</v>
      </c>
      <c r="D297" t="s">
        <v>387</v>
      </c>
      <c r="E297" t="s">
        <v>660</v>
      </c>
      <c r="F297" s="86">
        <v>27600</v>
      </c>
      <c r="G297" s="87">
        <v>12</v>
      </c>
      <c r="H297" s="88">
        <v>1.05</v>
      </c>
      <c r="I297" s="88">
        <v>1.041493055555555</v>
      </c>
      <c r="J297" s="89">
        <v>0.99099790299051793</v>
      </c>
      <c r="K297" s="88">
        <v>1.0081680280046681</v>
      </c>
      <c r="L297" s="88">
        <v>1.009083870896514</v>
      </c>
      <c r="M297" s="88">
        <v>1</v>
      </c>
      <c r="N297" s="90">
        <v>0.54600000000000004</v>
      </c>
      <c r="O297" s="90">
        <v>0.55546004853232822</v>
      </c>
      <c r="P297" s="90">
        <v>0.5491144794836551</v>
      </c>
      <c r="Q297" s="91">
        <v>0</v>
      </c>
      <c r="R297" s="88">
        <v>1</v>
      </c>
      <c r="S297" s="88">
        <v>1.005704174878489</v>
      </c>
      <c r="T297" s="91">
        <v>-8.1018518518519711E-3</v>
      </c>
      <c r="U297" s="91">
        <v>8.168028004667649E-3</v>
      </c>
      <c r="V297" s="87">
        <v>0</v>
      </c>
      <c r="W297" s="91">
        <v>0</v>
      </c>
      <c r="X297" s="87">
        <v>1</v>
      </c>
      <c r="Y297" s="90">
        <v>0.55546004853232822</v>
      </c>
      <c r="Z297" s="90">
        <v>0.5491144794836551</v>
      </c>
      <c r="AA297" s="92">
        <v>0</v>
      </c>
      <c r="AB297" s="88">
        <v>0</v>
      </c>
      <c r="AC297" s="87">
        <v>1</v>
      </c>
      <c r="AD297" s="87">
        <v>0</v>
      </c>
      <c r="AE297" s="88">
        <v>1.029166666666667</v>
      </c>
      <c r="AF297" s="88">
        <v>1.004037852440528</v>
      </c>
      <c r="AG297" s="88">
        <v>1.033322389161706</v>
      </c>
      <c r="AH297" s="88">
        <v>28980</v>
      </c>
      <c r="AI297" s="88">
        <v>28745.208333333328</v>
      </c>
      <c r="AJ297" s="88">
        <v>27351.5421225383</v>
      </c>
      <c r="AK297" s="88">
        <v>27825.437572928829</v>
      </c>
      <c r="AL297" s="88">
        <v>27850.714836743791</v>
      </c>
      <c r="AM297" s="88">
        <v>27600</v>
      </c>
      <c r="AN297" s="88">
        <v>15069.6</v>
      </c>
      <c r="AO297" s="88">
        <v>15330.697339492261</v>
      </c>
      <c r="AP297" s="88">
        <v>15155.559633748881</v>
      </c>
      <c r="AQ297" s="88">
        <v>0</v>
      </c>
      <c r="AR297" s="88">
        <v>27600</v>
      </c>
      <c r="AS297" s="88">
        <v>27757.435226646299</v>
      </c>
      <c r="AT297" s="88">
        <v>15330.697339492261</v>
      </c>
      <c r="AU297" s="88">
        <v>15155.559633748881</v>
      </c>
      <c r="AV297" s="88">
        <v>27600</v>
      </c>
      <c r="AW297" s="88">
        <v>27324</v>
      </c>
      <c r="AX297" s="88">
        <v>27462</v>
      </c>
      <c r="AY297" s="88">
        <v>27600</v>
      </c>
      <c r="AZ297" s="88">
        <v>27600</v>
      </c>
      <c r="BA297" s="88">
        <v>27600</v>
      </c>
      <c r="BB297" s="88">
        <v>27600</v>
      </c>
      <c r="BC297" s="88">
        <v>27600</v>
      </c>
      <c r="BD297" s="88">
        <v>27600</v>
      </c>
      <c r="BE297" s="88">
        <v>27600</v>
      </c>
      <c r="BF297" s="88">
        <v>27600</v>
      </c>
      <c r="BG297" s="88">
        <v>27600</v>
      </c>
      <c r="BH297" s="88">
        <v>27600</v>
      </c>
      <c r="BI297" s="88">
        <v>27600</v>
      </c>
      <c r="BJ297" s="88">
        <v>27600</v>
      </c>
      <c r="BK297" s="88">
        <v>1497.2323600636171</v>
      </c>
      <c r="BL297" s="88">
        <v>1497.1940437412729</v>
      </c>
      <c r="BM297" s="88">
        <v>1497.155752457425</v>
      </c>
      <c r="BN297" s="88">
        <v>1497.116189463894</v>
      </c>
      <c r="BO297" s="88">
        <v>1497.076653181847</v>
      </c>
      <c r="BP297" s="88">
        <v>1497.0371435842389</v>
      </c>
      <c r="BQ297" s="88">
        <v>1496.9976606440689</v>
      </c>
      <c r="BR297" s="88">
        <v>111.3881502203121</v>
      </c>
      <c r="BS297" s="88">
        <v>111.3505985343367</v>
      </c>
      <c r="BT297" s="88">
        <v>111.3130721590268</v>
      </c>
      <c r="BU297" s="88">
        <v>111.2755710687902</v>
      </c>
      <c r="BV297" s="88">
        <v>111.2380952380958</v>
      </c>
      <c r="BW297" s="88">
        <v>1380.0000000000009</v>
      </c>
      <c r="BX297" s="88">
        <v>1380.0000000000009</v>
      </c>
      <c r="BY297" s="88">
        <v>1380.0000000000009</v>
      </c>
      <c r="BZ297" s="88">
        <v>1380.0000000000009</v>
      </c>
      <c r="CA297" s="88">
        <v>1380.0000000000009</v>
      </c>
      <c r="CB297" s="88">
        <v>1380.0000000000009</v>
      </c>
      <c r="CC297" s="88">
        <v>1380.0000000000009</v>
      </c>
      <c r="CD297" s="88">
        <v>0</v>
      </c>
      <c r="CE297" s="88">
        <v>0</v>
      </c>
      <c r="CF297" s="88">
        <v>0</v>
      </c>
      <c r="CG297" s="88">
        <v>0</v>
      </c>
      <c r="CH297" s="88">
        <v>0</v>
      </c>
      <c r="CI297" s="88">
        <v>27600</v>
      </c>
      <c r="CJ297" s="88">
        <v>27600</v>
      </c>
      <c r="CK297" s="88">
        <v>27600</v>
      </c>
      <c r="CL297" s="88">
        <v>27600</v>
      </c>
      <c r="CM297" s="88">
        <v>27600</v>
      </c>
      <c r="CN297" s="88">
        <v>27600</v>
      </c>
      <c r="CO297" s="88">
        <v>27600</v>
      </c>
      <c r="CP297" s="88">
        <v>27600</v>
      </c>
      <c r="CQ297" s="88">
        <v>27600</v>
      </c>
      <c r="CR297" s="88">
        <v>27600</v>
      </c>
      <c r="CS297" s="88">
        <v>27600</v>
      </c>
      <c r="CT297" s="88">
        <v>27600</v>
      </c>
      <c r="CU297" s="88">
        <v>111.649866727252</v>
      </c>
      <c r="CV297" s="88">
        <v>111.6133749916883</v>
      </c>
      <c r="CW297" s="88">
        <v>111.5769071023096</v>
      </c>
      <c r="CX297" s="88">
        <v>111.53922806084989</v>
      </c>
      <c r="CY297" s="88">
        <v>111.5015744588999</v>
      </c>
      <c r="CZ297" s="88">
        <v>111.4639462707018</v>
      </c>
      <c r="DA297" s="88">
        <v>111.4263434705407</v>
      </c>
      <c r="DB297" s="88">
        <v>111.3881502203121</v>
      </c>
      <c r="DC297" s="88">
        <v>111.3505985343367</v>
      </c>
      <c r="DD297" s="88">
        <v>111.3130721590268</v>
      </c>
      <c r="DE297" s="88">
        <v>111.2755710687902</v>
      </c>
      <c r="DF297" s="88">
        <v>111.2380952380958</v>
      </c>
      <c r="DG297" s="93">
        <v>46235</v>
      </c>
      <c r="DH297" s="91">
        <v>0.05</v>
      </c>
      <c r="DI297" t="s">
        <v>301</v>
      </c>
      <c r="DJ297" s="93"/>
      <c r="DK297" s="91"/>
      <c r="DM297" s="93"/>
      <c r="DN297" s="91"/>
      <c r="DP297" s="93"/>
      <c r="DQ297" s="91"/>
    </row>
    <row r="298" spans="1:121" x14ac:dyDescent="0.3">
      <c r="A298" t="s">
        <v>30</v>
      </c>
      <c r="B298" t="s">
        <v>47</v>
      </c>
      <c r="C298" t="s">
        <v>48</v>
      </c>
      <c r="D298" t="s">
        <v>389</v>
      </c>
      <c r="E298" t="s">
        <v>661</v>
      </c>
      <c r="F298" s="86">
        <v>22800</v>
      </c>
      <c r="G298" s="87">
        <v>12</v>
      </c>
      <c r="H298" s="88">
        <v>1</v>
      </c>
      <c r="I298" s="88">
        <v>1</v>
      </c>
      <c r="J298" s="89">
        <v>0.99399161196207142</v>
      </c>
      <c r="K298" s="88">
        <v>1</v>
      </c>
      <c r="L298" s="88">
        <v>1.006044706983058</v>
      </c>
      <c r="M298" s="88">
        <v>1</v>
      </c>
      <c r="N298" s="90">
        <v>0.53</v>
      </c>
      <c r="O298" s="90">
        <v>0.53320369470102102</v>
      </c>
      <c r="P298" s="90">
        <v>0.52615239865115349</v>
      </c>
      <c r="Q298" s="91">
        <v>0</v>
      </c>
      <c r="R298" s="88">
        <v>1</v>
      </c>
      <c r="S298" s="88">
        <v>0.9927403748134972</v>
      </c>
      <c r="T298" s="91">
        <v>0</v>
      </c>
      <c r="U298" s="91">
        <v>0</v>
      </c>
      <c r="V298" s="87">
        <v>0</v>
      </c>
      <c r="W298" s="91">
        <v>0</v>
      </c>
      <c r="X298" s="87">
        <v>1</v>
      </c>
      <c r="Y298" s="90">
        <v>0.53320369470102102</v>
      </c>
      <c r="Z298" s="90">
        <v>0.52615239865115349</v>
      </c>
      <c r="AA298" s="92">
        <v>0</v>
      </c>
      <c r="AB298" s="88">
        <v>0</v>
      </c>
      <c r="AC298" s="87">
        <v>0</v>
      </c>
      <c r="AD298" s="87">
        <v>0</v>
      </c>
      <c r="AE298" s="88">
        <v>1</v>
      </c>
      <c r="AF298" s="88">
        <v>1.016200824295963</v>
      </c>
      <c r="AG298" s="88">
        <v>1.016200824295963</v>
      </c>
      <c r="AH298" s="88">
        <v>22800</v>
      </c>
      <c r="AI298" s="88">
        <v>22800</v>
      </c>
      <c r="AJ298" s="88">
        <v>22663.00875273523</v>
      </c>
      <c r="AK298" s="88">
        <v>22800</v>
      </c>
      <c r="AL298" s="88">
        <v>22937.81931921373</v>
      </c>
      <c r="AM298" s="88">
        <v>22800</v>
      </c>
      <c r="AN298" s="88">
        <v>12084</v>
      </c>
      <c r="AO298" s="88">
        <v>12157.04423918328</v>
      </c>
      <c r="AP298" s="88">
        <v>11996.2746892463</v>
      </c>
      <c r="AQ298" s="88">
        <v>0</v>
      </c>
      <c r="AR298" s="88">
        <v>22800</v>
      </c>
      <c r="AS298" s="88">
        <v>22634.480545747741</v>
      </c>
      <c r="AT298" s="88">
        <v>12157.04423918328</v>
      </c>
      <c r="AU298" s="88">
        <v>11996.2746892463</v>
      </c>
      <c r="AV298" s="88">
        <v>22800</v>
      </c>
      <c r="AW298" s="88">
        <v>22572</v>
      </c>
      <c r="AX298" s="88">
        <v>23028</v>
      </c>
      <c r="AY298" s="88">
        <v>22800</v>
      </c>
      <c r="AZ298" s="88">
        <v>22800</v>
      </c>
      <c r="BA298" s="88">
        <v>22800</v>
      </c>
      <c r="BB298" s="88">
        <v>22800</v>
      </c>
      <c r="BC298" s="88">
        <v>22800</v>
      </c>
      <c r="BD298" s="88">
        <v>22800</v>
      </c>
      <c r="BE298" s="88">
        <v>22800</v>
      </c>
      <c r="BF298" s="88">
        <v>22800</v>
      </c>
      <c r="BG298" s="88">
        <v>22800</v>
      </c>
      <c r="BH298" s="88">
        <v>22800</v>
      </c>
      <c r="BI298" s="88">
        <v>22800</v>
      </c>
      <c r="BJ298" s="88">
        <v>22800</v>
      </c>
      <c r="BK298" s="88">
        <v>372.11590055446561</v>
      </c>
      <c r="BL298" s="88">
        <v>371.62569495612479</v>
      </c>
      <c r="BM298" s="88">
        <v>371.13677919993017</v>
      </c>
      <c r="BN298" s="88">
        <v>370.63264079096763</v>
      </c>
      <c r="BO298" s="88">
        <v>370.12987012987338</v>
      </c>
      <c r="BP298" s="88">
        <v>369.62846165804092</v>
      </c>
      <c r="BQ298" s="88">
        <v>369.12840984697573</v>
      </c>
      <c r="BR298" s="88">
        <v>368.62154500354592</v>
      </c>
      <c r="BS298" s="88">
        <v>368.12421206290207</v>
      </c>
      <c r="BT298" s="88">
        <v>367.62821928700981</v>
      </c>
      <c r="BU298" s="88">
        <v>367.13356126612848</v>
      </c>
      <c r="BV298" s="88">
        <v>366.64023261961279</v>
      </c>
      <c r="BW298" s="88">
        <v>0</v>
      </c>
      <c r="BX298" s="88">
        <v>0</v>
      </c>
      <c r="BY298" s="88">
        <v>0</v>
      </c>
      <c r="BZ298" s="88">
        <v>0</v>
      </c>
      <c r="CA298" s="88">
        <v>0</v>
      </c>
      <c r="CB298" s="88">
        <v>0</v>
      </c>
      <c r="CC298" s="88">
        <v>0</v>
      </c>
      <c r="CD298" s="88">
        <v>0</v>
      </c>
      <c r="CE298" s="88">
        <v>0</v>
      </c>
      <c r="CF298" s="88">
        <v>0</v>
      </c>
      <c r="CG298" s="88">
        <v>0</v>
      </c>
      <c r="CH298" s="88">
        <v>0</v>
      </c>
      <c r="CI298" s="88">
        <v>22800</v>
      </c>
      <c r="CJ298" s="88">
        <v>22800</v>
      </c>
      <c r="CK298" s="88">
        <v>22800</v>
      </c>
      <c r="CL298" s="88">
        <v>22800</v>
      </c>
      <c r="CM298" s="88">
        <v>22800</v>
      </c>
      <c r="CN298" s="88">
        <v>22800</v>
      </c>
      <c r="CO298" s="88">
        <v>22800</v>
      </c>
      <c r="CP298" s="88">
        <v>22800</v>
      </c>
      <c r="CQ298" s="88">
        <v>22800</v>
      </c>
      <c r="CR298" s="88">
        <v>22800</v>
      </c>
      <c r="CS298" s="88">
        <v>22800</v>
      </c>
      <c r="CT298" s="88">
        <v>22800</v>
      </c>
      <c r="CU298" s="88">
        <v>372.11590055446561</v>
      </c>
      <c r="CV298" s="88">
        <v>371.62569495612479</v>
      </c>
      <c r="CW298" s="88">
        <v>371.13677919993017</v>
      </c>
      <c r="CX298" s="88">
        <v>370.63264079096763</v>
      </c>
      <c r="CY298" s="88">
        <v>370.12987012987338</v>
      </c>
      <c r="CZ298" s="88">
        <v>369.62846165804092</v>
      </c>
      <c r="DA298" s="88">
        <v>369.12840984697573</v>
      </c>
      <c r="DB298" s="88">
        <v>368.62154500354592</v>
      </c>
      <c r="DC298" s="88">
        <v>368.12421206290207</v>
      </c>
      <c r="DD298" s="88">
        <v>367.62821928700981</v>
      </c>
      <c r="DE298" s="88">
        <v>367.13356126612848</v>
      </c>
      <c r="DF298" s="88">
        <v>366.64023261961279</v>
      </c>
      <c r="DG298" s="93"/>
      <c r="DH298" s="91"/>
      <c r="DJ298" s="93"/>
      <c r="DK298" s="91"/>
      <c r="DM298" s="93"/>
      <c r="DN298" s="91"/>
      <c r="DP298" s="93"/>
      <c r="DQ298" s="91"/>
    </row>
    <row r="299" spans="1:121" x14ac:dyDescent="0.3">
      <c r="A299" t="s">
        <v>30</v>
      </c>
      <c r="B299" t="s">
        <v>47</v>
      </c>
      <c r="C299" t="s">
        <v>50</v>
      </c>
      <c r="D299" t="s">
        <v>391</v>
      </c>
      <c r="E299" t="s">
        <v>662</v>
      </c>
      <c r="F299" s="86">
        <v>18000</v>
      </c>
      <c r="G299" s="87">
        <v>12</v>
      </c>
      <c r="H299" s="88">
        <v>1.02</v>
      </c>
      <c r="I299" s="88">
        <v>1.0213166666666671</v>
      </c>
      <c r="J299" s="89">
        <v>0.9900000000000001</v>
      </c>
      <c r="K299" s="88">
        <v>0.99871081447151555</v>
      </c>
      <c r="L299" s="88">
        <v>1.0101010101010099</v>
      </c>
      <c r="M299" s="88">
        <v>1</v>
      </c>
      <c r="N299" s="90">
        <v>0.55800000000000005</v>
      </c>
      <c r="O299" s="90">
        <v>0.56290973179303594</v>
      </c>
      <c r="P299" s="90">
        <v>0.54377352514830712</v>
      </c>
      <c r="Q299" s="91">
        <v>0</v>
      </c>
      <c r="R299" s="88">
        <v>0.96475948010183543</v>
      </c>
      <c r="S299" s="88">
        <v>1.0101010101010099</v>
      </c>
      <c r="T299" s="91">
        <v>1.290849673202477E-3</v>
      </c>
      <c r="U299" s="91">
        <v>3.5191501166794703E-2</v>
      </c>
      <c r="V299" s="87">
        <v>0</v>
      </c>
      <c r="W299" s="91">
        <v>0</v>
      </c>
      <c r="X299" s="87">
        <v>1</v>
      </c>
      <c r="Y299" s="90">
        <v>0.56290973179303594</v>
      </c>
      <c r="Z299" s="90">
        <v>0.54377352514830712</v>
      </c>
      <c r="AA299" s="92">
        <v>0</v>
      </c>
      <c r="AB299" s="88">
        <v>0</v>
      </c>
      <c r="AC299" s="87">
        <v>1</v>
      </c>
      <c r="AD299" s="87">
        <v>1</v>
      </c>
      <c r="AE299" s="88">
        <v>1.0386</v>
      </c>
      <c r="AF299" s="88">
        <v>1</v>
      </c>
      <c r="AG299" s="88">
        <v>1.0386</v>
      </c>
      <c r="AH299" s="88">
        <v>18360</v>
      </c>
      <c r="AI299" s="88">
        <v>18383.7</v>
      </c>
      <c r="AJ299" s="88">
        <v>17820</v>
      </c>
      <c r="AK299" s="88">
        <v>17976.794660487281</v>
      </c>
      <c r="AL299" s="88">
        <v>18181.81818181818</v>
      </c>
      <c r="AM299" s="88">
        <v>18000</v>
      </c>
      <c r="AN299" s="88">
        <v>10044</v>
      </c>
      <c r="AO299" s="88">
        <v>10132.375172274649</v>
      </c>
      <c r="AP299" s="88">
        <v>9787.9234526695291</v>
      </c>
      <c r="AQ299" s="88">
        <v>0</v>
      </c>
      <c r="AR299" s="88">
        <v>17365.67064183304</v>
      </c>
      <c r="AS299" s="88">
        <v>18181.81818181818</v>
      </c>
      <c r="AT299" s="88">
        <v>10132.375172274649</v>
      </c>
      <c r="AU299" s="88">
        <v>9787.9234526695291</v>
      </c>
      <c r="AV299" s="88">
        <v>18000</v>
      </c>
      <c r="AW299" s="88">
        <v>17820</v>
      </c>
      <c r="AX299" s="88">
        <v>17820</v>
      </c>
      <c r="AY299" s="88">
        <v>18000</v>
      </c>
      <c r="AZ299" s="88">
        <v>18000</v>
      </c>
      <c r="BA299" s="88">
        <v>18000</v>
      </c>
      <c r="BB299" s="88">
        <v>18000</v>
      </c>
      <c r="BC299" s="88">
        <v>18000</v>
      </c>
      <c r="BD299" s="88">
        <v>18000</v>
      </c>
      <c r="BE299" s="88">
        <v>18000</v>
      </c>
      <c r="BF299" s="88">
        <v>18000</v>
      </c>
      <c r="BG299" s="88">
        <v>18000</v>
      </c>
      <c r="BH299" s="88">
        <v>18000</v>
      </c>
      <c r="BI299" s="88">
        <v>18000</v>
      </c>
      <c r="BJ299" s="88">
        <v>18000</v>
      </c>
      <c r="BK299" s="88">
        <v>360.00000000000028</v>
      </c>
      <c r="BL299" s="88">
        <v>360.00000000000028</v>
      </c>
      <c r="BM299" s="88">
        <v>360.00000000000028</v>
      </c>
      <c r="BN299" s="88">
        <v>360.00000000000028</v>
      </c>
      <c r="BO299" s="88">
        <v>360.00000000000028</v>
      </c>
      <c r="BP299" s="88">
        <v>1094.399999999999</v>
      </c>
      <c r="BQ299" s="88">
        <v>1094.399999999999</v>
      </c>
      <c r="BR299" s="88">
        <v>1094.399999999999</v>
      </c>
      <c r="BS299" s="88">
        <v>1094.399999999999</v>
      </c>
      <c r="BT299" s="88">
        <v>720.00000000000068</v>
      </c>
      <c r="BU299" s="88">
        <v>720.00000000000068</v>
      </c>
      <c r="BV299" s="88">
        <v>720.00000000000068</v>
      </c>
      <c r="BW299" s="88">
        <v>360.00000000000028</v>
      </c>
      <c r="BX299" s="88">
        <v>360.00000000000028</v>
      </c>
      <c r="BY299" s="88">
        <v>360.00000000000028</v>
      </c>
      <c r="BZ299" s="88">
        <v>360.00000000000028</v>
      </c>
      <c r="CA299" s="88">
        <v>360.00000000000028</v>
      </c>
      <c r="CB299" s="88">
        <v>1094.399999999999</v>
      </c>
      <c r="CC299" s="88">
        <v>1094.399999999999</v>
      </c>
      <c r="CD299" s="88">
        <v>1094.399999999999</v>
      </c>
      <c r="CE299" s="88">
        <v>1094.399999999999</v>
      </c>
      <c r="CF299" s="88">
        <v>720.00000000000068</v>
      </c>
      <c r="CG299" s="88">
        <v>720.00000000000068</v>
      </c>
      <c r="CH299" s="88">
        <v>720.00000000000068</v>
      </c>
      <c r="CI299" s="88">
        <v>18000</v>
      </c>
      <c r="CJ299" s="88">
        <v>18000</v>
      </c>
      <c r="CK299" s="88">
        <v>18000</v>
      </c>
      <c r="CL299" s="88">
        <v>18000</v>
      </c>
      <c r="CM299" s="88">
        <v>18000</v>
      </c>
      <c r="CN299" s="88">
        <v>18000</v>
      </c>
      <c r="CO299" s="88">
        <v>18000</v>
      </c>
      <c r="CP299" s="88">
        <v>18000</v>
      </c>
      <c r="CQ299" s="88">
        <v>18000</v>
      </c>
      <c r="CR299" s="88">
        <v>18000</v>
      </c>
      <c r="CS299" s="88">
        <v>18000</v>
      </c>
      <c r="CT299" s="88">
        <v>18000</v>
      </c>
      <c r="CU299" s="88">
        <v>0</v>
      </c>
      <c r="CV299" s="88">
        <v>0</v>
      </c>
      <c r="CW299" s="88">
        <v>0</v>
      </c>
      <c r="CX299" s="88">
        <v>0</v>
      </c>
      <c r="CY299" s="88">
        <v>0</v>
      </c>
      <c r="CZ299" s="88">
        <v>0</v>
      </c>
      <c r="DA299" s="88">
        <v>0</v>
      </c>
      <c r="DB299" s="88">
        <v>0</v>
      </c>
      <c r="DC299" s="88">
        <v>0</v>
      </c>
      <c r="DD299" s="88">
        <v>0</v>
      </c>
      <c r="DE299" s="88">
        <v>0</v>
      </c>
      <c r="DF299" s="88">
        <v>0</v>
      </c>
      <c r="DG299" s="93">
        <v>46296</v>
      </c>
      <c r="DH299" s="91">
        <v>0.02</v>
      </c>
      <c r="DI299" t="s">
        <v>301</v>
      </c>
      <c r="DJ299" s="93">
        <v>46539</v>
      </c>
      <c r="DK299" s="91">
        <v>0.04</v>
      </c>
      <c r="DL299" t="s">
        <v>302</v>
      </c>
      <c r="DM299" s="93"/>
      <c r="DN299" s="91"/>
      <c r="DP299" s="93"/>
      <c r="DQ299" s="91"/>
    </row>
    <row r="300" spans="1:121" x14ac:dyDescent="0.3">
      <c r="A300" t="s">
        <v>30</v>
      </c>
      <c r="B300" t="s">
        <v>47</v>
      </c>
      <c r="C300" t="s">
        <v>57</v>
      </c>
      <c r="D300" t="s">
        <v>393</v>
      </c>
      <c r="E300" t="s">
        <v>663</v>
      </c>
      <c r="F300" s="86">
        <v>13200</v>
      </c>
      <c r="G300" s="87">
        <v>12</v>
      </c>
      <c r="H300" s="88">
        <v>1</v>
      </c>
      <c r="I300" s="88">
        <v>1</v>
      </c>
      <c r="J300" s="89">
        <v>0.99299370897155337</v>
      </c>
      <c r="K300" s="88">
        <v>1</v>
      </c>
      <c r="L300" s="88">
        <v>1.007055725494679</v>
      </c>
      <c r="M300" s="88">
        <v>1</v>
      </c>
      <c r="N300" s="90">
        <v>0.54200000000000004</v>
      </c>
      <c r="O300" s="90">
        <v>0.5458242032181162</v>
      </c>
      <c r="P300" s="90">
        <v>0.54038719574119365</v>
      </c>
      <c r="Q300" s="91">
        <v>0</v>
      </c>
      <c r="R300" s="88">
        <v>1</v>
      </c>
      <c r="S300" s="88">
        <v>0.99702434638596604</v>
      </c>
      <c r="T300" s="91">
        <v>0</v>
      </c>
      <c r="U300" s="91">
        <v>0</v>
      </c>
      <c r="V300" s="87">
        <v>0</v>
      </c>
      <c r="W300" s="91">
        <v>0</v>
      </c>
      <c r="X300" s="87">
        <v>1</v>
      </c>
      <c r="Y300" s="90">
        <v>0.5458242032181162</v>
      </c>
      <c r="Z300" s="90">
        <v>0.54038719574119365</v>
      </c>
      <c r="AA300" s="92">
        <v>0</v>
      </c>
      <c r="AB300" s="88">
        <v>0</v>
      </c>
      <c r="AC300" s="87">
        <v>0</v>
      </c>
      <c r="AD300" s="87">
        <v>0</v>
      </c>
      <c r="AE300" s="88">
        <v>1</v>
      </c>
      <c r="AF300" s="88">
        <v>1.012138206284618</v>
      </c>
      <c r="AG300" s="88">
        <v>1.012138206284618</v>
      </c>
      <c r="AH300" s="88">
        <v>13200</v>
      </c>
      <c r="AI300" s="88">
        <v>13200</v>
      </c>
      <c r="AJ300" s="88">
        <v>13107.5169584245</v>
      </c>
      <c r="AK300" s="88">
        <v>13200</v>
      </c>
      <c r="AL300" s="88">
        <v>13293.13557652977</v>
      </c>
      <c r="AM300" s="88">
        <v>13200</v>
      </c>
      <c r="AN300" s="88">
        <v>7154.4000000000005</v>
      </c>
      <c r="AO300" s="88">
        <v>7204.8794824791339</v>
      </c>
      <c r="AP300" s="88">
        <v>7133.1109837837557</v>
      </c>
      <c r="AQ300" s="88">
        <v>0</v>
      </c>
      <c r="AR300" s="88">
        <v>13200</v>
      </c>
      <c r="AS300" s="88">
        <v>13160.721372294751</v>
      </c>
      <c r="AT300" s="88">
        <v>7204.8794824791339</v>
      </c>
      <c r="AU300" s="88">
        <v>7133.1109837837557</v>
      </c>
      <c r="AV300" s="88">
        <v>13200</v>
      </c>
      <c r="AW300" s="88">
        <v>13068</v>
      </c>
      <c r="AX300" s="88">
        <v>13266</v>
      </c>
      <c r="AY300" s="88">
        <v>13200</v>
      </c>
      <c r="AZ300" s="88">
        <v>13200</v>
      </c>
      <c r="BA300" s="88">
        <v>13200</v>
      </c>
      <c r="BB300" s="88">
        <v>13200</v>
      </c>
      <c r="BC300" s="88">
        <v>13200</v>
      </c>
      <c r="BD300" s="88">
        <v>13200</v>
      </c>
      <c r="BE300" s="88">
        <v>13200</v>
      </c>
      <c r="BF300" s="88">
        <v>13200</v>
      </c>
      <c r="BG300" s="88">
        <v>13200</v>
      </c>
      <c r="BH300" s="88">
        <v>13200</v>
      </c>
      <c r="BI300" s="88">
        <v>13200</v>
      </c>
      <c r="BJ300" s="88">
        <v>13200</v>
      </c>
      <c r="BK300" s="88">
        <v>161.11287598856441</v>
      </c>
      <c r="BL300" s="88">
        <v>160.95409901783989</v>
      </c>
      <c r="BM300" s="88">
        <v>160.7956346888686</v>
      </c>
      <c r="BN300" s="88">
        <v>160.63212642528339</v>
      </c>
      <c r="BO300" s="88">
        <v>160.468950357209</v>
      </c>
      <c r="BP300" s="88">
        <v>160.306105473299</v>
      </c>
      <c r="BQ300" s="88">
        <v>160.1435907663132</v>
      </c>
      <c r="BR300" s="88">
        <v>159.97874919064211</v>
      </c>
      <c r="BS300" s="88">
        <v>159.81689720370079</v>
      </c>
      <c r="BT300" s="88">
        <v>159.65537238008491</v>
      </c>
      <c r="BU300" s="88">
        <v>159.49417372881251</v>
      </c>
      <c r="BV300" s="88">
        <v>159.33330026291131</v>
      </c>
      <c r="BW300" s="88">
        <v>0</v>
      </c>
      <c r="BX300" s="88">
        <v>0</v>
      </c>
      <c r="BY300" s="88">
        <v>0</v>
      </c>
      <c r="BZ300" s="88">
        <v>0</v>
      </c>
      <c r="CA300" s="88">
        <v>0</v>
      </c>
      <c r="CB300" s="88">
        <v>0</v>
      </c>
      <c r="CC300" s="88">
        <v>0</v>
      </c>
      <c r="CD300" s="88">
        <v>0</v>
      </c>
      <c r="CE300" s="88">
        <v>0</v>
      </c>
      <c r="CF300" s="88">
        <v>0</v>
      </c>
      <c r="CG300" s="88">
        <v>0</v>
      </c>
      <c r="CH300" s="88">
        <v>0</v>
      </c>
      <c r="CI300" s="88">
        <v>13200</v>
      </c>
      <c r="CJ300" s="88">
        <v>13200</v>
      </c>
      <c r="CK300" s="88">
        <v>13200</v>
      </c>
      <c r="CL300" s="88">
        <v>13200</v>
      </c>
      <c r="CM300" s="88">
        <v>13200</v>
      </c>
      <c r="CN300" s="88">
        <v>13200</v>
      </c>
      <c r="CO300" s="88">
        <v>13200</v>
      </c>
      <c r="CP300" s="88">
        <v>13200</v>
      </c>
      <c r="CQ300" s="88">
        <v>13200</v>
      </c>
      <c r="CR300" s="88">
        <v>13200</v>
      </c>
      <c r="CS300" s="88">
        <v>13200</v>
      </c>
      <c r="CT300" s="88">
        <v>13200</v>
      </c>
      <c r="CU300" s="88">
        <v>161.11287598856441</v>
      </c>
      <c r="CV300" s="88">
        <v>160.95409901783989</v>
      </c>
      <c r="CW300" s="88">
        <v>160.7956346888686</v>
      </c>
      <c r="CX300" s="88">
        <v>160.63212642528339</v>
      </c>
      <c r="CY300" s="88">
        <v>160.468950357209</v>
      </c>
      <c r="CZ300" s="88">
        <v>160.306105473299</v>
      </c>
      <c r="DA300" s="88">
        <v>160.1435907663132</v>
      </c>
      <c r="DB300" s="88">
        <v>159.97874919064211</v>
      </c>
      <c r="DC300" s="88">
        <v>159.81689720370079</v>
      </c>
      <c r="DD300" s="88">
        <v>159.65537238008491</v>
      </c>
      <c r="DE300" s="88">
        <v>159.49417372881251</v>
      </c>
      <c r="DF300" s="88">
        <v>159.33330026291131</v>
      </c>
      <c r="DG300" s="93"/>
      <c r="DH300" s="91"/>
      <c r="DJ300" s="93"/>
      <c r="DK300" s="91"/>
      <c r="DM300" s="93"/>
      <c r="DN300" s="91"/>
      <c r="DP300" s="93"/>
      <c r="DQ300" s="91"/>
    </row>
    <row r="301" spans="1:121" x14ac:dyDescent="0.3">
      <c r="A301" t="s">
        <v>30</v>
      </c>
      <c r="B301" t="s">
        <v>47</v>
      </c>
      <c r="C301" t="s">
        <v>58</v>
      </c>
      <c r="D301" t="s">
        <v>395</v>
      </c>
      <c r="E301" t="s">
        <v>664</v>
      </c>
      <c r="F301" s="86">
        <v>28800</v>
      </c>
      <c r="G301" s="87">
        <v>12</v>
      </c>
      <c r="H301" s="88">
        <v>1</v>
      </c>
      <c r="I301" s="88">
        <v>1</v>
      </c>
      <c r="J301" s="89">
        <v>0.98900209700948194</v>
      </c>
      <c r="K301" s="88">
        <v>1</v>
      </c>
      <c r="L301" s="88">
        <v>1.011120201892163</v>
      </c>
      <c r="M301" s="88">
        <v>1</v>
      </c>
      <c r="N301" s="90">
        <v>0.56999999999999995</v>
      </c>
      <c r="O301" s="90">
        <v>0.57633851507853284</v>
      </c>
      <c r="P301" s="90">
        <v>0.57828578172238365</v>
      </c>
      <c r="Q301" s="91">
        <v>0</v>
      </c>
      <c r="R301" s="88">
        <v>1</v>
      </c>
      <c r="S301" s="88">
        <v>1.0145364591620769</v>
      </c>
      <c r="T301" s="91">
        <v>0</v>
      </c>
      <c r="U301" s="91">
        <v>0</v>
      </c>
      <c r="V301" s="87">
        <v>0</v>
      </c>
      <c r="W301" s="91">
        <v>0</v>
      </c>
      <c r="X301" s="87">
        <v>1</v>
      </c>
      <c r="Y301" s="90">
        <v>0.57633851507853284</v>
      </c>
      <c r="Z301" s="90">
        <v>0.57828578172238365</v>
      </c>
      <c r="AA301" s="92">
        <v>0</v>
      </c>
      <c r="AB301" s="88">
        <v>0</v>
      </c>
      <c r="AC301" s="87">
        <v>0</v>
      </c>
      <c r="AD301" s="87">
        <v>0</v>
      </c>
      <c r="AE301" s="88">
        <v>1</v>
      </c>
      <c r="AF301" s="88">
        <v>0.99597028697853884</v>
      </c>
      <c r="AG301" s="88">
        <v>0.99597028697853884</v>
      </c>
      <c r="AH301" s="88">
        <v>28800</v>
      </c>
      <c r="AI301" s="88">
        <v>28800</v>
      </c>
      <c r="AJ301" s="88">
        <v>28483.260393873079</v>
      </c>
      <c r="AK301" s="88">
        <v>28800</v>
      </c>
      <c r="AL301" s="88">
        <v>29120.26181449429</v>
      </c>
      <c r="AM301" s="88">
        <v>28800</v>
      </c>
      <c r="AN301" s="88">
        <v>16416</v>
      </c>
      <c r="AO301" s="88">
        <v>16598.549234261751</v>
      </c>
      <c r="AP301" s="88">
        <v>16654.63051360465</v>
      </c>
      <c r="AQ301" s="88">
        <v>0</v>
      </c>
      <c r="AR301" s="88">
        <v>28800</v>
      </c>
      <c r="AS301" s="88">
        <v>29218.650023867809</v>
      </c>
      <c r="AT301" s="88">
        <v>16598.549234261751</v>
      </c>
      <c r="AU301" s="88">
        <v>16654.63051360465</v>
      </c>
      <c r="AV301" s="88">
        <v>28800</v>
      </c>
      <c r="AW301" s="88">
        <v>28512</v>
      </c>
      <c r="AX301" s="88">
        <v>28368</v>
      </c>
      <c r="AY301" s="88">
        <v>28800</v>
      </c>
      <c r="AZ301" s="88">
        <v>28800</v>
      </c>
      <c r="BA301" s="88">
        <v>28800</v>
      </c>
      <c r="BB301" s="88">
        <v>28800</v>
      </c>
      <c r="BC301" s="88">
        <v>28800</v>
      </c>
      <c r="BD301" s="88">
        <v>28800</v>
      </c>
      <c r="BE301" s="88">
        <v>28800</v>
      </c>
      <c r="BF301" s="88">
        <v>28800</v>
      </c>
      <c r="BG301" s="88">
        <v>28800</v>
      </c>
      <c r="BH301" s="88">
        <v>28800</v>
      </c>
      <c r="BI301" s="88">
        <v>28800</v>
      </c>
      <c r="BJ301" s="88">
        <v>28800</v>
      </c>
      <c r="BK301" s="88">
        <v>-115.8430080391437</v>
      </c>
      <c r="BL301" s="88">
        <v>-115.8806799391495</v>
      </c>
      <c r="BM301" s="88">
        <v>-115.918376348769</v>
      </c>
      <c r="BN301" s="88">
        <v>-115.9573763981733</v>
      </c>
      <c r="BO301" s="88">
        <v>-115.99640269907781</v>
      </c>
      <c r="BP301" s="88">
        <v>-116.0354552780021</v>
      </c>
      <c r="BQ301" s="88">
        <v>-116.0745341614913</v>
      </c>
      <c r="BR301" s="88">
        <v>-116.1142806647415</v>
      </c>
      <c r="BS301" s="88">
        <v>-116.1534126694757</v>
      </c>
      <c r="BT301" s="88">
        <v>-116.19257105907541</v>
      </c>
      <c r="BU301" s="88">
        <v>-116.2317558602393</v>
      </c>
      <c r="BV301" s="88">
        <v>-116.2709670996946</v>
      </c>
      <c r="BW301" s="88">
        <v>0</v>
      </c>
      <c r="BX301" s="88">
        <v>0</v>
      </c>
      <c r="BY301" s="88">
        <v>0</v>
      </c>
      <c r="BZ301" s="88">
        <v>0</v>
      </c>
      <c r="CA301" s="88">
        <v>0</v>
      </c>
      <c r="CB301" s="88">
        <v>0</v>
      </c>
      <c r="CC301" s="88">
        <v>0</v>
      </c>
      <c r="CD301" s="88">
        <v>0</v>
      </c>
      <c r="CE301" s="88">
        <v>0</v>
      </c>
      <c r="CF301" s="88">
        <v>0</v>
      </c>
      <c r="CG301" s="88">
        <v>0</v>
      </c>
      <c r="CH301" s="88">
        <v>0</v>
      </c>
      <c r="CI301" s="88">
        <v>28800</v>
      </c>
      <c r="CJ301" s="88">
        <v>28800</v>
      </c>
      <c r="CK301" s="88">
        <v>28800</v>
      </c>
      <c r="CL301" s="88">
        <v>28800</v>
      </c>
      <c r="CM301" s="88">
        <v>28800</v>
      </c>
      <c r="CN301" s="88">
        <v>28800</v>
      </c>
      <c r="CO301" s="88">
        <v>28800</v>
      </c>
      <c r="CP301" s="88">
        <v>28800</v>
      </c>
      <c r="CQ301" s="88">
        <v>28800</v>
      </c>
      <c r="CR301" s="88">
        <v>28800</v>
      </c>
      <c r="CS301" s="88">
        <v>28800</v>
      </c>
      <c r="CT301" s="88">
        <v>28800</v>
      </c>
      <c r="CU301" s="88">
        <v>-115.8430080391437</v>
      </c>
      <c r="CV301" s="88">
        <v>-115.8806799391495</v>
      </c>
      <c r="CW301" s="88">
        <v>-115.918376348769</v>
      </c>
      <c r="CX301" s="88">
        <v>-115.9573763981733</v>
      </c>
      <c r="CY301" s="88">
        <v>-115.99640269907781</v>
      </c>
      <c r="CZ301" s="88">
        <v>-116.0354552780021</v>
      </c>
      <c r="DA301" s="88">
        <v>-116.0745341614913</v>
      </c>
      <c r="DB301" s="88">
        <v>-116.1142806647415</v>
      </c>
      <c r="DC301" s="88">
        <v>-116.1534126694757</v>
      </c>
      <c r="DD301" s="88">
        <v>-116.19257105907541</v>
      </c>
      <c r="DE301" s="88">
        <v>-116.2317558602393</v>
      </c>
      <c r="DF301" s="88">
        <v>-116.2709670996946</v>
      </c>
      <c r="DG301" s="93"/>
      <c r="DH301" s="91"/>
      <c r="DJ301" s="93"/>
      <c r="DK301" s="91"/>
      <c r="DM301" s="93"/>
      <c r="DN301" s="91"/>
      <c r="DP301" s="93"/>
      <c r="DQ301" s="91"/>
    </row>
    <row r="302" spans="1:121" x14ac:dyDescent="0.3">
      <c r="A302" t="s">
        <v>30</v>
      </c>
      <c r="B302" t="s">
        <v>47</v>
      </c>
      <c r="C302" t="s">
        <v>65</v>
      </c>
      <c r="D302" t="s">
        <v>397</v>
      </c>
      <c r="E302" t="s">
        <v>665</v>
      </c>
      <c r="F302" s="86">
        <v>24000</v>
      </c>
      <c r="G302" s="87">
        <v>12</v>
      </c>
      <c r="H302" s="88">
        <v>1</v>
      </c>
      <c r="I302" s="88">
        <v>1.056875</v>
      </c>
      <c r="J302" s="89">
        <v>0.99671150186191637</v>
      </c>
      <c r="K302" s="88">
        <v>0.94618568894145472</v>
      </c>
      <c r="L302" s="88">
        <v>1.0032993480379631</v>
      </c>
      <c r="M302" s="88">
        <v>1</v>
      </c>
      <c r="N302" s="90">
        <v>0.55400000000000005</v>
      </c>
      <c r="O302" s="90">
        <v>0.52591634660014819</v>
      </c>
      <c r="P302" s="90">
        <v>0.51297920070736391</v>
      </c>
      <c r="Q302" s="91">
        <v>0</v>
      </c>
      <c r="R302" s="88">
        <v>0.93896713615023475</v>
      </c>
      <c r="S302" s="88">
        <v>0.98614232626957132</v>
      </c>
      <c r="T302" s="91">
        <v>5.6875000000000009E-2</v>
      </c>
      <c r="U302" s="91">
        <v>7.6877587226491517E-3</v>
      </c>
      <c r="V302" s="87">
        <v>0</v>
      </c>
      <c r="W302" s="91">
        <v>0</v>
      </c>
      <c r="X302" s="87">
        <v>1</v>
      </c>
      <c r="Y302" s="90">
        <v>0.52591634660014819</v>
      </c>
      <c r="Z302" s="90">
        <v>0.51297920070736391</v>
      </c>
      <c r="AA302" s="92">
        <v>0</v>
      </c>
      <c r="AB302" s="88">
        <v>0</v>
      </c>
      <c r="AC302" s="87">
        <v>0</v>
      </c>
      <c r="AD302" s="87">
        <v>1</v>
      </c>
      <c r="AE302" s="88">
        <v>1.0325</v>
      </c>
      <c r="AF302" s="88">
        <v>1.0244717843847171</v>
      </c>
      <c r="AG302" s="88">
        <v>1.057745057252871</v>
      </c>
      <c r="AH302" s="88">
        <v>24000</v>
      </c>
      <c r="AI302" s="88">
        <v>25365</v>
      </c>
      <c r="AJ302" s="88">
        <v>23921.076044685989</v>
      </c>
      <c r="AK302" s="88">
        <v>22708.456534594909</v>
      </c>
      <c r="AL302" s="88">
        <v>24079.184352911121</v>
      </c>
      <c r="AM302" s="88">
        <v>24000</v>
      </c>
      <c r="AN302" s="88">
        <v>13296</v>
      </c>
      <c r="AO302" s="88">
        <v>12621.99231840356</v>
      </c>
      <c r="AP302" s="88">
        <v>12311.50081697673</v>
      </c>
      <c r="AQ302" s="88">
        <v>0</v>
      </c>
      <c r="AR302" s="88">
        <v>22535.211267605631</v>
      </c>
      <c r="AS302" s="88">
        <v>23667.415830469708</v>
      </c>
      <c r="AT302" s="88">
        <v>12621.99231840356</v>
      </c>
      <c r="AU302" s="88">
        <v>12311.50081697673</v>
      </c>
      <c r="AV302" s="88">
        <v>24000</v>
      </c>
      <c r="AW302" s="88">
        <v>23760</v>
      </c>
      <c r="AX302" s="88">
        <v>24000</v>
      </c>
      <c r="AY302" s="88">
        <v>24000</v>
      </c>
      <c r="AZ302" s="88">
        <v>24000</v>
      </c>
      <c r="BA302" s="88">
        <v>24000</v>
      </c>
      <c r="BB302" s="88">
        <v>24000</v>
      </c>
      <c r="BC302" s="88">
        <v>24000</v>
      </c>
      <c r="BD302" s="88">
        <v>24000</v>
      </c>
      <c r="BE302" s="88">
        <v>24000</v>
      </c>
      <c r="BF302" s="88">
        <v>24000</v>
      </c>
      <c r="BG302" s="88">
        <v>24000</v>
      </c>
      <c r="BH302" s="88">
        <v>24000</v>
      </c>
      <c r="BI302" s="88">
        <v>24000</v>
      </c>
      <c r="BJ302" s="88">
        <v>24000</v>
      </c>
      <c r="BK302" s="88">
        <v>2057.436868335325</v>
      </c>
      <c r="BL302" s="88">
        <v>2014.7031354236181</v>
      </c>
      <c r="BM302" s="88">
        <v>1972.1093381434739</v>
      </c>
      <c r="BN302" s="88">
        <v>2204.785744680853</v>
      </c>
      <c r="BO302" s="88">
        <v>2402.1644273584589</v>
      </c>
      <c r="BP302" s="88">
        <v>2357.6967032967</v>
      </c>
      <c r="BQ302" s="88">
        <v>707.39766807243495</v>
      </c>
      <c r="BR302" s="88">
        <v>665.24531520871483</v>
      </c>
      <c r="BS302" s="88">
        <v>623.91297181473431</v>
      </c>
      <c r="BT302" s="88">
        <v>582.71892054959551</v>
      </c>
      <c r="BU302" s="88">
        <v>541.66246851385404</v>
      </c>
      <c r="BV302" s="88">
        <v>500.74292742927008</v>
      </c>
      <c r="BW302" s="88">
        <v>1559.9999999999991</v>
      </c>
      <c r="BX302" s="88">
        <v>1559.9999999999991</v>
      </c>
      <c r="BY302" s="88">
        <v>1559.9999999999991</v>
      </c>
      <c r="BZ302" s="88">
        <v>1559.9999999999991</v>
      </c>
      <c r="CA302" s="88">
        <v>1559.9999999999991</v>
      </c>
      <c r="CB302" s="88">
        <v>1559.9999999999991</v>
      </c>
      <c r="CC302" s="88">
        <v>0</v>
      </c>
      <c r="CD302" s="88">
        <v>0</v>
      </c>
      <c r="CE302" s="88">
        <v>0</v>
      </c>
      <c r="CF302" s="88">
        <v>0</v>
      </c>
      <c r="CG302" s="88">
        <v>0</v>
      </c>
      <c r="CH302" s="88">
        <v>0</v>
      </c>
      <c r="CI302" s="88">
        <v>24000</v>
      </c>
      <c r="CJ302" s="88">
        <v>24000</v>
      </c>
      <c r="CK302" s="88">
        <v>24000</v>
      </c>
      <c r="CL302" s="88">
        <v>24000</v>
      </c>
      <c r="CM302" s="88">
        <v>24000</v>
      </c>
      <c r="CN302" s="88">
        <v>24000</v>
      </c>
      <c r="CO302" s="88">
        <v>24000</v>
      </c>
      <c r="CP302" s="88">
        <v>24000</v>
      </c>
      <c r="CQ302" s="88">
        <v>24000</v>
      </c>
      <c r="CR302" s="88">
        <v>24000</v>
      </c>
      <c r="CS302" s="88">
        <v>24000</v>
      </c>
      <c r="CT302" s="88">
        <v>24000</v>
      </c>
      <c r="CU302" s="88">
        <v>467.07687167636362</v>
      </c>
      <c r="CV302" s="88">
        <v>426.95130086724652</v>
      </c>
      <c r="CW302" s="88">
        <v>386.95712501734653</v>
      </c>
      <c r="CX302" s="88">
        <v>605.43262411347598</v>
      </c>
      <c r="CY302" s="88">
        <v>790.76472052437725</v>
      </c>
      <c r="CZ302" s="88">
        <v>749.01098901098533</v>
      </c>
      <c r="DA302" s="88">
        <v>707.39766807243495</v>
      </c>
      <c r="DB302" s="88">
        <v>665.24531520871483</v>
      </c>
      <c r="DC302" s="88">
        <v>623.91297181473431</v>
      </c>
      <c r="DD302" s="88">
        <v>582.71892054959551</v>
      </c>
      <c r="DE302" s="88">
        <v>541.66246851385404</v>
      </c>
      <c r="DF302" s="88">
        <v>500.74292742927008</v>
      </c>
      <c r="DG302" s="93">
        <v>46204</v>
      </c>
      <c r="DH302" s="91">
        <v>6.5000000000000002E-2</v>
      </c>
      <c r="DI302" t="s">
        <v>302</v>
      </c>
      <c r="DJ302" s="93"/>
      <c r="DK302" s="91"/>
      <c r="DM302" s="93"/>
      <c r="DN302" s="91"/>
      <c r="DP302" s="93"/>
      <c r="DQ302" s="91"/>
    </row>
    <row r="303" spans="1:121" x14ac:dyDescent="0.3">
      <c r="A303" t="s">
        <v>30</v>
      </c>
      <c r="B303" t="s">
        <v>47</v>
      </c>
      <c r="C303" t="s">
        <v>66</v>
      </c>
      <c r="D303" t="s">
        <v>399</v>
      </c>
      <c r="E303" t="s">
        <v>666</v>
      </c>
      <c r="F303" s="86">
        <v>19200</v>
      </c>
      <c r="G303" s="87">
        <v>12</v>
      </c>
      <c r="H303" s="88">
        <v>1.06</v>
      </c>
      <c r="I303" s="88">
        <v>1.0611166666666669</v>
      </c>
      <c r="J303" s="89">
        <v>0.98800419401896411</v>
      </c>
      <c r="K303" s="88">
        <v>0.99894764948874615</v>
      </c>
      <c r="L303" s="88">
        <v>1.012141452489427</v>
      </c>
      <c r="M303" s="88">
        <v>1</v>
      </c>
      <c r="N303" s="90">
        <v>0.53800000000000003</v>
      </c>
      <c r="O303" s="90">
        <v>0.543959062803968</v>
      </c>
      <c r="P303" s="90">
        <v>0.5329068634179368</v>
      </c>
      <c r="Q303" s="91">
        <v>0</v>
      </c>
      <c r="R303" s="88">
        <v>0.97205346294046147</v>
      </c>
      <c r="S303" s="88">
        <v>1.019011032976213</v>
      </c>
      <c r="T303" s="91">
        <v>1.0534591194968359E-3</v>
      </c>
      <c r="U303" s="91">
        <v>2.7667394411547749E-2</v>
      </c>
      <c r="V303" s="87">
        <v>0</v>
      </c>
      <c r="W303" s="91">
        <v>0</v>
      </c>
      <c r="X303" s="87">
        <v>1</v>
      </c>
      <c r="Y303" s="90">
        <v>0.543959062803968</v>
      </c>
      <c r="Z303" s="90">
        <v>0.5329068634179368</v>
      </c>
      <c r="AA303" s="92">
        <v>0</v>
      </c>
      <c r="AB303" s="88">
        <v>0</v>
      </c>
      <c r="AC303" s="87">
        <v>1</v>
      </c>
      <c r="AD303" s="87">
        <v>1</v>
      </c>
      <c r="AE303" s="88">
        <v>1.0149999999999999</v>
      </c>
      <c r="AF303" s="88">
        <v>0.99194865631796525</v>
      </c>
      <c r="AG303" s="88">
        <v>1.0068277892716959</v>
      </c>
      <c r="AH303" s="88">
        <v>20352</v>
      </c>
      <c r="AI303" s="88">
        <v>20373.439999999999</v>
      </c>
      <c r="AJ303" s="88">
        <v>18969.680525164109</v>
      </c>
      <c r="AK303" s="88">
        <v>19179.79487018393</v>
      </c>
      <c r="AL303" s="88">
        <v>19433.115887797001</v>
      </c>
      <c r="AM303" s="88">
        <v>19200</v>
      </c>
      <c r="AN303" s="88">
        <v>10329.6</v>
      </c>
      <c r="AO303" s="88">
        <v>10444.014005836179</v>
      </c>
      <c r="AP303" s="88">
        <v>10231.811777624391</v>
      </c>
      <c r="AQ303" s="88">
        <v>0</v>
      </c>
      <c r="AR303" s="88">
        <v>18663.426488456858</v>
      </c>
      <c r="AS303" s="88">
        <v>19565.01183314329</v>
      </c>
      <c r="AT303" s="88">
        <v>10444.014005836179</v>
      </c>
      <c r="AU303" s="88">
        <v>10231.811777624391</v>
      </c>
      <c r="AV303" s="88">
        <v>19200</v>
      </c>
      <c r="AW303" s="88">
        <v>19008</v>
      </c>
      <c r="AX303" s="88">
        <v>18816</v>
      </c>
      <c r="AY303" s="88">
        <v>19200</v>
      </c>
      <c r="AZ303" s="88">
        <v>19200</v>
      </c>
      <c r="BA303" s="88">
        <v>19200</v>
      </c>
      <c r="BB303" s="88">
        <v>19200</v>
      </c>
      <c r="BC303" s="88">
        <v>19200</v>
      </c>
      <c r="BD303" s="88">
        <v>19200</v>
      </c>
      <c r="BE303" s="88">
        <v>19200</v>
      </c>
      <c r="BF303" s="88">
        <v>19200</v>
      </c>
      <c r="BG303" s="88">
        <v>19200</v>
      </c>
      <c r="BH303" s="88">
        <v>19200</v>
      </c>
      <c r="BI303" s="88">
        <v>19200</v>
      </c>
      <c r="BJ303" s="88">
        <v>19200</v>
      </c>
      <c r="BK303" s="88">
        <v>988.73849737914975</v>
      </c>
      <c r="BL303" s="88">
        <v>-154.12020848452809</v>
      </c>
      <c r="BM303" s="88">
        <v>-154.22026121496799</v>
      </c>
      <c r="BN303" s="88">
        <v>-154.3238422408663</v>
      </c>
      <c r="BO303" s="88">
        <v>-154.42756249931119</v>
      </c>
      <c r="BP303" s="88">
        <v>-154.53142227122359</v>
      </c>
      <c r="BQ303" s="88">
        <v>-154.63542183828099</v>
      </c>
      <c r="BR303" s="88">
        <v>-154.74126985879479</v>
      </c>
      <c r="BS303" s="88">
        <v>-154.8455521675713</v>
      </c>
      <c r="BT303" s="88">
        <v>606.85202586921469</v>
      </c>
      <c r="BU303" s="88">
        <v>606.74327942120385</v>
      </c>
      <c r="BV303" s="88">
        <v>606.63438610474714</v>
      </c>
      <c r="BW303" s="88">
        <v>1152.0000000000009</v>
      </c>
      <c r="BX303" s="88">
        <v>0</v>
      </c>
      <c r="BY303" s="88">
        <v>0</v>
      </c>
      <c r="BZ303" s="88">
        <v>0</v>
      </c>
      <c r="CA303" s="88">
        <v>0</v>
      </c>
      <c r="CB303" s="88">
        <v>0</v>
      </c>
      <c r="CC303" s="88">
        <v>0</v>
      </c>
      <c r="CD303" s="88">
        <v>0</v>
      </c>
      <c r="CE303" s="88">
        <v>0</v>
      </c>
      <c r="CF303" s="88">
        <v>768.00000000000068</v>
      </c>
      <c r="CG303" s="88">
        <v>768.00000000000068</v>
      </c>
      <c r="CH303" s="88">
        <v>768.00000000000068</v>
      </c>
      <c r="CI303" s="88">
        <v>19200</v>
      </c>
      <c r="CJ303" s="88">
        <v>19200</v>
      </c>
      <c r="CK303" s="88">
        <v>19200</v>
      </c>
      <c r="CL303" s="88">
        <v>19200</v>
      </c>
      <c r="CM303" s="88">
        <v>19200</v>
      </c>
      <c r="CN303" s="88">
        <v>19200</v>
      </c>
      <c r="CO303" s="88">
        <v>19200</v>
      </c>
      <c r="CP303" s="88">
        <v>19200</v>
      </c>
      <c r="CQ303" s="88">
        <v>19200</v>
      </c>
      <c r="CR303" s="88">
        <v>19200</v>
      </c>
      <c r="CS303" s="88">
        <v>19200</v>
      </c>
      <c r="CT303" s="88">
        <v>19200</v>
      </c>
      <c r="CU303" s="88">
        <v>-154.0202854913673</v>
      </c>
      <c r="CV303" s="88">
        <v>-154.12020848452809</v>
      </c>
      <c r="CW303" s="88">
        <v>-154.22026121496799</v>
      </c>
      <c r="CX303" s="88">
        <v>-154.3238422408663</v>
      </c>
      <c r="CY303" s="88">
        <v>-154.42756249931119</v>
      </c>
      <c r="CZ303" s="88">
        <v>-154.53142227122359</v>
      </c>
      <c r="DA303" s="88">
        <v>-154.63542183828099</v>
      </c>
      <c r="DB303" s="88">
        <v>-154.74126985879479</v>
      </c>
      <c r="DC303" s="88">
        <v>-154.8455521675713</v>
      </c>
      <c r="DD303" s="88">
        <v>-154.94997512575571</v>
      </c>
      <c r="DE303" s="88">
        <v>-155.05453901807579</v>
      </c>
      <c r="DF303" s="88">
        <v>-155.1592441300528</v>
      </c>
      <c r="DG303" s="93">
        <v>46054</v>
      </c>
      <c r="DH303" s="91">
        <v>0.06</v>
      </c>
      <c r="DI303" t="s">
        <v>301</v>
      </c>
      <c r="DJ303" s="93">
        <v>46661</v>
      </c>
      <c r="DK303" s="91">
        <v>0.04</v>
      </c>
      <c r="DL303" t="s">
        <v>302</v>
      </c>
      <c r="DM303" s="93"/>
      <c r="DN303" s="91"/>
      <c r="DP303" s="93"/>
      <c r="DQ303" s="91"/>
    </row>
    <row r="304" spans="1:121" x14ac:dyDescent="0.3">
      <c r="A304" t="s">
        <v>30</v>
      </c>
      <c r="B304" t="s">
        <v>47</v>
      </c>
      <c r="C304" t="s">
        <v>67</v>
      </c>
      <c r="D304" t="s">
        <v>401</v>
      </c>
      <c r="E304" t="s">
        <v>667</v>
      </c>
      <c r="F304" s="86">
        <v>14400</v>
      </c>
      <c r="G304" s="87">
        <v>12</v>
      </c>
      <c r="H304" s="88">
        <v>1</v>
      </c>
      <c r="I304" s="88">
        <v>1.0634902257324339</v>
      </c>
      <c r="J304" s="89">
        <v>0.99099790299051793</v>
      </c>
      <c r="K304" s="88">
        <v>0.94030013234140641</v>
      </c>
      <c r="L304" s="88">
        <v>1</v>
      </c>
      <c r="M304" s="88">
        <v>1</v>
      </c>
      <c r="N304" s="90">
        <v>0.56599999999999995</v>
      </c>
      <c r="O304" s="90">
        <v>0.53220987490523597</v>
      </c>
      <c r="P304" s="90">
        <v>0.48382715900475998</v>
      </c>
      <c r="Q304" s="91">
        <v>0</v>
      </c>
      <c r="R304" s="88">
        <v>0.85481830212855137</v>
      </c>
      <c r="S304" s="88">
        <v>1</v>
      </c>
      <c r="T304" s="91">
        <v>6.3490225732434125E-2</v>
      </c>
      <c r="U304" s="91">
        <v>9.9999999999999867E-2</v>
      </c>
      <c r="V304" s="87">
        <v>1</v>
      </c>
      <c r="W304" s="91">
        <v>0.1</v>
      </c>
      <c r="X304" s="87">
        <v>1</v>
      </c>
      <c r="Y304" s="90">
        <v>0.5267617901106082</v>
      </c>
      <c r="Z304" s="90">
        <v>0.49817618464607782</v>
      </c>
      <c r="AA304" s="92">
        <v>-0.54480847946277722</v>
      </c>
      <c r="AB304" s="88">
        <v>0</v>
      </c>
      <c r="AC304" s="87">
        <v>1</v>
      </c>
      <c r="AD304" s="87">
        <v>1</v>
      </c>
      <c r="AE304" s="88">
        <v>1.107</v>
      </c>
      <c r="AF304" s="88">
        <v>1.004037852440528</v>
      </c>
      <c r="AG304" s="88">
        <v>1.111469994776056</v>
      </c>
      <c r="AH304" s="88">
        <v>14400</v>
      </c>
      <c r="AI304" s="88">
        <v>15314.259250547049</v>
      </c>
      <c r="AJ304" s="88">
        <v>14270.36980306346</v>
      </c>
      <c r="AK304" s="88">
        <v>13540.32190571625</v>
      </c>
      <c r="AL304" s="88">
        <v>14400</v>
      </c>
      <c r="AM304" s="88">
        <v>14400</v>
      </c>
      <c r="AN304" s="88">
        <v>8150.4</v>
      </c>
      <c r="AO304" s="88">
        <v>7663.8221986353983</v>
      </c>
      <c r="AP304" s="88">
        <v>6967.1110896685441</v>
      </c>
      <c r="AQ304" s="88">
        <v>0</v>
      </c>
      <c r="AR304" s="88">
        <v>12309.38355065114</v>
      </c>
      <c r="AS304" s="88">
        <v>14400</v>
      </c>
      <c r="AT304" s="88">
        <v>7585.3697775927576</v>
      </c>
      <c r="AU304" s="88">
        <v>7173.7370589035208</v>
      </c>
      <c r="AV304" s="88">
        <v>14400</v>
      </c>
      <c r="AW304" s="88">
        <v>14256</v>
      </c>
      <c r="AX304" s="88">
        <v>14328</v>
      </c>
      <c r="AY304" s="88">
        <v>14400</v>
      </c>
      <c r="AZ304" s="88">
        <v>14400</v>
      </c>
      <c r="BA304" s="88">
        <v>14400</v>
      </c>
      <c r="BB304" s="88">
        <v>14400</v>
      </c>
      <c r="BC304" s="88">
        <v>14400</v>
      </c>
      <c r="BD304" s="88">
        <v>14400</v>
      </c>
      <c r="BE304" s="88">
        <v>14400</v>
      </c>
      <c r="BF304" s="88">
        <v>14400</v>
      </c>
      <c r="BG304" s="88">
        <v>14400</v>
      </c>
      <c r="BH304" s="88">
        <v>14400</v>
      </c>
      <c r="BI304" s="88">
        <v>14400</v>
      </c>
      <c r="BJ304" s="88">
        <v>14400</v>
      </c>
      <c r="BK304" s="88">
        <v>1504.0773148173821</v>
      </c>
      <c r="BL304" s="88">
        <v>1504.05637173436</v>
      </c>
      <c r="BM304" s="88">
        <v>1504.0354423369811</v>
      </c>
      <c r="BN304" s="88">
        <v>2140.1743705573649</v>
      </c>
      <c r="BO304" s="88">
        <v>2140.1518962683399</v>
      </c>
      <c r="BP304" s="88">
        <v>2140.1294371480099</v>
      </c>
      <c r="BQ304" s="88">
        <v>2140.106993181028</v>
      </c>
      <c r="BR304" s="88">
        <v>2140.0841967923689</v>
      </c>
      <c r="BS304" s="88">
        <v>2140.0617833338879</v>
      </c>
      <c r="BT304" s="88">
        <v>636.39944089324524</v>
      </c>
      <c r="BU304" s="88">
        <v>636.37909247558719</v>
      </c>
      <c r="BV304" s="88">
        <v>636.35875776397666</v>
      </c>
      <c r="BW304" s="88">
        <v>1440.0000000000009</v>
      </c>
      <c r="BX304" s="88">
        <v>1440.0000000000009</v>
      </c>
      <c r="BY304" s="88">
        <v>1440.0000000000009</v>
      </c>
      <c r="BZ304" s="88">
        <v>2073.6000000000022</v>
      </c>
      <c r="CA304" s="88">
        <v>2073.6000000000022</v>
      </c>
      <c r="CB304" s="88">
        <v>2073.6000000000022</v>
      </c>
      <c r="CC304" s="88">
        <v>2073.6000000000022</v>
      </c>
      <c r="CD304" s="88">
        <v>2073.6000000000022</v>
      </c>
      <c r="CE304" s="88">
        <v>2073.6000000000022</v>
      </c>
      <c r="CF304" s="88">
        <v>576.00000000000045</v>
      </c>
      <c r="CG304" s="88">
        <v>576.00000000000045</v>
      </c>
      <c r="CH304" s="88">
        <v>576.00000000000045</v>
      </c>
      <c r="CI304" s="88">
        <v>14400</v>
      </c>
      <c r="CJ304" s="88">
        <v>14400</v>
      </c>
      <c r="CK304" s="88">
        <v>14400</v>
      </c>
      <c r="CL304" s="88">
        <v>14400</v>
      </c>
      <c r="CM304" s="88">
        <v>14400</v>
      </c>
      <c r="CN304" s="88">
        <v>14400</v>
      </c>
      <c r="CO304" s="88">
        <v>14400</v>
      </c>
      <c r="CP304" s="88">
        <v>14400</v>
      </c>
      <c r="CQ304" s="88">
        <v>14400</v>
      </c>
      <c r="CR304" s="88">
        <v>14400</v>
      </c>
      <c r="CS304" s="88">
        <v>14400</v>
      </c>
      <c r="CT304" s="88">
        <v>14400</v>
      </c>
      <c r="CU304" s="88">
        <v>58.252104379435821</v>
      </c>
      <c r="CV304" s="88">
        <v>58.233065213054758</v>
      </c>
      <c r="CW304" s="88">
        <v>58.214038488161528</v>
      </c>
      <c r="CX304" s="88">
        <v>58.194379857834733</v>
      </c>
      <c r="CY304" s="88">
        <v>58.1747345002956</v>
      </c>
      <c r="CZ304" s="88">
        <v>58.155102402105292</v>
      </c>
      <c r="DA304" s="88">
        <v>58.135483549847322</v>
      </c>
      <c r="DB304" s="88">
        <v>58.115556636684573</v>
      </c>
      <c r="DC304" s="88">
        <v>58.095964452697402</v>
      </c>
      <c r="DD304" s="88">
        <v>58.076385474274872</v>
      </c>
      <c r="DE304" s="88">
        <v>58.056819688064458</v>
      </c>
      <c r="DF304" s="88">
        <v>58.037267080745643</v>
      </c>
      <c r="DG304" s="93">
        <v>46296</v>
      </c>
      <c r="DH304" s="91">
        <v>0.1</v>
      </c>
      <c r="DI304" t="s">
        <v>403</v>
      </c>
      <c r="DJ304" s="93">
        <v>46478</v>
      </c>
      <c r="DK304" s="91">
        <v>0.04</v>
      </c>
      <c r="DL304" t="s">
        <v>302</v>
      </c>
      <c r="DM304" s="93"/>
      <c r="DN304" s="91"/>
      <c r="DP304" s="93"/>
      <c r="DQ304" s="91"/>
    </row>
    <row r="305" spans="1:121" x14ac:dyDescent="0.3">
      <c r="A305" t="s">
        <v>30</v>
      </c>
      <c r="B305" t="s">
        <v>47</v>
      </c>
      <c r="C305" t="s">
        <v>73</v>
      </c>
      <c r="D305" t="s">
        <v>404</v>
      </c>
      <c r="E305" t="s">
        <v>668</v>
      </c>
      <c r="F305" s="86">
        <v>9600</v>
      </c>
      <c r="G305" s="87">
        <v>12</v>
      </c>
      <c r="H305" s="88">
        <v>1.03</v>
      </c>
      <c r="I305" s="88">
        <v>1.0290625</v>
      </c>
      <c r="J305" s="89">
        <v>0.99399161196207142</v>
      </c>
      <c r="K305" s="88">
        <v>1.000911023382933</v>
      </c>
      <c r="L305" s="88">
        <v>1.006044706983058</v>
      </c>
      <c r="M305" s="88">
        <v>1</v>
      </c>
      <c r="N305" s="90">
        <v>0.55000000000000004</v>
      </c>
      <c r="O305" s="90">
        <v>0.55382868047946798</v>
      </c>
      <c r="P305" s="90">
        <v>0.54600720614742337</v>
      </c>
      <c r="Q305" s="91">
        <v>0</v>
      </c>
      <c r="R305" s="88">
        <v>0.99999999999999978</v>
      </c>
      <c r="S305" s="88">
        <v>0.9927403748134972</v>
      </c>
      <c r="T305" s="91">
        <v>-9.1019417475712849E-4</v>
      </c>
      <c r="U305" s="91">
        <v>9.1102338293347351E-4</v>
      </c>
      <c r="V305" s="87">
        <v>0</v>
      </c>
      <c r="W305" s="91">
        <v>0</v>
      </c>
      <c r="X305" s="87">
        <v>1</v>
      </c>
      <c r="Y305" s="90">
        <v>0.55382868047946798</v>
      </c>
      <c r="Z305" s="90">
        <v>0.54600720614742337</v>
      </c>
      <c r="AA305" s="92">
        <v>0</v>
      </c>
      <c r="AB305" s="88">
        <v>0</v>
      </c>
      <c r="AC305" s="87">
        <v>1</v>
      </c>
      <c r="AD305" s="87">
        <v>0</v>
      </c>
      <c r="AE305" s="88">
        <v>1.0075000000000001</v>
      </c>
      <c r="AF305" s="88">
        <v>1.016200824295963</v>
      </c>
      <c r="AG305" s="88">
        <v>1.0238230697317869</v>
      </c>
      <c r="AH305" s="88">
        <v>9888</v>
      </c>
      <c r="AI305" s="88">
        <v>9879.0000000000018</v>
      </c>
      <c r="AJ305" s="88">
        <v>9542.3194748358856</v>
      </c>
      <c r="AK305" s="88">
        <v>9608.7458244761583</v>
      </c>
      <c r="AL305" s="88">
        <v>9658.0291870373621</v>
      </c>
      <c r="AM305" s="88">
        <v>9600</v>
      </c>
      <c r="AN305" s="88">
        <v>5280</v>
      </c>
      <c r="AO305" s="88">
        <v>5316.7553326028928</v>
      </c>
      <c r="AP305" s="88">
        <v>5241.6691790152636</v>
      </c>
      <c r="AQ305" s="88">
        <v>0</v>
      </c>
      <c r="AR305" s="88">
        <v>9599.9999999999982</v>
      </c>
      <c r="AS305" s="88">
        <v>9530.3075982095725</v>
      </c>
      <c r="AT305" s="88">
        <v>5316.7553326028928</v>
      </c>
      <c r="AU305" s="88">
        <v>5241.6691790152636</v>
      </c>
      <c r="AV305" s="88">
        <v>9600</v>
      </c>
      <c r="AW305" s="88">
        <v>9504</v>
      </c>
      <c r="AX305" s="88">
        <v>9696</v>
      </c>
      <c r="AY305" s="88">
        <v>9600</v>
      </c>
      <c r="AZ305" s="88">
        <v>9600</v>
      </c>
      <c r="BA305" s="88">
        <v>9600</v>
      </c>
      <c r="BB305" s="88">
        <v>9600</v>
      </c>
      <c r="BC305" s="88">
        <v>9600</v>
      </c>
      <c r="BD305" s="88">
        <v>9600</v>
      </c>
      <c r="BE305" s="88">
        <v>9600</v>
      </c>
      <c r="BF305" s="88">
        <v>9600</v>
      </c>
      <c r="BG305" s="88">
        <v>9600</v>
      </c>
      <c r="BH305" s="88">
        <v>9600</v>
      </c>
      <c r="BI305" s="88">
        <v>9600</v>
      </c>
      <c r="BJ305" s="88">
        <v>9600</v>
      </c>
      <c r="BK305" s="88">
        <v>449.38079055625269</v>
      </c>
      <c r="BL305" s="88">
        <v>449.16819612834121</v>
      </c>
      <c r="BM305" s="88">
        <v>448.95616108460172</v>
      </c>
      <c r="BN305" s="88">
        <v>156.05584875409161</v>
      </c>
      <c r="BO305" s="88">
        <v>155.8441558441572</v>
      </c>
      <c r="BP305" s="88">
        <v>155.63303648759609</v>
      </c>
      <c r="BQ305" s="88">
        <v>155.42248835662139</v>
      </c>
      <c r="BR305" s="88">
        <v>155.20907158044039</v>
      </c>
      <c r="BS305" s="88">
        <v>154.99966823701141</v>
      </c>
      <c r="BT305" s="88">
        <v>154.79082917347779</v>
      </c>
      <c r="BU305" s="88">
        <v>154.58255211205409</v>
      </c>
      <c r="BV305" s="88">
        <v>154.3748347872054</v>
      </c>
      <c r="BW305" s="88">
        <v>288.00000000000023</v>
      </c>
      <c r="BX305" s="88">
        <v>288.00000000000023</v>
      </c>
      <c r="BY305" s="88">
        <v>288.00000000000023</v>
      </c>
      <c r="BZ305" s="88">
        <v>0</v>
      </c>
      <c r="CA305" s="88">
        <v>0</v>
      </c>
      <c r="CB305" s="88">
        <v>0</v>
      </c>
      <c r="CC305" s="88">
        <v>0</v>
      </c>
      <c r="CD305" s="88">
        <v>0</v>
      </c>
      <c r="CE305" s="88">
        <v>0</v>
      </c>
      <c r="CF305" s="88">
        <v>0</v>
      </c>
      <c r="CG305" s="88">
        <v>0</v>
      </c>
      <c r="CH305" s="88">
        <v>0</v>
      </c>
      <c r="CI305" s="88">
        <v>9600</v>
      </c>
      <c r="CJ305" s="88">
        <v>9600</v>
      </c>
      <c r="CK305" s="88">
        <v>9600</v>
      </c>
      <c r="CL305" s="88">
        <v>9600</v>
      </c>
      <c r="CM305" s="88">
        <v>9600</v>
      </c>
      <c r="CN305" s="88">
        <v>9600</v>
      </c>
      <c r="CO305" s="88">
        <v>9600</v>
      </c>
      <c r="CP305" s="88">
        <v>9600</v>
      </c>
      <c r="CQ305" s="88">
        <v>9600</v>
      </c>
      <c r="CR305" s="88">
        <v>9600</v>
      </c>
      <c r="CS305" s="88">
        <v>9600</v>
      </c>
      <c r="CT305" s="88">
        <v>9600</v>
      </c>
      <c r="CU305" s="88">
        <v>156.6803791808276</v>
      </c>
      <c r="CV305" s="88">
        <v>156.47397682363149</v>
      </c>
      <c r="CW305" s="88">
        <v>156.26811755786531</v>
      </c>
      <c r="CX305" s="88">
        <v>156.05584875409161</v>
      </c>
      <c r="CY305" s="88">
        <v>155.8441558441572</v>
      </c>
      <c r="CZ305" s="88">
        <v>155.63303648759609</v>
      </c>
      <c r="DA305" s="88">
        <v>155.42248835662139</v>
      </c>
      <c r="DB305" s="88">
        <v>155.20907158044039</v>
      </c>
      <c r="DC305" s="88">
        <v>154.99966823701141</v>
      </c>
      <c r="DD305" s="88">
        <v>154.79082917347779</v>
      </c>
      <c r="DE305" s="88">
        <v>154.58255211205409</v>
      </c>
      <c r="DF305" s="88">
        <v>154.3748347872054</v>
      </c>
      <c r="DG305" s="93">
        <v>46113</v>
      </c>
      <c r="DH305" s="91">
        <v>0.03</v>
      </c>
      <c r="DI305" t="s">
        <v>301</v>
      </c>
      <c r="DJ305" s="93"/>
      <c r="DK305" s="91"/>
      <c r="DM305" s="93"/>
      <c r="DN305" s="91"/>
      <c r="DP305" s="93"/>
      <c r="DQ305" s="91"/>
    </row>
    <row r="306" spans="1:121" x14ac:dyDescent="0.3">
      <c r="A306" t="s">
        <v>30</v>
      </c>
      <c r="B306" t="s">
        <v>47</v>
      </c>
      <c r="C306" t="s">
        <v>78</v>
      </c>
      <c r="D306" t="s">
        <v>406</v>
      </c>
      <c r="E306" t="s">
        <v>669</v>
      </c>
      <c r="F306" s="86">
        <v>25200</v>
      </c>
      <c r="G306" s="87">
        <v>12</v>
      </c>
      <c r="H306" s="88">
        <v>1.04</v>
      </c>
      <c r="I306" s="88">
        <v>1.0377777777777779</v>
      </c>
      <c r="J306" s="89">
        <v>0.9900000000000001</v>
      </c>
      <c r="K306" s="88">
        <v>1.0021413276231259</v>
      </c>
      <c r="L306" s="88">
        <v>1.0101010101010099</v>
      </c>
      <c r="M306" s="88">
        <v>1</v>
      </c>
      <c r="N306" s="90">
        <v>0.53400000000000003</v>
      </c>
      <c r="O306" s="90">
        <v>0.54054895853611051</v>
      </c>
      <c r="P306" s="90">
        <v>0.5393939393939392</v>
      </c>
      <c r="Q306" s="91">
        <v>0</v>
      </c>
      <c r="R306" s="88">
        <v>0.99999999999999978</v>
      </c>
      <c r="S306" s="88">
        <v>1.0101010101010099</v>
      </c>
      <c r="T306" s="91">
        <v>-2.1367521367520181E-3</v>
      </c>
      <c r="U306" s="91">
        <v>2.1413276231263541E-3</v>
      </c>
      <c r="V306" s="87">
        <v>0</v>
      </c>
      <c r="W306" s="91">
        <v>0</v>
      </c>
      <c r="X306" s="87">
        <v>1</v>
      </c>
      <c r="Y306" s="90">
        <v>0.54054895853611051</v>
      </c>
      <c r="Z306" s="90">
        <v>0.5393939393939392</v>
      </c>
      <c r="AA306" s="92">
        <v>0</v>
      </c>
      <c r="AB306" s="88">
        <v>0</v>
      </c>
      <c r="AC306" s="87">
        <v>1</v>
      </c>
      <c r="AD306" s="87">
        <v>0</v>
      </c>
      <c r="AE306" s="88">
        <v>1.013333333333333</v>
      </c>
      <c r="AF306" s="88">
        <v>1</v>
      </c>
      <c r="AG306" s="88">
        <v>1.013333333333333</v>
      </c>
      <c r="AH306" s="88">
        <v>26208</v>
      </c>
      <c r="AI306" s="88">
        <v>26152</v>
      </c>
      <c r="AJ306" s="88">
        <v>24948</v>
      </c>
      <c r="AK306" s="88">
        <v>25253.961456102781</v>
      </c>
      <c r="AL306" s="88">
        <v>25454.545454545449</v>
      </c>
      <c r="AM306" s="88">
        <v>25200</v>
      </c>
      <c r="AN306" s="88">
        <v>13456.8</v>
      </c>
      <c r="AO306" s="88">
        <v>13621.833755109979</v>
      </c>
      <c r="AP306" s="88">
        <v>13592.72727272727</v>
      </c>
      <c r="AQ306" s="88">
        <v>0</v>
      </c>
      <c r="AR306" s="88">
        <v>25199.999999999989</v>
      </c>
      <c r="AS306" s="88">
        <v>25454.545454545449</v>
      </c>
      <c r="AT306" s="88">
        <v>13621.833755109979</v>
      </c>
      <c r="AU306" s="88">
        <v>13592.72727272727</v>
      </c>
      <c r="AV306" s="88">
        <v>25200</v>
      </c>
      <c r="AW306" s="88">
        <v>24948</v>
      </c>
      <c r="AX306" s="88">
        <v>24948</v>
      </c>
      <c r="AY306" s="88">
        <v>25200</v>
      </c>
      <c r="AZ306" s="88">
        <v>25200</v>
      </c>
      <c r="BA306" s="88">
        <v>25200</v>
      </c>
      <c r="BB306" s="88">
        <v>25200</v>
      </c>
      <c r="BC306" s="88">
        <v>25200</v>
      </c>
      <c r="BD306" s="88">
        <v>25200</v>
      </c>
      <c r="BE306" s="88">
        <v>25200</v>
      </c>
      <c r="BF306" s="88">
        <v>25200</v>
      </c>
      <c r="BG306" s="88">
        <v>25200</v>
      </c>
      <c r="BH306" s="88">
        <v>25200</v>
      </c>
      <c r="BI306" s="88">
        <v>25200</v>
      </c>
      <c r="BJ306" s="88">
        <v>25200</v>
      </c>
      <c r="BK306" s="88">
        <v>1008.000000000001</v>
      </c>
      <c r="BL306" s="88">
        <v>1008.000000000001</v>
      </c>
      <c r="BM306" s="88">
        <v>1008.000000000001</v>
      </c>
      <c r="BN306" s="88">
        <v>1008.000000000001</v>
      </c>
      <c r="BO306" s="88">
        <v>0</v>
      </c>
      <c r="BP306" s="88">
        <v>0</v>
      </c>
      <c r="BQ306" s="88">
        <v>0</v>
      </c>
      <c r="BR306" s="88">
        <v>0</v>
      </c>
      <c r="BS306" s="88">
        <v>0</v>
      </c>
      <c r="BT306" s="88">
        <v>0</v>
      </c>
      <c r="BU306" s="88">
        <v>0</v>
      </c>
      <c r="BV306" s="88">
        <v>0</v>
      </c>
      <c r="BW306" s="88">
        <v>1008.000000000001</v>
      </c>
      <c r="BX306" s="88">
        <v>1008.000000000001</v>
      </c>
      <c r="BY306" s="88">
        <v>1008.000000000001</v>
      </c>
      <c r="BZ306" s="88">
        <v>1008.000000000001</v>
      </c>
      <c r="CA306" s="88">
        <v>0</v>
      </c>
      <c r="CB306" s="88">
        <v>0</v>
      </c>
      <c r="CC306" s="88">
        <v>0</v>
      </c>
      <c r="CD306" s="88">
        <v>0</v>
      </c>
      <c r="CE306" s="88">
        <v>0</v>
      </c>
      <c r="CF306" s="88">
        <v>0</v>
      </c>
      <c r="CG306" s="88">
        <v>0</v>
      </c>
      <c r="CH306" s="88">
        <v>0</v>
      </c>
      <c r="CI306" s="88">
        <v>25200</v>
      </c>
      <c r="CJ306" s="88">
        <v>25200</v>
      </c>
      <c r="CK306" s="88">
        <v>25200</v>
      </c>
      <c r="CL306" s="88">
        <v>25200</v>
      </c>
      <c r="CM306" s="88">
        <v>25200</v>
      </c>
      <c r="CN306" s="88">
        <v>25200</v>
      </c>
      <c r="CO306" s="88">
        <v>25200</v>
      </c>
      <c r="CP306" s="88">
        <v>25200</v>
      </c>
      <c r="CQ306" s="88">
        <v>25200</v>
      </c>
      <c r="CR306" s="88">
        <v>25200</v>
      </c>
      <c r="CS306" s="88">
        <v>25200</v>
      </c>
      <c r="CT306" s="88">
        <v>25200</v>
      </c>
      <c r="CU306" s="88">
        <v>0</v>
      </c>
      <c r="CV306" s="88">
        <v>0</v>
      </c>
      <c r="CW306" s="88">
        <v>0</v>
      </c>
      <c r="CX306" s="88">
        <v>0</v>
      </c>
      <c r="CY306" s="88">
        <v>0</v>
      </c>
      <c r="CZ306" s="88">
        <v>0</v>
      </c>
      <c r="DA306" s="88">
        <v>0</v>
      </c>
      <c r="DB306" s="88">
        <v>0</v>
      </c>
      <c r="DC306" s="88">
        <v>0</v>
      </c>
      <c r="DD306" s="88">
        <v>0</v>
      </c>
      <c r="DE306" s="88">
        <v>0</v>
      </c>
      <c r="DF306" s="88">
        <v>0</v>
      </c>
      <c r="DG306" s="93">
        <v>46143</v>
      </c>
      <c r="DH306" s="91">
        <v>0.04</v>
      </c>
      <c r="DI306" t="s">
        <v>301</v>
      </c>
      <c r="DJ306" s="93"/>
      <c r="DK306" s="91"/>
      <c r="DM306" s="93"/>
      <c r="DN306" s="91"/>
      <c r="DP306" s="93"/>
      <c r="DQ306" s="91"/>
    </row>
    <row r="307" spans="1:121" x14ac:dyDescent="0.3">
      <c r="A307" t="s">
        <v>30</v>
      </c>
      <c r="B307" t="s">
        <v>47</v>
      </c>
      <c r="C307" t="s">
        <v>80</v>
      </c>
      <c r="D307" t="s">
        <v>408</v>
      </c>
      <c r="E307" t="s">
        <v>670</v>
      </c>
      <c r="F307" s="86">
        <v>20400</v>
      </c>
      <c r="G307" s="87">
        <v>12</v>
      </c>
      <c r="H307" s="88">
        <v>1</v>
      </c>
      <c r="I307" s="88">
        <v>1.01125</v>
      </c>
      <c r="J307" s="89">
        <v>0.99299370897155337</v>
      </c>
      <c r="K307" s="88">
        <v>0.9888751545117429</v>
      </c>
      <c r="L307" s="88">
        <v>1.007055725494679</v>
      </c>
      <c r="M307" s="88">
        <v>1</v>
      </c>
      <c r="N307" s="90">
        <v>0.56200000000000006</v>
      </c>
      <c r="O307" s="90">
        <v>0.55966904101657333</v>
      </c>
      <c r="P307" s="90">
        <v>0.53942496526489814</v>
      </c>
      <c r="Q307" s="91">
        <v>0</v>
      </c>
      <c r="R307" s="88">
        <v>0.96269554753309261</v>
      </c>
      <c r="S307" s="88">
        <v>0.99702434638596604</v>
      </c>
      <c r="T307" s="91">
        <v>1.1249999999999981E-2</v>
      </c>
      <c r="U307" s="91">
        <v>2.7194066749073102E-2</v>
      </c>
      <c r="V307" s="87">
        <v>0</v>
      </c>
      <c r="W307" s="91">
        <v>0</v>
      </c>
      <c r="X307" s="87">
        <v>1</v>
      </c>
      <c r="Y307" s="90">
        <v>0.55966904101657333</v>
      </c>
      <c r="Z307" s="90">
        <v>0.53942496526489814</v>
      </c>
      <c r="AA307" s="92">
        <v>0</v>
      </c>
      <c r="AB307" s="88">
        <v>0</v>
      </c>
      <c r="AC307" s="87">
        <v>0</v>
      </c>
      <c r="AD307" s="87">
        <v>1</v>
      </c>
      <c r="AE307" s="88">
        <v>1.03</v>
      </c>
      <c r="AF307" s="88">
        <v>1.012138206284618</v>
      </c>
      <c r="AG307" s="88">
        <v>1.042501799533555</v>
      </c>
      <c r="AH307" s="88">
        <v>20400</v>
      </c>
      <c r="AI307" s="88">
        <v>20629.5</v>
      </c>
      <c r="AJ307" s="88">
        <v>20257.071663019691</v>
      </c>
      <c r="AK307" s="88">
        <v>20173.05315203956</v>
      </c>
      <c r="AL307" s="88">
        <v>20543.936800091458</v>
      </c>
      <c r="AM307" s="88">
        <v>20400</v>
      </c>
      <c r="AN307" s="88">
        <v>11464.8</v>
      </c>
      <c r="AO307" s="88">
        <v>11417.2484367381</v>
      </c>
      <c r="AP307" s="88">
        <v>11004.26929140392</v>
      </c>
      <c r="AQ307" s="88">
        <v>0</v>
      </c>
      <c r="AR307" s="88">
        <v>19638.989169675089</v>
      </c>
      <c r="AS307" s="88">
        <v>20339.296666273709</v>
      </c>
      <c r="AT307" s="88">
        <v>11417.2484367381</v>
      </c>
      <c r="AU307" s="88">
        <v>11004.26929140392</v>
      </c>
      <c r="AV307" s="88">
        <v>20400</v>
      </c>
      <c r="AW307" s="88">
        <v>20196</v>
      </c>
      <c r="AX307" s="88">
        <v>20502</v>
      </c>
      <c r="AY307" s="88">
        <v>20400</v>
      </c>
      <c r="AZ307" s="88">
        <v>20400</v>
      </c>
      <c r="BA307" s="88">
        <v>20400</v>
      </c>
      <c r="BB307" s="88">
        <v>20400</v>
      </c>
      <c r="BC307" s="88">
        <v>20400</v>
      </c>
      <c r="BD307" s="88">
        <v>20400</v>
      </c>
      <c r="BE307" s="88">
        <v>20400</v>
      </c>
      <c r="BF307" s="88">
        <v>20400</v>
      </c>
      <c r="BG307" s="88">
        <v>20400</v>
      </c>
      <c r="BH307" s="88">
        <v>20400</v>
      </c>
      <c r="BI307" s="88">
        <v>20400</v>
      </c>
      <c r="BJ307" s="88">
        <v>20400</v>
      </c>
      <c r="BK307" s="88">
        <v>248.9926265277814</v>
      </c>
      <c r="BL307" s="88">
        <v>248.74724393666159</v>
      </c>
      <c r="BM307" s="88">
        <v>248.5023445191606</v>
      </c>
      <c r="BN307" s="88">
        <v>1074.1796359271841</v>
      </c>
      <c r="BO307" s="88">
        <v>1073.9173674832259</v>
      </c>
      <c r="BP307" s="88">
        <v>1073.655631342541</v>
      </c>
      <c r="BQ307" s="88">
        <v>1073.3944258862221</v>
      </c>
      <c r="BR307" s="88">
        <v>1073.129480517325</v>
      </c>
      <c r="BS307" s="88">
        <v>1072.869340232857</v>
      </c>
      <c r="BT307" s="88">
        <v>1072.609725789084</v>
      </c>
      <c r="BU307" s="88">
        <v>1072.350635593217</v>
      </c>
      <c r="BV307" s="88">
        <v>1072.0920680589329</v>
      </c>
      <c r="BW307" s="88">
        <v>0</v>
      </c>
      <c r="BX307" s="88">
        <v>0</v>
      </c>
      <c r="BY307" s="88">
        <v>0</v>
      </c>
      <c r="BZ307" s="88">
        <v>816.00000000000068</v>
      </c>
      <c r="CA307" s="88">
        <v>816.00000000000068</v>
      </c>
      <c r="CB307" s="88">
        <v>816.00000000000068</v>
      </c>
      <c r="CC307" s="88">
        <v>816.00000000000068</v>
      </c>
      <c r="CD307" s="88">
        <v>816.00000000000068</v>
      </c>
      <c r="CE307" s="88">
        <v>816.00000000000068</v>
      </c>
      <c r="CF307" s="88">
        <v>816.00000000000068</v>
      </c>
      <c r="CG307" s="88">
        <v>816.00000000000068</v>
      </c>
      <c r="CH307" s="88">
        <v>816.00000000000068</v>
      </c>
      <c r="CI307" s="88">
        <v>20400</v>
      </c>
      <c r="CJ307" s="88">
        <v>20400</v>
      </c>
      <c r="CK307" s="88">
        <v>20400</v>
      </c>
      <c r="CL307" s="88">
        <v>20400</v>
      </c>
      <c r="CM307" s="88">
        <v>20400</v>
      </c>
      <c r="CN307" s="88">
        <v>20400</v>
      </c>
      <c r="CO307" s="88">
        <v>20400</v>
      </c>
      <c r="CP307" s="88">
        <v>20400</v>
      </c>
      <c r="CQ307" s="88">
        <v>20400</v>
      </c>
      <c r="CR307" s="88">
        <v>20400</v>
      </c>
      <c r="CS307" s="88">
        <v>20400</v>
      </c>
      <c r="CT307" s="88">
        <v>20400</v>
      </c>
      <c r="CU307" s="88">
        <v>248.9926265277814</v>
      </c>
      <c r="CV307" s="88">
        <v>248.74724393666159</v>
      </c>
      <c r="CW307" s="88">
        <v>248.5023445191606</v>
      </c>
      <c r="CX307" s="88">
        <v>248.24964992998349</v>
      </c>
      <c r="CY307" s="88">
        <v>247.99746873386849</v>
      </c>
      <c r="CZ307" s="88">
        <v>247.7457993678257</v>
      </c>
      <c r="DA307" s="88">
        <v>247.49464027521131</v>
      </c>
      <c r="DB307" s="88">
        <v>247.23988511281061</v>
      </c>
      <c r="DC307" s="88">
        <v>246.98975022390121</v>
      </c>
      <c r="DD307" s="88">
        <v>246.74012095104021</v>
      </c>
      <c r="DE307" s="88">
        <v>246.49099576271021</v>
      </c>
      <c r="DF307" s="88">
        <v>246.24237313359021</v>
      </c>
      <c r="DG307" s="93">
        <v>46478</v>
      </c>
      <c r="DH307" s="91">
        <v>0.04</v>
      </c>
      <c r="DI307" t="s">
        <v>302</v>
      </c>
      <c r="DJ307" s="93"/>
      <c r="DK307" s="91"/>
      <c r="DM307" s="93"/>
      <c r="DN307" s="91"/>
      <c r="DP307" s="93"/>
      <c r="DQ307" s="91"/>
    </row>
    <row r="308" spans="1:121" x14ac:dyDescent="0.3">
      <c r="A308" t="s">
        <v>30</v>
      </c>
      <c r="B308" t="s">
        <v>47</v>
      </c>
      <c r="C308" t="s">
        <v>82</v>
      </c>
      <c r="D308" t="s">
        <v>410</v>
      </c>
      <c r="E308" t="s">
        <v>671</v>
      </c>
      <c r="F308" s="86">
        <v>15600</v>
      </c>
      <c r="G308" s="87">
        <v>12</v>
      </c>
      <c r="H308" s="88">
        <v>1.06</v>
      </c>
      <c r="I308" s="88">
        <v>1.0525</v>
      </c>
      <c r="J308" s="89">
        <v>0.98900209700948194</v>
      </c>
      <c r="K308" s="88">
        <v>1.0071258907363421</v>
      </c>
      <c r="L308" s="88">
        <v>1.011120201892163</v>
      </c>
      <c r="M308" s="88">
        <v>1</v>
      </c>
      <c r="N308" s="90">
        <v>0.54600000000000004</v>
      </c>
      <c r="O308" s="90">
        <v>0.55600563234879641</v>
      </c>
      <c r="P308" s="90">
        <v>0.55393690670249385</v>
      </c>
      <c r="Q308" s="91">
        <v>0</v>
      </c>
      <c r="R308" s="88">
        <v>0.99999999999999978</v>
      </c>
      <c r="S308" s="88">
        <v>1.0145364591620769</v>
      </c>
      <c r="T308" s="91">
        <v>-7.0754716981130672E-3</v>
      </c>
      <c r="U308" s="91">
        <v>7.1258907363420656E-3</v>
      </c>
      <c r="V308" s="87">
        <v>0</v>
      </c>
      <c r="W308" s="91">
        <v>0</v>
      </c>
      <c r="X308" s="87">
        <v>1</v>
      </c>
      <c r="Y308" s="90">
        <v>0.55600563234879641</v>
      </c>
      <c r="Z308" s="90">
        <v>0.55393690670249385</v>
      </c>
      <c r="AA308" s="92">
        <v>0</v>
      </c>
      <c r="AB308" s="88">
        <v>0</v>
      </c>
      <c r="AC308" s="87">
        <v>1</v>
      </c>
      <c r="AD308" s="87">
        <v>0</v>
      </c>
      <c r="AE308" s="88">
        <v>1.03</v>
      </c>
      <c r="AF308" s="88">
        <v>0.99597028697853884</v>
      </c>
      <c r="AG308" s="88">
        <v>1.0258495176558471</v>
      </c>
      <c r="AH308" s="88">
        <v>16536</v>
      </c>
      <c r="AI308" s="88">
        <v>16419</v>
      </c>
      <c r="AJ308" s="88">
        <v>15428.43271334792</v>
      </c>
      <c r="AK308" s="88">
        <v>15711.16389548693</v>
      </c>
      <c r="AL308" s="88">
        <v>15773.475149517741</v>
      </c>
      <c r="AM308" s="88">
        <v>15600</v>
      </c>
      <c r="AN308" s="88">
        <v>8517.6</v>
      </c>
      <c r="AO308" s="88">
        <v>8673.6878646412242</v>
      </c>
      <c r="AP308" s="88">
        <v>8641.4157445589044</v>
      </c>
      <c r="AQ308" s="88">
        <v>0</v>
      </c>
      <c r="AR308" s="88">
        <v>15600</v>
      </c>
      <c r="AS308" s="88">
        <v>15826.768762928399</v>
      </c>
      <c r="AT308" s="88">
        <v>8673.6878646412242</v>
      </c>
      <c r="AU308" s="88">
        <v>8641.4157445589044</v>
      </c>
      <c r="AV308" s="88">
        <v>15600</v>
      </c>
      <c r="AW308" s="88">
        <v>15444</v>
      </c>
      <c r="AX308" s="88">
        <v>15366</v>
      </c>
      <c r="AY308" s="88">
        <v>15600</v>
      </c>
      <c r="AZ308" s="88">
        <v>15600</v>
      </c>
      <c r="BA308" s="88">
        <v>15600</v>
      </c>
      <c r="BB308" s="88">
        <v>15600</v>
      </c>
      <c r="BC308" s="88">
        <v>15600</v>
      </c>
      <c r="BD308" s="88">
        <v>15600</v>
      </c>
      <c r="BE308" s="88">
        <v>15600</v>
      </c>
      <c r="BF308" s="88">
        <v>15600</v>
      </c>
      <c r="BG308" s="88">
        <v>15600</v>
      </c>
      <c r="BH308" s="88">
        <v>15600</v>
      </c>
      <c r="BI308" s="88">
        <v>15600</v>
      </c>
      <c r="BJ308" s="88">
        <v>15600</v>
      </c>
      <c r="BK308" s="88">
        <v>869.48680621752419</v>
      </c>
      <c r="BL308" s="88">
        <v>869.46517626827267</v>
      </c>
      <c r="BM308" s="88">
        <v>869.44353224641441</v>
      </c>
      <c r="BN308" s="88">
        <v>869.42113971804906</v>
      </c>
      <c r="BO308" s="88">
        <v>869.39873211694612</v>
      </c>
      <c r="BP308" s="88">
        <v>869.37630942788201</v>
      </c>
      <c r="BQ308" s="88">
        <v>-62.873706004141113</v>
      </c>
      <c r="BR308" s="88">
        <v>-62.895235360068327</v>
      </c>
      <c r="BS308" s="88">
        <v>-62.916431862632692</v>
      </c>
      <c r="BT308" s="88">
        <v>-62.937642656999188</v>
      </c>
      <c r="BU308" s="88">
        <v>-62.958867757629598</v>
      </c>
      <c r="BV308" s="88">
        <v>-62.980107179001273</v>
      </c>
      <c r="BW308" s="88">
        <v>936.0000000000008</v>
      </c>
      <c r="BX308" s="88">
        <v>936.0000000000008</v>
      </c>
      <c r="BY308" s="88">
        <v>936.0000000000008</v>
      </c>
      <c r="BZ308" s="88">
        <v>936.0000000000008</v>
      </c>
      <c r="CA308" s="88">
        <v>936.0000000000008</v>
      </c>
      <c r="CB308" s="88">
        <v>936.0000000000008</v>
      </c>
      <c r="CC308" s="88">
        <v>0</v>
      </c>
      <c r="CD308" s="88">
        <v>0</v>
      </c>
      <c r="CE308" s="88">
        <v>0</v>
      </c>
      <c r="CF308" s="88">
        <v>0</v>
      </c>
      <c r="CG308" s="88">
        <v>0</v>
      </c>
      <c r="CH308" s="88">
        <v>0</v>
      </c>
      <c r="CI308" s="88">
        <v>15600</v>
      </c>
      <c r="CJ308" s="88">
        <v>15600</v>
      </c>
      <c r="CK308" s="88">
        <v>15600</v>
      </c>
      <c r="CL308" s="88">
        <v>15600</v>
      </c>
      <c r="CM308" s="88">
        <v>15600</v>
      </c>
      <c r="CN308" s="88">
        <v>15600</v>
      </c>
      <c r="CO308" s="88">
        <v>15600</v>
      </c>
      <c r="CP308" s="88">
        <v>15600</v>
      </c>
      <c r="CQ308" s="88">
        <v>15600</v>
      </c>
      <c r="CR308" s="88">
        <v>15600</v>
      </c>
      <c r="CS308" s="88">
        <v>15600</v>
      </c>
      <c r="CT308" s="88">
        <v>15600</v>
      </c>
      <c r="CU308" s="88">
        <v>-62.748296021202819</v>
      </c>
      <c r="CV308" s="88">
        <v>-62.768701633706002</v>
      </c>
      <c r="CW308" s="88">
        <v>-62.789120522249853</v>
      </c>
      <c r="CX308" s="88">
        <v>-62.810245549010531</v>
      </c>
      <c r="CY308" s="88">
        <v>-62.831384795333811</v>
      </c>
      <c r="CZ308" s="88">
        <v>-62.852538275584457</v>
      </c>
      <c r="DA308" s="88">
        <v>-62.873706004141113</v>
      </c>
      <c r="DB308" s="88">
        <v>-62.895235360068327</v>
      </c>
      <c r="DC308" s="88">
        <v>-62.916431862632692</v>
      </c>
      <c r="DD308" s="88">
        <v>-62.937642656999188</v>
      </c>
      <c r="DE308" s="88">
        <v>-62.958867757629598</v>
      </c>
      <c r="DF308" s="88">
        <v>-62.980107179001273</v>
      </c>
      <c r="DG308" s="93">
        <v>46204</v>
      </c>
      <c r="DH308" s="91">
        <v>0.06</v>
      </c>
      <c r="DI308" t="s">
        <v>301</v>
      </c>
      <c r="DJ308" s="93"/>
      <c r="DK308" s="91"/>
      <c r="DM308" s="93"/>
      <c r="DN308" s="91"/>
      <c r="DP308" s="93"/>
      <c r="DQ308" s="91"/>
    </row>
    <row r="309" spans="1:121" x14ac:dyDescent="0.3">
      <c r="A309" t="s">
        <v>30</v>
      </c>
      <c r="B309" t="s">
        <v>47</v>
      </c>
      <c r="C309" t="s">
        <v>85</v>
      </c>
      <c r="D309" t="s">
        <v>412</v>
      </c>
      <c r="E309" t="s">
        <v>672</v>
      </c>
      <c r="F309" s="86">
        <v>10800</v>
      </c>
      <c r="G309" s="87">
        <v>12</v>
      </c>
      <c r="H309" s="88">
        <v>1.02</v>
      </c>
      <c r="I309" s="88">
        <v>1.0165972222222219</v>
      </c>
      <c r="J309" s="89">
        <v>0.99199580598103554</v>
      </c>
      <c r="K309" s="88">
        <v>1.0033472231709819</v>
      </c>
      <c r="L309" s="88">
        <v>1.008068778084247</v>
      </c>
      <c r="M309" s="88">
        <v>1</v>
      </c>
      <c r="N309" s="90">
        <v>0.53</v>
      </c>
      <c r="O309" s="90">
        <v>0.53606479490578263</v>
      </c>
      <c r="P309" s="90">
        <v>0.53071308926171978</v>
      </c>
      <c r="Q309" s="91">
        <v>0</v>
      </c>
      <c r="R309" s="88">
        <v>1</v>
      </c>
      <c r="S309" s="88">
        <v>1.0013454514372071</v>
      </c>
      <c r="T309" s="91">
        <v>-3.336056644880236E-3</v>
      </c>
      <c r="U309" s="91">
        <v>3.3472231709814611E-3</v>
      </c>
      <c r="V309" s="87">
        <v>0</v>
      </c>
      <c r="W309" s="91">
        <v>0</v>
      </c>
      <c r="X309" s="87">
        <v>1</v>
      </c>
      <c r="Y309" s="90">
        <v>0.53606479490578263</v>
      </c>
      <c r="Z309" s="90">
        <v>0.53071308926171978</v>
      </c>
      <c r="AA309" s="92">
        <v>0</v>
      </c>
      <c r="AB309" s="88">
        <v>0</v>
      </c>
      <c r="AC309" s="87">
        <v>1</v>
      </c>
      <c r="AD309" s="87">
        <v>0</v>
      </c>
      <c r="AE309" s="88">
        <v>1.011666666666666</v>
      </c>
      <c r="AF309" s="88">
        <v>1.0080839018517109</v>
      </c>
      <c r="AG309" s="88">
        <v>1.019845039965944</v>
      </c>
      <c r="AH309" s="88">
        <v>11016</v>
      </c>
      <c r="AI309" s="88">
        <v>10979.25</v>
      </c>
      <c r="AJ309" s="88">
        <v>10713.554704595181</v>
      </c>
      <c r="AK309" s="88">
        <v>10836.1500102466</v>
      </c>
      <c r="AL309" s="88">
        <v>10887.142803309869</v>
      </c>
      <c r="AM309" s="88">
        <v>10800</v>
      </c>
      <c r="AN309" s="88">
        <v>5724</v>
      </c>
      <c r="AO309" s="88">
        <v>5789.4997849824522</v>
      </c>
      <c r="AP309" s="88">
        <v>5731.7013640265741</v>
      </c>
      <c r="AQ309" s="88">
        <v>0</v>
      </c>
      <c r="AR309" s="88">
        <v>10800</v>
      </c>
      <c r="AS309" s="88">
        <v>10814.53087552183</v>
      </c>
      <c r="AT309" s="88">
        <v>5789.4997849824522</v>
      </c>
      <c r="AU309" s="88">
        <v>5731.7013640265741</v>
      </c>
      <c r="AV309" s="88">
        <v>10800</v>
      </c>
      <c r="AW309" s="88">
        <v>10692</v>
      </c>
      <c r="AX309" s="88">
        <v>10800</v>
      </c>
      <c r="AY309" s="88">
        <v>10800</v>
      </c>
      <c r="AZ309" s="88">
        <v>10800</v>
      </c>
      <c r="BA309" s="88">
        <v>10800</v>
      </c>
      <c r="BB309" s="88">
        <v>10800</v>
      </c>
      <c r="BC309" s="88">
        <v>10800</v>
      </c>
      <c r="BD309" s="88">
        <v>10800</v>
      </c>
      <c r="BE309" s="88">
        <v>10800</v>
      </c>
      <c r="BF309" s="88">
        <v>10800</v>
      </c>
      <c r="BG309" s="88">
        <v>10800</v>
      </c>
      <c r="BH309" s="88">
        <v>10800</v>
      </c>
      <c r="BI309" s="88">
        <v>10800</v>
      </c>
      <c r="BJ309" s="88">
        <v>10800</v>
      </c>
      <c r="BK309" s="88">
        <v>305.38080048015559</v>
      </c>
      <c r="BL309" s="88">
        <v>305.32222592469037</v>
      </c>
      <c r="BM309" s="88">
        <v>305.26372809110921</v>
      </c>
      <c r="BN309" s="88">
        <v>305.20332778702061</v>
      </c>
      <c r="BO309" s="88">
        <v>305.14300916739671</v>
      </c>
      <c r="BP309" s="88">
        <v>305.08277206664292</v>
      </c>
      <c r="BQ309" s="88">
        <v>305.02261631961761</v>
      </c>
      <c r="BR309" s="88">
        <v>87.217213341446339</v>
      </c>
      <c r="BS309" s="88">
        <v>87.15839745290603</v>
      </c>
      <c r="BT309" s="88">
        <v>87.099660837192431</v>
      </c>
      <c r="BU309" s="88">
        <v>87.041003334142445</v>
      </c>
      <c r="BV309" s="88">
        <v>86.982424784034237</v>
      </c>
      <c r="BW309" s="88">
        <v>216.0000000000002</v>
      </c>
      <c r="BX309" s="88">
        <v>216.0000000000002</v>
      </c>
      <c r="BY309" s="88">
        <v>216.0000000000002</v>
      </c>
      <c r="BZ309" s="88">
        <v>216.0000000000002</v>
      </c>
      <c r="CA309" s="88">
        <v>216.0000000000002</v>
      </c>
      <c r="CB309" s="88">
        <v>216.0000000000002</v>
      </c>
      <c r="CC309" s="88">
        <v>216.0000000000002</v>
      </c>
      <c r="CD309" s="88">
        <v>0</v>
      </c>
      <c r="CE309" s="88">
        <v>0</v>
      </c>
      <c r="CF309" s="88">
        <v>0</v>
      </c>
      <c r="CG309" s="88">
        <v>0</v>
      </c>
      <c r="CH309" s="88">
        <v>0</v>
      </c>
      <c r="CI309" s="88">
        <v>10800</v>
      </c>
      <c r="CJ309" s="88">
        <v>10800</v>
      </c>
      <c r="CK309" s="88">
        <v>10800</v>
      </c>
      <c r="CL309" s="88">
        <v>10800</v>
      </c>
      <c r="CM309" s="88">
        <v>10800</v>
      </c>
      <c r="CN309" s="88">
        <v>10800</v>
      </c>
      <c r="CO309" s="88">
        <v>10800</v>
      </c>
      <c r="CP309" s="88">
        <v>10800</v>
      </c>
      <c r="CQ309" s="88">
        <v>10800</v>
      </c>
      <c r="CR309" s="88">
        <v>10800</v>
      </c>
      <c r="CS309" s="88">
        <v>10800</v>
      </c>
      <c r="CT309" s="88">
        <v>10800</v>
      </c>
      <c r="CU309" s="88">
        <v>87.628235764857365</v>
      </c>
      <c r="CV309" s="88">
        <v>87.570809730089124</v>
      </c>
      <c r="CW309" s="88">
        <v>87.513458912852286</v>
      </c>
      <c r="CX309" s="88">
        <v>87.454242928451549</v>
      </c>
      <c r="CY309" s="88">
        <v>87.395107026858369</v>
      </c>
      <c r="CZ309" s="88">
        <v>87.336051045727459</v>
      </c>
      <c r="DA309" s="88">
        <v>87.277074823154692</v>
      </c>
      <c r="DB309" s="88">
        <v>87.217213341446339</v>
      </c>
      <c r="DC309" s="88">
        <v>87.15839745290603</v>
      </c>
      <c r="DD309" s="88">
        <v>87.099660837192431</v>
      </c>
      <c r="DE309" s="88">
        <v>87.041003334142445</v>
      </c>
      <c r="DF309" s="88">
        <v>86.982424784034237</v>
      </c>
      <c r="DG309" s="93">
        <v>46235</v>
      </c>
      <c r="DH309" s="91">
        <v>0.02</v>
      </c>
      <c r="DI309" t="s">
        <v>301</v>
      </c>
      <c r="DJ309" s="93"/>
      <c r="DK309" s="91"/>
      <c r="DM309" s="93"/>
      <c r="DN309" s="91"/>
      <c r="DP309" s="93"/>
      <c r="DQ309" s="91"/>
    </row>
    <row r="310" spans="1:121" x14ac:dyDescent="0.3">
      <c r="A310" t="s">
        <v>30</v>
      </c>
      <c r="B310" t="s">
        <v>47</v>
      </c>
      <c r="C310" t="s">
        <v>87</v>
      </c>
      <c r="D310" t="s">
        <v>414</v>
      </c>
      <c r="E310" t="s">
        <v>673</v>
      </c>
      <c r="F310" s="86">
        <v>26400</v>
      </c>
      <c r="G310" s="87">
        <v>12</v>
      </c>
      <c r="H310" s="88">
        <v>1</v>
      </c>
      <c r="I310" s="88">
        <v>1</v>
      </c>
      <c r="J310" s="89">
        <v>0.98800419401896411</v>
      </c>
      <c r="K310" s="88">
        <v>1</v>
      </c>
      <c r="L310" s="88">
        <v>1.012141452489427</v>
      </c>
      <c r="M310" s="88">
        <v>1</v>
      </c>
      <c r="N310" s="90">
        <v>0.55800000000000005</v>
      </c>
      <c r="O310" s="90">
        <v>0.56477493048910032</v>
      </c>
      <c r="P310" s="90">
        <v>0.56860815640072693</v>
      </c>
      <c r="Q310" s="91">
        <v>0</v>
      </c>
      <c r="R310" s="88">
        <v>1</v>
      </c>
      <c r="S310" s="88">
        <v>1.019011032976213</v>
      </c>
      <c r="T310" s="91">
        <v>0</v>
      </c>
      <c r="U310" s="91">
        <v>0</v>
      </c>
      <c r="V310" s="87">
        <v>0</v>
      </c>
      <c r="W310" s="91">
        <v>0</v>
      </c>
      <c r="X310" s="87">
        <v>1</v>
      </c>
      <c r="Y310" s="90">
        <v>0.56477493048910032</v>
      </c>
      <c r="Z310" s="90">
        <v>0.56860815640072693</v>
      </c>
      <c r="AA310" s="92">
        <v>0</v>
      </c>
      <c r="AB310" s="88">
        <v>0</v>
      </c>
      <c r="AC310" s="87">
        <v>0</v>
      </c>
      <c r="AD310" s="87">
        <v>0</v>
      </c>
      <c r="AE310" s="88">
        <v>1</v>
      </c>
      <c r="AF310" s="88">
        <v>0.99194865631796525</v>
      </c>
      <c r="AG310" s="88">
        <v>0.99194865631796525</v>
      </c>
      <c r="AH310" s="88">
        <v>26400</v>
      </c>
      <c r="AI310" s="88">
        <v>26400</v>
      </c>
      <c r="AJ310" s="88">
        <v>26083.31072210065</v>
      </c>
      <c r="AK310" s="88">
        <v>26400</v>
      </c>
      <c r="AL310" s="88">
        <v>26720.534345720869</v>
      </c>
      <c r="AM310" s="88">
        <v>26400</v>
      </c>
      <c r="AN310" s="88">
        <v>14731.2</v>
      </c>
      <c r="AO310" s="88">
        <v>14910.058164912251</v>
      </c>
      <c r="AP310" s="88">
        <v>15011.25532897919</v>
      </c>
      <c r="AQ310" s="88">
        <v>0</v>
      </c>
      <c r="AR310" s="88">
        <v>26400</v>
      </c>
      <c r="AS310" s="88">
        <v>26901.891270572021</v>
      </c>
      <c r="AT310" s="88">
        <v>14910.058164912251</v>
      </c>
      <c r="AU310" s="88">
        <v>15011.25532897919</v>
      </c>
      <c r="AV310" s="88">
        <v>26400</v>
      </c>
      <c r="AW310" s="88">
        <v>26136</v>
      </c>
      <c r="AX310" s="88">
        <v>25872</v>
      </c>
      <c r="AY310" s="88">
        <v>26400</v>
      </c>
      <c r="AZ310" s="88">
        <v>26400</v>
      </c>
      <c r="BA310" s="88">
        <v>26400</v>
      </c>
      <c r="BB310" s="88">
        <v>26400</v>
      </c>
      <c r="BC310" s="88">
        <v>26400</v>
      </c>
      <c r="BD310" s="88">
        <v>26400</v>
      </c>
      <c r="BE310" s="88">
        <v>26400</v>
      </c>
      <c r="BF310" s="88">
        <v>26400</v>
      </c>
      <c r="BG310" s="88">
        <v>26400</v>
      </c>
      <c r="BH310" s="88">
        <v>26400</v>
      </c>
      <c r="BI310" s="88">
        <v>26400</v>
      </c>
      <c r="BJ310" s="88">
        <v>26400</v>
      </c>
      <c r="BK310" s="88">
        <v>-211.77789255063001</v>
      </c>
      <c r="BL310" s="88">
        <v>-211.91528666622619</v>
      </c>
      <c r="BM310" s="88">
        <v>-212.052859170581</v>
      </c>
      <c r="BN310" s="88">
        <v>-212.19528308119121</v>
      </c>
      <c r="BO310" s="88">
        <v>-212.3378984365529</v>
      </c>
      <c r="BP310" s="88">
        <v>-212.48070562293239</v>
      </c>
      <c r="BQ310" s="88">
        <v>-212.6237050276363</v>
      </c>
      <c r="BR310" s="88">
        <v>-212.76924605584281</v>
      </c>
      <c r="BS310" s="88">
        <v>-212.9126342304105</v>
      </c>
      <c r="BT310" s="88">
        <v>-213.05621579791401</v>
      </c>
      <c r="BU310" s="88">
        <v>-213.1999911498543</v>
      </c>
      <c r="BV310" s="88">
        <v>-213.34396067882261</v>
      </c>
      <c r="BW310" s="88">
        <v>0</v>
      </c>
      <c r="BX310" s="88">
        <v>0</v>
      </c>
      <c r="BY310" s="88">
        <v>0</v>
      </c>
      <c r="BZ310" s="88">
        <v>0</v>
      </c>
      <c r="CA310" s="88">
        <v>0</v>
      </c>
      <c r="CB310" s="88">
        <v>0</v>
      </c>
      <c r="CC310" s="88">
        <v>0</v>
      </c>
      <c r="CD310" s="88">
        <v>0</v>
      </c>
      <c r="CE310" s="88">
        <v>0</v>
      </c>
      <c r="CF310" s="88">
        <v>0</v>
      </c>
      <c r="CG310" s="88">
        <v>0</v>
      </c>
      <c r="CH310" s="88">
        <v>0</v>
      </c>
      <c r="CI310" s="88">
        <v>26400</v>
      </c>
      <c r="CJ310" s="88">
        <v>26400</v>
      </c>
      <c r="CK310" s="88">
        <v>26400</v>
      </c>
      <c r="CL310" s="88">
        <v>26400</v>
      </c>
      <c r="CM310" s="88">
        <v>26400</v>
      </c>
      <c r="CN310" s="88">
        <v>26400</v>
      </c>
      <c r="CO310" s="88">
        <v>26400</v>
      </c>
      <c r="CP310" s="88">
        <v>26400</v>
      </c>
      <c r="CQ310" s="88">
        <v>26400</v>
      </c>
      <c r="CR310" s="88">
        <v>26400</v>
      </c>
      <c r="CS310" s="88">
        <v>26400</v>
      </c>
      <c r="CT310" s="88">
        <v>26400</v>
      </c>
      <c r="CU310" s="88">
        <v>-211.77789255063001</v>
      </c>
      <c r="CV310" s="88">
        <v>-211.91528666622619</v>
      </c>
      <c r="CW310" s="88">
        <v>-212.052859170581</v>
      </c>
      <c r="CX310" s="88">
        <v>-212.19528308119121</v>
      </c>
      <c r="CY310" s="88">
        <v>-212.3378984365529</v>
      </c>
      <c r="CZ310" s="88">
        <v>-212.48070562293239</v>
      </c>
      <c r="DA310" s="88">
        <v>-212.6237050276363</v>
      </c>
      <c r="DB310" s="88">
        <v>-212.76924605584281</v>
      </c>
      <c r="DC310" s="88">
        <v>-212.9126342304105</v>
      </c>
      <c r="DD310" s="88">
        <v>-213.05621579791401</v>
      </c>
      <c r="DE310" s="88">
        <v>-213.1999911498543</v>
      </c>
      <c r="DF310" s="88">
        <v>-213.34396067882261</v>
      </c>
      <c r="DG310" s="93"/>
      <c r="DH310" s="91"/>
      <c r="DJ310" s="93"/>
      <c r="DK310" s="91"/>
      <c r="DM310" s="93"/>
      <c r="DN310" s="91"/>
      <c r="DP310" s="93"/>
      <c r="DQ310" s="91"/>
    </row>
    <row r="311" spans="1:121" x14ac:dyDescent="0.3">
      <c r="A311" t="s">
        <v>30</v>
      </c>
      <c r="B311" t="s">
        <v>47</v>
      </c>
      <c r="C311" t="s">
        <v>89</v>
      </c>
      <c r="D311" t="s">
        <v>416</v>
      </c>
      <c r="E311" t="s">
        <v>674</v>
      </c>
      <c r="F311" s="86">
        <v>21600</v>
      </c>
      <c r="G311" s="87">
        <v>12</v>
      </c>
      <c r="H311" s="88">
        <v>1.04</v>
      </c>
      <c r="I311" s="88">
        <v>1.0323611111111111</v>
      </c>
      <c r="J311" s="89">
        <v>0.99099790299051793</v>
      </c>
      <c r="K311" s="88">
        <v>1.0073994349522399</v>
      </c>
      <c r="L311" s="88">
        <v>1.009083870896514</v>
      </c>
      <c r="M311" s="88">
        <v>1</v>
      </c>
      <c r="N311" s="90">
        <v>0.54200000000000004</v>
      </c>
      <c r="O311" s="90">
        <v>0.55097038257742781</v>
      </c>
      <c r="P311" s="90">
        <v>0.52757897191098468</v>
      </c>
      <c r="Q311" s="91">
        <v>0</v>
      </c>
      <c r="R311" s="88">
        <v>0.96787202580992038</v>
      </c>
      <c r="S311" s="88">
        <v>1.005704174878489</v>
      </c>
      <c r="T311" s="91">
        <v>-7.3450854700855004E-3</v>
      </c>
      <c r="U311" s="91">
        <v>4.0839499529127243E-2</v>
      </c>
      <c r="V311" s="87">
        <v>0</v>
      </c>
      <c r="W311" s="91">
        <v>0</v>
      </c>
      <c r="X311" s="87">
        <v>1</v>
      </c>
      <c r="Y311" s="90">
        <v>0.55097038257742781</v>
      </c>
      <c r="Z311" s="90">
        <v>0.52757897191098468</v>
      </c>
      <c r="AA311" s="92">
        <v>0</v>
      </c>
      <c r="AB311" s="88">
        <v>0</v>
      </c>
      <c r="AC311" s="87">
        <v>1</v>
      </c>
      <c r="AD311" s="87">
        <v>1</v>
      </c>
      <c r="AE311" s="88">
        <v>1.046933333333333</v>
      </c>
      <c r="AF311" s="88">
        <v>1.004037852440528</v>
      </c>
      <c r="AG311" s="88">
        <v>1.0511606767191519</v>
      </c>
      <c r="AH311" s="88">
        <v>22464</v>
      </c>
      <c r="AI311" s="88">
        <v>22299</v>
      </c>
      <c r="AJ311" s="88">
        <v>21405.55470459519</v>
      </c>
      <c r="AK311" s="88">
        <v>21759.827794968391</v>
      </c>
      <c r="AL311" s="88">
        <v>21796.21161136471</v>
      </c>
      <c r="AM311" s="88">
        <v>21600</v>
      </c>
      <c r="AN311" s="88">
        <v>11707.2</v>
      </c>
      <c r="AO311" s="88">
        <v>11900.960263672439</v>
      </c>
      <c r="AP311" s="88">
        <v>11395.70579327727</v>
      </c>
      <c r="AQ311" s="88">
        <v>0</v>
      </c>
      <c r="AR311" s="88">
        <v>20906.035757494279</v>
      </c>
      <c r="AS311" s="88">
        <v>21723.210177375371</v>
      </c>
      <c r="AT311" s="88">
        <v>11900.960263672439</v>
      </c>
      <c r="AU311" s="88">
        <v>11395.70579327727</v>
      </c>
      <c r="AV311" s="88">
        <v>21600</v>
      </c>
      <c r="AW311" s="88">
        <v>21384</v>
      </c>
      <c r="AX311" s="88">
        <v>21492</v>
      </c>
      <c r="AY311" s="88">
        <v>21600</v>
      </c>
      <c r="AZ311" s="88">
        <v>21600</v>
      </c>
      <c r="BA311" s="88">
        <v>21600</v>
      </c>
      <c r="BB311" s="88">
        <v>21600</v>
      </c>
      <c r="BC311" s="88">
        <v>21600</v>
      </c>
      <c r="BD311" s="88">
        <v>21600</v>
      </c>
      <c r="BE311" s="88">
        <v>21600</v>
      </c>
      <c r="BF311" s="88">
        <v>21600</v>
      </c>
      <c r="BG311" s="88">
        <v>21600</v>
      </c>
      <c r="BH311" s="88">
        <v>21600</v>
      </c>
      <c r="BI311" s="88">
        <v>21600</v>
      </c>
      <c r="BJ311" s="88">
        <v>21600</v>
      </c>
      <c r="BK311" s="88">
        <v>954.87328283192051</v>
      </c>
      <c r="BL311" s="88">
        <v>954.84358173236467</v>
      </c>
      <c r="BM311" s="88">
        <v>954.81390004153468</v>
      </c>
      <c r="BN311" s="88">
        <v>954.78323257822501</v>
      </c>
      <c r="BO311" s="88">
        <v>954.75258582046149</v>
      </c>
      <c r="BP311" s="88">
        <v>954.72195974728481</v>
      </c>
      <c r="BQ311" s="88">
        <v>954.69135433776455</v>
      </c>
      <c r="BR311" s="88">
        <v>1856.8466790873599</v>
      </c>
      <c r="BS311" s="88">
        <v>1856.8148927280581</v>
      </c>
      <c r="BT311" s="88">
        <v>954.59916133986781</v>
      </c>
      <c r="BU311" s="88">
        <v>954.56863871338078</v>
      </c>
      <c r="BV311" s="88">
        <v>954.53813664596487</v>
      </c>
      <c r="BW311" s="88">
        <v>864.0000000000008</v>
      </c>
      <c r="BX311" s="88">
        <v>864.0000000000008</v>
      </c>
      <c r="BY311" s="88">
        <v>864.0000000000008</v>
      </c>
      <c r="BZ311" s="88">
        <v>864.0000000000008</v>
      </c>
      <c r="CA311" s="88">
        <v>864.0000000000008</v>
      </c>
      <c r="CB311" s="88">
        <v>864.0000000000008</v>
      </c>
      <c r="CC311" s="88">
        <v>864.0000000000008</v>
      </c>
      <c r="CD311" s="88">
        <v>1762.560000000002</v>
      </c>
      <c r="CE311" s="88">
        <v>1762.560000000002</v>
      </c>
      <c r="CF311" s="88">
        <v>864.0000000000008</v>
      </c>
      <c r="CG311" s="88">
        <v>864.0000000000008</v>
      </c>
      <c r="CH311" s="88">
        <v>864.0000000000008</v>
      </c>
      <c r="CI311" s="88">
        <v>21600</v>
      </c>
      <c r="CJ311" s="88">
        <v>21600</v>
      </c>
      <c r="CK311" s="88">
        <v>21600</v>
      </c>
      <c r="CL311" s="88">
        <v>21600</v>
      </c>
      <c r="CM311" s="88">
        <v>21600</v>
      </c>
      <c r="CN311" s="88">
        <v>21600</v>
      </c>
      <c r="CO311" s="88">
        <v>21600</v>
      </c>
      <c r="CP311" s="88">
        <v>21600</v>
      </c>
      <c r="CQ311" s="88">
        <v>21600</v>
      </c>
      <c r="CR311" s="88">
        <v>21600</v>
      </c>
      <c r="CS311" s="88">
        <v>21600</v>
      </c>
      <c r="CT311" s="88">
        <v>21600</v>
      </c>
      <c r="CU311" s="88">
        <v>87.378156569153731</v>
      </c>
      <c r="CV311" s="88">
        <v>87.349597819582129</v>
      </c>
      <c r="CW311" s="88">
        <v>87.321057732242309</v>
      </c>
      <c r="CX311" s="88">
        <v>87.291569786752092</v>
      </c>
      <c r="CY311" s="88">
        <v>87.262101750443406</v>
      </c>
      <c r="CZ311" s="88">
        <v>87.232653603157928</v>
      </c>
      <c r="DA311" s="88">
        <v>87.203225324770983</v>
      </c>
      <c r="DB311" s="88">
        <v>87.17333495502686</v>
      </c>
      <c r="DC311" s="88">
        <v>87.14394667904611</v>
      </c>
      <c r="DD311" s="88">
        <v>87.114578211412308</v>
      </c>
      <c r="DE311" s="88">
        <v>87.08522953209669</v>
      </c>
      <c r="DF311" s="88">
        <v>87.055900621118454</v>
      </c>
      <c r="DG311" s="93">
        <v>46296</v>
      </c>
      <c r="DH311" s="91">
        <v>0.04</v>
      </c>
      <c r="DI311" t="s">
        <v>301</v>
      </c>
      <c r="DJ311" s="93">
        <v>46600</v>
      </c>
      <c r="DK311" s="91">
        <v>0.04</v>
      </c>
      <c r="DL311" t="s">
        <v>302</v>
      </c>
      <c r="DM311" s="93"/>
      <c r="DN311" s="91"/>
      <c r="DP311" s="93"/>
      <c r="DQ311" s="91"/>
    </row>
    <row r="312" spans="1:121" x14ac:dyDescent="0.3">
      <c r="A312" t="s">
        <v>30</v>
      </c>
      <c r="B312" t="s">
        <v>47</v>
      </c>
      <c r="C312" t="s">
        <v>91</v>
      </c>
      <c r="D312" t="s">
        <v>418</v>
      </c>
      <c r="E312" t="s">
        <v>675</v>
      </c>
      <c r="F312" s="86">
        <v>16800</v>
      </c>
      <c r="G312" s="87">
        <v>12</v>
      </c>
      <c r="H312" s="88">
        <v>1.05</v>
      </c>
      <c r="I312" s="88">
        <v>1.0326388888888891</v>
      </c>
      <c r="J312" s="89">
        <v>0.99399161196207142</v>
      </c>
      <c r="K312" s="88">
        <v>1.0168123739071959</v>
      </c>
      <c r="L312" s="88">
        <v>1.006044706983058</v>
      </c>
      <c r="M312" s="88">
        <v>1</v>
      </c>
      <c r="N312" s="90">
        <v>0.56999999999999995</v>
      </c>
      <c r="O312" s="90">
        <v>0.58308646285560117</v>
      </c>
      <c r="P312" s="90">
        <v>0.56586201364369337</v>
      </c>
      <c r="Q312" s="91">
        <v>0</v>
      </c>
      <c r="R312" s="88">
        <v>1</v>
      </c>
      <c r="S312" s="88">
        <v>0.9927403748134972</v>
      </c>
      <c r="T312" s="91">
        <v>-1.653439153439162E-2</v>
      </c>
      <c r="U312" s="91">
        <v>1.6812373907195699E-2</v>
      </c>
      <c r="V312" s="87">
        <v>0</v>
      </c>
      <c r="W312" s="91">
        <v>0</v>
      </c>
      <c r="X312" s="87">
        <v>1</v>
      </c>
      <c r="Y312" s="90">
        <v>0.58308646285560117</v>
      </c>
      <c r="Z312" s="90">
        <v>0.56586201364369337</v>
      </c>
      <c r="AA312" s="92">
        <v>0</v>
      </c>
      <c r="AB312" s="88">
        <v>0</v>
      </c>
      <c r="AC312" s="87">
        <v>1</v>
      </c>
      <c r="AD312" s="87">
        <v>0</v>
      </c>
      <c r="AE312" s="88">
        <v>1.041666666666667</v>
      </c>
      <c r="AF312" s="88">
        <v>1.016200824295963</v>
      </c>
      <c r="AG312" s="88">
        <v>1.058543436089364</v>
      </c>
      <c r="AH312" s="88">
        <v>17640</v>
      </c>
      <c r="AI312" s="88">
        <v>17348.333333333328</v>
      </c>
      <c r="AJ312" s="88">
        <v>16699.059080962801</v>
      </c>
      <c r="AK312" s="88">
        <v>17082.447881640888</v>
      </c>
      <c r="AL312" s="88">
        <v>16901.55107731538</v>
      </c>
      <c r="AM312" s="88">
        <v>16800</v>
      </c>
      <c r="AN312" s="88">
        <v>9576</v>
      </c>
      <c r="AO312" s="88">
        <v>9795.8525759741005</v>
      </c>
      <c r="AP312" s="88">
        <v>9506.481829214048</v>
      </c>
      <c r="AQ312" s="88">
        <v>0</v>
      </c>
      <c r="AR312" s="88">
        <v>16800</v>
      </c>
      <c r="AS312" s="88">
        <v>16678.038296866751</v>
      </c>
      <c r="AT312" s="88">
        <v>9795.8525759741005</v>
      </c>
      <c r="AU312" s="88">
        <v>9506.481829214048</v>
      </c>
      <c r="AV312" s="88">
        <v>16800</v>
      </c>
      <c r="AW312" s="88">
        <v>16632</v>
      </c>
      <c r="AX312" s="88">
        <v>16968</v>
      </c>
      <c r="AY312" s="88">
        <v>16800</v>
      </c>
      <c r="AZ312" s="88">
        <v>16800</v>
      </c>
      <c r="BA312" s="88">
        <v>16800</v>
      </c>
      <c r="BB312" s="88">
        <v>16800</v>
      </c>
      <c r="BC312" s="88">
        <v>16800</v>
      </c>
      <c r="BD312" s="88">
        <v>16800</v>
      </c>
      <c r="BE312" s="88">
        <v>16800</v>
      </c>
      <c r="BF312" s="88">
        <v>16800</v>
      </c>
      <c r="BG312" s="88">
        <v>16800</v>
      </c>
      <c r="BH312" s="88">
        <v>16800</v>
      </c>
      <c r="BI312" s="88">
        <v>16800</v>
      </c>
      <c r="BJ312" s="88">
        <v>16800</v>
      </c>
      <c r="BK312" s="88">
        <v>1127.90019674477</v>
      </c>
      <c r="BL312" s="88">
        <v>1127.5209324134239</v>
      </c>
      <c r="BM312" s="88">
        <v>1127.142666012579</v>
      </c>
      <c r="BN312" s="88">
        <v>1126.752622085643</v>
      </c>
      <c r="BO312" s="88">
        <v>1126.363636363641</v>
      </c>
      <c r="BP312" s="88">
        <v>1125.9757045459589</v>
      </c>
      <c r="BQ312" s="88">
        <v>1125.5888223552911</v>
      </c>
      <c r="BR312" s="88">
        <v>1125.196669029059</v>
      </c>
      <c r="BS312" s="88">
        <v>1124.8118903855079</v>
      </c>
      <c r="BT312" s="88">
        <v>1124.428148606268</v>
      </c>
      <c r="BU312" s="88">
        <v>270.5194661960947</v>
      </c>
      <c r="BV312" s="88">
        <v>270.1559608776094</v>
      </c>
      <c r="BW312" s="88">
        <v>840.0000000000008</v>
      </c>
      <c r="BX312" s="88">
        <v>840.0000000000008</v>
      </c>
      <c r="BY312" s="88">
        <v>840.0000000000008</v>
      </c>
      <c r="BZ312" s="88">
        <v>840.0000000000008</v>
      </c>
      <c r="CA312" s="88">
        <v>840.0000000000008</v>
      </c>
      <c r="CB312" s="88">
        <v>840.0000000000008</v>
      </c>
      <c r="CC312" s="88">
        <v>840.0000000000008</v>
      </c>
      <c r="CD312" s="88">
        <v>840.0000000000008</v>
      </c>
      <c r="CE312" s="88">
        <v>840.0000000000008</v>
      </c>
      <c r="CF312" s="88">
        <v>840.0000000000008</v>
      </c>
      <c r="CG312" s="88">
        <v>0</v>
      </c>
      <c r="CH312" s="88">
        <v>0</v>
      </c>
      <c r="CI312" s="88">
        <v>16800</v>
      </c>
      <c r="CJ312" s="88">
        <v>16800</v>
      </c>
      <c r="CK312" s="88">
        <v>16800</v>
      </c>
      <c r="CL312" s="88">
        <v>16800</v>
      </c>
      <c r="CM312" s="88">
        <v>16800</v>
      </c>
      <c r="CN312" s="88">
        <v>16800</v>
      </c>
      <c r="CO312" s="88">
        <v>16800</v>
      </c>
      <c r="CP312" s="88">
        <v>16800</v>
      </c>
      <c r="CQ312" s="88">
        <v>16800</v>
      </c>
      <c r="CR312" s="88">
        <v>16800</v>
      </c>
      <c r="CS312" s="88">
        <v>16800</v>
      </c>
      <c r="CT312" s="88">
        <v>16800</v>
      </c>
      <c r="CU312" s="88">
        <v>274.19066356644828</v>
      </c>
      <c r="CV312" s="88">
        <v>273.82945944135508</v>
      </c>
      <c r="CW312" s="88">
        <v>273.46920572626442</v>
      </c>
      <c r="CX312" s="88">
        <v>273.09773531966039</v>
      </c>
      <c r="CY312" s="88">
        <v>272.72727272727508</v>
      </c>
      <c r="CZ312" s="88">
        <v>272.35781385329318</v>
      </c>
      <c r="DA312" s="88">
        <v>271.98935462408741</v>
      </c>
      <c r="DB312" s="88">
        <v>271.61587526577068</v>
      </c>
      <c r="DC312" s="88">
        <v>271.24941941476999</v>
      </c>
      <c r="DD312" s="88">
        <v>270.8839510535862</v>
      </c>
      <c r="DE312" s="88">
        <v>270.5194661960947</v>
      </c>
      <c r="DF312" s="88">
        <v>270.1559608776094</v>
      </c>
      <c r="DG312" s="93">
        <v>46327</v>
      </c>
      <c r="DH312" s="91">
        <v>0.05</v>
      </c>
      <c r="DI312" t="s">
        <v>301</v>
      </c>
      <c r="DJ312" s="93"/>
      <c r="DK312" s="91"/>
      <c r="DM312" s="93"/>
      <c r="DN312" s="91"/>
      <c r="DP312" s="93"/>
      <c r="DQ312" s="91"/>
    </row>
    <row r="313" spans="1:121" x14ac:dyDescent="0.3">
      <c r="A313" t="s">
        <v>30</v>
      </c>
      <c r="B313" t="s">
        <v>47</v>
      </c>
      <c r="C313" t="s">
        <v>92</v>
      </c>
      <c r="D313" t="s">
        <v>420</v>
      </c>
      <c r="E313" t="s">
        <v>676</v>
      </c>
      <c r="F313" s="86">
        <v>12000</v>
      </c>
      <c r="G313" s="87">
        <v>12</v>
      </c>
      <c r="H313" s="88">
        <v>1</v>
      </c>
      <c r="I313" s="88">
        <v>1</v>
      </c>
      <c r="J313" s="89">
        <v>0.9900000000000001</v>
      </c>
      <c r="K313" s="88">
        <v>1</v>
      </c>
      <c r="L313" s="88">
        <v>1.0101010101010099</v>
      </c>
      <c r="M313" s="88">
        <v>1</v>
      </c>
      <c r="N313" s="90">
        <v>0.55400000000000005</v>
      </c>
      <c r="O313" s="90">
        <v>0.55959595959595954</v>
      </c>
      <c r="P313" s="90">
        <v>0.55959595959595954</v>
      </c>
      <c r="Q313" s="91">
        <v>0</v>
      </c>
      <c r="R313" s="88">
        <v>1</v>
      </c>
      <c r="S313" s="88">
        <v>1.0101010101010099</v>
      </c>
      <c r="T313" s="91">
        <v>0</v>
      </c>
      <c r="U313" s="91">
        <v>0</v>
      </c>
      <c r="V313" s="87">
        <v>0</v>
      </c>
      <c r="W313" s="91">
        <v>0</v>
      </c>
      <c r="X313" s="87">
        <v>1</v>
      </c>
      <c r="Y313" s="90">
        <v>0.55959595959595954</v>
      </c>
      <c r="Z313" s="90">
        <v>0.55959595959595954</v>
      </c>
      <c r="AA313" s="92">
        <v>0</v>
      </c>
      <c r="AB313" s="88">
        <v>0</v>
      </c>
      <c r="AC313" s="87">
        <v>0</v>
      </c>
      <c r="AD313" s="87">
        <v>0</v>
      </c>
      <c r="AE313" s="88">
        <v>1</v>
      </c>
      <c r="AF313" s="88">
        <v>1</v>
      </c>
      <c r="AG313" s="88">
        <v>1</v>
      </c>
      <c r="AH313" s="88">
        <v>12000</v>
      </c>
      <c r="AI313" s="88">
        <v>12000</v>
      </c>
      <c r="AJ313" s="88">
        <v>11880</v>
      </c>
      <c r="AK313" s="88">
        <v>12000</v>
      </c>
      <c r="AL313" s="88">
        <v>12121.21212121212</v>
      </c>
      <c r="AM313" s="88">
        <v>12000</v>
      </c>
      <c r="AN313" s="88">
        <v>6648.0000000000009</v>
      </c>
      <c r="AO313" s="88">
        <v>6715.1515151515141</v>
      </c>
      <c r="AP313" s="88">
        <v>6715.1515151515141</v>
      </c>
      <c r="AQ313" s="88">
        <v>0</v>
      </c>
      <c r="AR313" s="88">
        <v>12000</v>
      </c>
      <c r="AS313" s="88">
        <v>12121.21212121212</v>
      </c>
      <c r="AT313" s="88">
        <v>6715.1515151515141</v>
      </c>
      <c r="AU313" s="88">
        <v>6715.1515151515141</v>
      </c>
      <c r="AV313" s="88">
        <v>12000</v>
      </c>
      <c r="AW313" s="88">
        <v>11880</v>
      </c>
      <c r="AX313" s="88">
        <v>11880</v>
      </c>
      <c r="AY313" s="88">
        <v>12000</v>
      </c>
      <c r="AZ313" s="88">
        <v>12000</v>
      </c>
      <c r="BA313" s="88">
        <v>12000</v>
      </c>
      <c r="BB313" s="88">
        <v>12000</v>
      </c>
      <c r="BC313" s="88">
        <v>12000</v>
      </c>
      <c r="BD313" s="88">
        <v>12000</v>
      </c>
      <c r="BE313" s="88">
        <v>12000</v>
      </c>
      <c r="BF313" s="88">
        <v>12000</v>
      </c>
      <c r="BG313" s="88">
        <v>12000</v>
      </c>
      <c r="BH313" s="88">
        <v>12000</v>
      </c>
      <c r="BI313" s="88">
        <v>12000</v>
      </c>
      <c r="BJ313" s="88">
        <v>12000</v>
      </c>
      <c r="BK313" s="88">
        <v>0</v>
      </c>
      <c r="BL313" s="88">
        <v>0</v>
      </c>
      <c r="BM313" s="88">
        <v>0</v>
      </c>
      <c r="BN313" s="88">
        <v>0</v>
      </c>
      <c r="BO313" s="88">
        <v>0</v>
      </c>
      <c r="BP313" s="88">
        <v>0</v>
      </c>
      <c r="BQ313" s="88">
        <v>0</v>
      </c>
      <c r="BR313" s="88">
        <v>0</v>
      </c>
      <c r="BS313" s="88">
        <v>0</v>
      </c>
      <c r="BT313" s="88">
        <v>0</v>
      </c>
      <c r="BU313" s="88">
        <v>0</v>
      </c>
      <c r="BV313" s="88">
        <v>0</v>
      </c>
      <c r="BW313" s="88">
        <v>0</v>
      </c>
      <c r="BX313" s="88">
        <v>0</v>
      </c>
      <c r="BY313" s="88">
        <v>0</v>
      </c>
      <c r="BZ313" s="88">
        <v>0</v>
      </c>
      <c r="CA313" s="88">
        <v>0</v>
      </c>
      <c r="CB313" s="88">
        <v>0</v>
      </c>
      <c r="CC313" s="88">
        <v>0</v>
      </c>
      <c r="CD313" s="88">
        <v>0</v>
      </c>
      <c r="CE313" s="88">
        <v>0</v>
      </c>
      <c r="CF313" s="88">
        <v>0</v>
      </c>
      <c r="CG313" s="88">
        <v>0</v>
      </c>
      <c r="CH313" s="88">
        <v>0</v>
      </c>
      <c r="CI313" s="88">
        <v>12000</v>
      </c>
      <c r="CJ313" s="88">
        <v>12000</v>
      </c>
      <c r="CK313" s="88">
        <v>12000</v>
      </c>
      <c r="CL313" s="88">
        <v>12000</v>
      </c>
      <c r="CM313" s="88">
        <v>12000</v>
      </c>
      <c r="CN313" s="88">
        <v>12000</v>
      </c>
      <c r="CO313" s="88">
        <v>12000</v>
      </c>
      <c r="CP313" s="88">
        <v>12000</v>
      </c>
      <c r="CQ313" s="88">
        <v>12000</v>
      </c>
      <c r="CR313" s="88">
        <v>12000</v>
      </c>
      <c r="CS313" s="88">
        <v>12000</v>
      </c>
      <c r="CT313" s="88">
        <v>12000</v>
      </c>
      <c r="CU313" s="88">
        <v>0</v>
      </c>
      <c r="CV313" s="88">
        <v>0</v>
      </c>
      <c r="CW313" s="88">
        <v>0</v>
      </c>
      <c r="CX313" s="88">
        <v>0</v>
      </c>
      <c r="CY313" s="88">
        <v>0</v>
      </c>
      <c r="CZ313" s="88">
        <v>0</v>
      </c>
      <c r="DA313" s="88">
        <v>0</v>
      </c>
      <c r="DB313" s="88">
        <v>0</v>
      </c>
      <c r="DC313" s="88">
        <v>0</v>
      </c>
      <c r="DD313" s="88">
        <v>0</v>
      </c>
      <c r="DE313" s="88">
        <v>0</v>
      </c>
      <c r="DF313" s="88">
        <v>0</v>
      </c>
      <c r="DG313" s="93"/>
      <c r="DH313" s="91"/>
      <c r="DJ313" s="93"/>
      <c r="DK313" s="91"/>
      <c r="DM313" s="93"/>
      <c r="DN313" s="91"/>
      <c r="DP313" s="93"/>
      <c r="DQ313" s="91"/>
    </row>
    <row r="314" spans="1:121" x14ac:dyDescent="0.3">
      <c r="A314" t="s">
        <v>30</v>
      </c>
      <c r="B314" t="s">
        <v>47</v>
      </c>
      <c r="C314" t="s">
        <v>94</v>
      </c>
      <c r="D314" t="s">
        <v>422</v>
      </c>
      <c r="E314" t="s">
        <v>677</v>
      </c>
      <c r="F314" s="86">
        <v>27600</v>
      </c>
      <c r="G314" s="87">
        <v>12</v>
      </c>
      <c r="H314" s="88">
        <v>1.02</v>
      </c>
      <c r="I314" s="88">
        <v>1.02</v>
      </c>
      <c r="J314" s="89">
        <v>0.99299370897155337</v>
      </c>
      <c r="K314" s="88">
        <v>1</v>
      </c>
      <c r="L314" s="88">
        <v>1.007055725494679</v>
      </c>
      <c r="M314" s="88">
        <v>1</v>
      </c>
      <c r="N314" s="90">
        <v>0.53800000000000003</v>
      </c>
      <c r="O314" s="90">
        <v>0.54179598031613763</v>
      </c>
      <c r="P314" s="90">
        <v>0.53639909835564992</v>
      </c>
      <c r="Q314" s="91">
        <v>0</v>
      </c>
      <c r="R314" s="88">
        <v>1</v>
      </c>
      <c r="S314" s="88">
        <v>0.99702434638596604</v>
      </c>
      <c r="T314" s="91">
        <v>0</v>
      </c>
      <c r="U314" s="91">
        <v>0</v>
      </c>
      <c r="V314" s="87">
        <v>0</v>
      </c>
      <c r="W314" s="91">
        <v>0</v>
      </c>
      <c r="X314" s="87">
        <v>1</v>
      </c>
      <c r="Y314" s="90">
        <v>0.54179598031613763</v>
      </c>
      <c r="Z314" s="90">
        <v>0.53639909835564992</v>
      </c>
      <c r="AA314" s="92">
        <v>0</v>
      </c>
      <c r="AB314" s="88">
        <v>0</v>
      </c>
      <c r="AC314" s="87">
        <v>1</v>
      </c>
      <c r="AD314" s="87">
        <v>0</v>
      </c>
      <c r="AE314" s="88">
        <v>1</v>
      </c>
      <c r="AF314" s="88">
        <v>1.012138206284618</v>
      </c>
      <c r="AG314" s="88">
        <v>1.012138206284618</v>
      </c>
      <c r="AH314" s="88">
        <v>28152</v>
      </c>
      <c r="AI314" s="88">
        <v>28151.999999999989</v>
      </c>
      <c r="AJ314" s="88">
        <v>27406.62636761487</v>
      </c>
      <c r="AK314" s="88">
        <v>27600.000000000011</v>
      </c>
      <c r="AL314" s="88">
        <v>27794.73802365315</v>
      </c>
      <c r="AM314" s="88">
        <v>27600</v>
      </c>
      <c r="AN314" s="88">
        <v>14848.8</v>
      </c>
      <c r="AO314" s="88">
        <v>14953.569056725401</v>
      </c>
      <c r="AP314" s="88">
        <v>14804.615114615939</v>
      </c>
      <c r="AQ314" s="88">
        <v>0</v>
      </c>
      <c r="AR314" s="88">
        <v>27600.000000000011</v>
      </c>
      <c r="AS314" s="88">
        <v>27517.871960252662</v>
      </c>
      <c r="AT314" s="88">
        <v>14953.569056725401</v>
      </c>
      <c r="AU314" s="88">
        <v>14804.615114615939</v>
      </c>
      <c r="AV314" s="88">
        <v>27600</v>
      </c>
      <c r="AW314" s="88">
        <v>27324</v>
      </c>
      <c r="AX314" s="88">
        <v>27738</v>
      </c>
      <c r="AY314" s="88">
        <v>27600</v>
      </c>
      <c r="AZ314" s="88">
        <v>27600</v>
      </c>
      <c r="BA314" s="88">
        <v>27600</v>
      </c>
      <c r="BB314" s="88">
        <v>27600</v>
      </c>
      <c r="BC314" s="88">
        <v>27600</v>
      </c>
      <c r="BD314" s="88">
        <v>27600</v>
      </c>
      <c r="BE314" s="88">
        <v>27600</v>
      </c>
      <c r="BF314" s="88">
        <v>27600</v>
      </c>
      <c r="BG314" s="88">
        <v>27600</v>
      </c>
      <c r="BH314" s="88">
        <v>27600</v>
      </c>
      <c r="BI314" s="88">
        <v>27600</v>
      </c>
      <c r="BJ314" s="88">
        <v>27600</v>
      </c>
      <c r="BK314" s="88">
        <v>336.8723770669983</v>
      </c>
      <c r="BL314" s="88">
        <v>336.5403888554834</v>
      </c>
      <c r="BM314" s="88">
        <v>336.20905434945257</v>
      </c>
      <c r="BN314" s="88">
        <v>335.86717343468348</v>
      </c>
      <c r="BO314" s="88">
        <v>335.52598711052798</v>
      </c>
      <c r="BP314" s="88">
        <v>335.18549326235251</v>
      </c>
      <c r="BQ314" s="88">
        <v>334.84568978410942</v>
      </c>
      <c r="BR314" s="88">
        <v>334.50102103497898</v>
      </c>
      <c r="BS314" s="88">
        <v>334.1626032441016</v>
      </c>
      <c r="BT314" s="88">
        <v>333.82486952199571</v>
      </c>
      <c r="BU314" s="88">
        <v>333.487817796608</v>
      </c>
      <c r="BV314" s="88">
        <v>333.15144600426908</v>
      </c>
      <c r="BW314" s="88">
        <v>0</v>
      </c>
      <c r="BX314" s="88">
        <v>0</v>
      </c>
      <c r="BY314" s="88">
        <v>0</v>
      </c>
      <c r="BZ314" s="88">
        <v>0</v>
      </c>
      <c r="CA314" s="88">
        <v>0</v>
      </c>
      <c r="CB314" s="88">
        <v>0</v>
      </c>
      <c r="CC314" s="88">
        <v>0</v>
      </c>
      <c r="CD314" s="88">
        <v>0</v>
      </c>
      <c r="CE314" s="88">
        <v>0</v>
      </c>
      <c r="CF314" s="88">
        <v>0</v>
      </c>
      <c r="CG314" s="88">
        <v>0</v>
      </c>
      <c r="CH314" s="88">
        <v>0</v>
      </c>
      <c r="CI314" s="88">
        <v>27600</v>
      </c>
      <c r="CJ314" s="88">
        <v>27600</v>
      </c>
      <c r="CK314" s="88">
        <v>27600</v>
      </c>
      <c r="CL314" s="88">
        <v>27600</v>
      </c>
      <c r="CM314" s="88">
        <v>27600</v>
      </c>
      <c r="CN314" s="88">
        <v>27600</v>
      </c>
      <c r="CO314" s="88">
        <v>27600</v>
      </c>
      <c r="CP314" s="88">
        <v>27600</v>
      </c>
      <c r="CQ314" s="88">
        <v>27600</v>
      </c>
      <c r="CR314" s="88">
        <v>27600</v>
      </c>
      <c r="CS314" s="88">
        <v>27600</v>
      </c>
      <c r="CT314" s="88">
        <v>27600</v>
      </c>
      <c r="CU314" s="88">
        <v>336.8723770669983</v>
      </c>
      <c r="CV314" s="88">
        <v>336.5403888554834</v>
      </c>
      <c r="CW314" s="88">
        <v>336.20905434945257</v>
      </c>
      <c r="CX314" s="88">
        <v>335.86717343468348</v>
      </c>
      <c r="CY314" s="88">
        <v>335.52598711052798</v>
      </c>
      <c r="CZ314" s="88">
        <v>335.18549326235251</v>
      </c>
      <c r="DA314" s="88">
        <v>334.84568978410942</v>
      </c>
      <c r="DB314" s="88">
        <v>334.50102103497898</v>
      </c>
      <c r="DC314" s="88">
        <v>334.1626032441016</v>
      </c>
      <c r="DD314" s="88">
        <v>333.82486952199571</v>
      </c>
      <c r="DE314" s="88">
        <v>333.487817796608</v>
      </c>
      <c r="DF314" s="88">
        <v>333.15144600426908</v>
      </c>
      <c r="DG314" s="93">
        <v>46023</v>
      </c>
      <c r="DH314" s="91">
        <v>0.02</v>
      </c>
      <c r="DI314" t="s">
        <v>301</v>
      </c>
      <c r="DJ314" s="93"/>
      <c r="DK314" s="91"/>
      <c r="DM314" s="93"/>
      <c r="DN314" s="91"/>
      <c r="DP314" s="93"/>
      <c r="DQ314" s="91"/>
    </row>
    <row r="315" spans="1:121" x14ac:dyDescent="0.3">
      <c r="A315" t="s">
        <v>30</v>
      </c>
      <c r="B315" t="s">
        <v>47</v>
      </c>
      <c r="C315" t="s">
        <v>95</v>
      </c>
      <c r="D315" t="s">
        <v>424</v>
      </c>
      <c r="E315" t="s">
        <v>678</v>
      </c>
      <c r="F315" s="86">
        <v>22800</v>
      </c>
      <c r="G315" s="87">
        <v>12</v>
      </c>
      <c r="H315" s="88">
        <v>1.03</v>
      </c>
      <c r="I315" s="88">
        <v>1.0472055555555559</v>
      </c>
      <c r="J315" s="89">
        <v>0.98900209700948194</v>
      </c>
      <c r="K315" s="88">
        <v>0.98357003029225942</v>
      </c>
      <c r="L315" s="88">
        <v>1.011120201892163</v>
      </c>
      <c r="M315" s="88">
        <v>1</v>
      </c>
      <c r="N315" s="90">
        <v>0.56599999999999995</v>
      </c>
      <c r="O315" s="90">
        <v>0.56289126062397155</v>
      </c>
      <c r="P315" s="90">
        <v>0.55221570433782474</v>
      </c>
      <c r="Q315" s="91">
        <v>0</v>
      </c>
      <c r="R315" s="88">
        <v>0.96166688927474275</v>
      </c>
      <c r="S315" s="88">
        <v>1.0145364591620769</v>
      </c>
      <c r="T315" s="91">
        <v>1.6704422869471269E-2</v>
      </c>
      <c r="U315" s="91">
        <v>2.277622455529826E-2</v>
      </c>
      <c r="V315" s="87">
        <v>0</v>
      </c>
      <c r="W315" s="91">
        <v>0</v>
      </c>
      <c r="X315" s="87">
        <v>1</v>
      </c>
      <c r="Y315" s="90">
        <v>0.56289126062397155</v>
      </c>
      <c r="Z315" s="90">
        <v>0.55221570433782474</v>
      </c>
      <c r="AA315" s="92">
        <v>0</v>
      </c>
      <c r="AB315" s="88">
        <v>0</v>
      </c>
      <c r="AC315" s="87">
        <v>1</v>
      </c>
      <c r="AD315" s="87">
        <v>1</v>
      </c>
      <c r="AE315" s="88">
        <v>1.039166666666667</v>
      </c>
      <c r="AF315" s="88">
        <v>0.99597028697853884</v>
      </c>
      <c r="AG315" s="88">
        <v>1.034979117063237</v>
      </c>
      <c r="AH315" s="88">
        <v>23484</v>
      </c>
      <c r="AI315" s="88">
        <v>23876.28666666667</v>
      </c>
      <c r="AJ315" s="88">
        <v>22549.247811816189</v>
      </c>
      <c r="AK315" s="88">
        <v>22425.396690663511</v>
      </c>
      <c r="AL315" s="88">
        <v>23053.540603141311</v>
      </c>
      <c r="AM315" s="88">
        <v>22800</v>
      </c>
      <c r="AN315" s="88">
        <v>12904.8</v>
      </c>
      <c r="AO315" s="88">
        <v>12833.92074222655</v>
      </c>
      <c r="AP315" s="88">
        <v>12590.5180589024</v>
      </c>
      <c r="AQ315" s="88">
        <v>0</v>
      </c>
      <c r="AR315" s="88">
        <v>21926.005075464131</v>
      </c>
      <c r="AS315" s="88">
        <v>23131.431268895351</v>
      </c>
      <c r="AT315" s="88">
        <v>12833.92074222655</v>
      </c>
      <c r="AU315" s="88">
        <v>12590.5180589024</v>
      </c>
      <c r="AV315" s="88">
        <v>22800</v>
      </c>
      <c r="AW315" s="88">
        <v>22572</v>
      </c>
      <c r="AX315" s="88">
        <v>22458</v>
      </c>
      <c r="AY315" s="88">
        <v>22800</v>
      </c>
      <c r="AZ315" s="88">
        <v>22800</v>
      </c>
      <c r="BA315" s="88">
        <v>22800</v>
      </c>
      <c r="BB315" s="88">
        <v>22800</v>
      </c>
      <c r="BC315" s="88">
        <v>22800</v>
      </c>
      <c r="BD315" s="88">
        <v>22800</v>
      </c>
      <c r="BE315" s="88">
        <v>22800</v>
      </c>
      <c r="BF315" s="88">
        <v>22800</v>
      </c>
      <c r="BG315" s="88">
        <v>22800</v>
      </c>
      <c r="BH315" s="88">
        <v>22800</v>
      </c>
      <c r="BI315" s="88">
        <v>22800</v>
      </c>
      <c r="BJ315" s="88">
        <v>22800</v>
      </c>
      <c r="BK315" s="88">
        <v>589.53968052808227</v>
      </c>
      <c r="BL315" s="88">
        <v>816.59157351676708</v>
      </c>
      <c r="BM315" s="88">
        <v>816.56053680618129</v>
      </c>
      <c r="BN315" s="88">
        <v>816.52842676550415</v>
      </c>
      <c r="BO315" s="88">
        <v>816.49629511109265</v>
      </c>
      <c r="BP315" s="88">
        <v>816.46414182111141</v>
      </c>
      <c r="BQ315" s="88">
        <v>816.43196687370528</v>
      </c>
      <c r="BR315" s="88">
        <v>816.39924225269476</v>
      </c>
      <c r="BS315" s="88">
        <v>816.36702356879869</v>
      </c>
      <c r="BT315" s="88">
        <v>816.33478316136006</v>
      </c>
      <c r="BU315" s="88">
        <v>816.30252100840175</v>
      </c>
      <c r="BV315" s="88">
        <v>816.27023708791683</v>
      </c>
      <c r="BW315" s="88">
        <v>684.00000000000057</v>
      </c>
      <c r="BX315" s="88">
        <v>912.0000000000008</v>
      </c>
      <c r="BY315" s="88">
        <v>912.0000000000008</v>
      </c>
      <c r="BZ315" s="88">
        <v>912.0000000000008</v>
      </c>
      <c r="CA315" s="88">
        <v>912.0000000000008</v>
      </c>
      <c r="CB315" s="88">
        <v>912.0000000000008</v>
      </c>
      <c r="CC315" s="88">
        <v>912.0000000000008</v>
      </c>
      <c r="CD315" s="88">
        <v>912.0000000000008</v>
      </c>
      <c r="CE315" s="88">
        <v>912.0000000000008</v>
      </c>
      <c r="CF315" s="88">
        <v>912.0000000000008</v>
      </c>
      <c r="CG315" s="88">
        <v>912.0000000000008</v>
      </c>
      <c r="CH315" s="88">
        <v>912.0000000000008</v>
      </c>
      <c r="CI315" s="88">
        <v>22800</v>
      </c>
      <c r="CJ315" s="88">
        <v>22800</v>
      </c>
      <c r="CK315" s="88">
        <v>22800</v>
      </c>
      <c r="CL315" s="88">
        <v>22800</v>
      </c>
      <c r="CM315" s="88">
        <v>22800</v>
      </c>
      <c r="CN315" s="88">
        <v>22800</v>
      </c>
      <c r="CO315" s="88">
        <v>22800</v>
      </c>
      <c r="CP315" s="88">
        <v>22800</v>
      </c>
      <c r="CQ315" s="88">
        <v>22800</v>
      </c>
      <c r="CR315" s="88">
        <v>22800</v>
      </c>
      <c r="CS315" s="88">
        <v>22800</v>
      </c>
      <c r="CT315" s="88">
        <v>22800</v>
      </c>
      <c r="CU315" s="88">
        <v>-91.70904803098874</v>
      </c>
      <c r="CV315" s="88">
        <v>-91.738871618493391</v>
      </c>
      <c r="CW315" s="88">
        <v>-91.7687146094421</v>
      </c>
      <c r="CX315" s="88">
        <v>-91.799589648553862</v>
      </c>
      <c r="CY315" s="88">
        <v>-91.83048547010327</v>
      </c>
      <c r="CZ315" s="88">
        <v>-91.861402095084969</v>
      </c>
      <c r="DA315" s="88">
        <v>-91.892339544513931</v>
      </c>
      <c r="DB315" s="88">
        <v>-91.923805526253716</v>
      </c>
      <c r="DC315" s="88">
        <v>-91.954785030001631</v>
      </c>
      <c r="DD315" s="88">
        <v>-91.985785421768057</v>
      </c>
      <c r="DE315" s="88">
        <v>-92.01680672268941</v>
      </c>
      <c r="DF315" s="88">
        <v>-92.047848953924927</v>
      </c>
      <c r="DG315" s="93">
        <v>46054</v>
      </c>
      <c r="DH315" s="91">
        <v>0.03</v>
      </c>
      <c r="DI315" t="s">
        <v>301</v>
      </c>
      <c r="DJ315" s="93">
        <v>46419</v>
      </c>
      <c r="DK315" s="91">
        <v>0.04</v>
      </c>
      <c r="DL315" t="s">
        <v>302</v>
      </c>
      <c r="DM315" s="93"/>
      <c r="DN315" s="91"/>
      <c r="DP315" s="93"/>
      <c r="DQ315" s="91"/>
    </row>
    <row r="316" spans="1:121" x14ac:dyDescent="0.3">
      <c r="A316" t="s">
        <v>30</v>
      </c>
      <c r="B316" t="s">
        <v>47</v>
      </c>
      <c r="C316" t="s">
        <v>96</v>
      </c>
      <c r="D316" t="s">
        <v>426</v>
      </c>
      <c r="E316" t="s">
        <v>679</v>
      </c>
      <c r="F316" s="86">
        <v>18000</v>
      </c>
      <c r="G316" s="87">
        <v>12</v>
      </c>
      <c r="H316" s="88">
        <v>1</v>
      </c>
      <c r="I316" s="88">
        <v>1</v>
      </c>
      <c r="J316" s="89">
        <v>0.99199580598103554</v>
      </c>
      <c r="K316" s="88">
        <v>1</v>
      </c>
      <c r="L316" s="88">
        <v>1.008068778084247</v>
      </c>
      <c r="M316" s="88">
        <v>1</v>
      </c>
      <c r="N316" s="90">
        <v>0.55000000000000004</v>
      </c>
      <c r="O316" s="90">
        <v>0.55443782794633578</v>
      </c>
      <c r="P316" s="90">
        <v>0.55073999829046383</v>
      </c>
      <c r="Q316" s="91">
        <v>0</v>
      </c>
      <c r="R316" s="88">
        <v>1</v>
      </c>
      <c r="S316" s="88">
        <v>1.0013454514372071</v>
      </c>
      <c r="T316" s="91">
        <v>0</v>
      </c>
      <c r="U316" s="91">
        <v>0</v>
      </c>
      <c r="V316" s="87">
        <v>0</v>
      </c>
      <c r="W316" s="91">
        <v>0</v>
      </c>
      <c r="X316" s="87">
        <v>1</v>
      </c>
      <c r="Y316" s="90">
        <v>0.55443782794633578</v>
      </c>
      <c r="Z316" s="90">
        <v>0.55073999829046383</v>
      </c>
      <c r="AA316" s="92">
        <v>0</v>
      </c>
      <c r="AB316" s="88">
        <v>0</v>
      </c>
      <c r="AC316" s="87">
        <v>0</v>
      </c>
      <c r="AD316" s="87">
        <v>0</v>
      </c>
      <c r="AE316" s="88">
        <v>1</v>
      </c>
      <c r="AF316" s="88">
        <v>1.0080839018517109</v>
      </c>
      <c r="AG316" s="88">
        <v>1.0080839018517109</v>
      </c>
      <c r="AH316" s="88">
        <v>18000</v>
      </c>
      <c r="AI316" s="88">
        <v>18000</v>
      </c>
      <c r="AJ316" s="88">
        <v>17855.924507658641</v>
      </c>
      <c r="AK316" s="88">
        <v>18000</v>
      </c>
      <c r="AL316" s="88">
        <v>18145.238005516439</v>
      </c>
      <c r="AM316" s="88">
        <v>18000</v>
      </c>
      <c r="AN316" s="88">
        <v>9900</v>
      </c>
      <c r="AO316" s="88">
        <v>9979.8809030340435</v>
      </c>
      <c r="AP316" s="88">
        <v>9913.3199692283488</v>
      </c>
      <c r="AQ316" s="88">
        <v>0</v>
      </c>
      <c r="AR316" s="88">
        <v>18000</v>
      </c>
      <c r="AS316" s="88">
        <v>18024.21812586972</v>
      </c>
      <c r="AT316" s="88">
        <v>9979.8809030340435</v>
      </c>
      <c r="AU316" s="88">
        <v>9913.3199692283488</v>
      </c>
      <c r="AV316" s="88">
        <v>18000</v>
      </c>
      <c r="AW316" s="88">
        <v>17820</v>
      </c>
      <c r="AX316" s="88">
        <v>18000</v>
      </c>
      <c r="AY316" s="88">
        <v>18000</v>
      </c>
      <c r="AZ316" s="88">
        <v>18000</v>
      </c>
      <c r="BA316" s="88">
        <v>18000</v>
      </c>
      <c r="BB316" s="88">
        <v>18000</v>
      </c>
      <c r="BC316" s="88">
        <v>18000</v>
      </c>
      <c r="BD316" s="88">
        <v>18000</v>
      </c>
      <c r="BE316" s="88">
        <v>18000</v>
      </c>
      <c r="BF316" s="88">
        <v>18000</v>
      </c>
      <c r="BG316" s="88">
        <v>18000</v>
      </c>
      <c r="BH316" s="88">
        <v>18000</v>
      </c>
      <c r="BI316" s="88">
        <v>18000</v>
      </c>
      <c r="BJ316" s="88">
        <v>18000</v>
      </c>
      <c r="BK316" s="88">
        <v>146.04705960809559</v>
      </c>
      <c r="BL316" s="88">
        <v>145.95134955014851</v>
      </c>
      <c r="BM316" s="88">
        <v>145.8557648547538</v>
      </c>
      <c r="BN316" s="88">
        <v>145.7570715474192</v>
      </c>
      <c r="BO316" s="88">
        <v>145.65851171143061</v>
      </c>
      <c r="BP316" s="88">
        <v>145.5600850762124</v>
      </c>
      <c r="BQ316" s="88">
        <v>145.46179137192451</v>
      </c>
      <c r="BR316" s="88">
        <v>145.36202223574389</v>
      </c>
      <c r="BS316" s="88">
        <v>145.26399575484339</v>
      </c>
      <c r="BT316" s="88">
        <v>145.16610139532071</v>
      </c>
      <c r="BU316" s="88">
        <v>145.06833889023741</v>
      </c>
      <c r="BV316" s="88">
        <v>144.9707079733904</v>
      </c>
      <c r="BW316" s="88">
        <v>0</v>
      </c>
      <c r="BX316" s="88">
        <v>0</v>
      </c>
      <c r="BY316" s="88">
        <v>0</v>
      </c>
      <c r="BZ316" s="88">
        <v>0</v>
      </c>
      <c r="CA316" s="88">
        <v>0</v>
      </c>
      <c r="CB316" s="88">
        <v>0</v>
      </c>
      <c r="CC316" s="88">
        <v>0</v>
      </c>
      <c r="CD316" s="88">
        <v>0</v>
      </c>
      <c r="CE316" s="88">
        <v>0</v>
      </c>
      <c r="CF316" s="88">
        <v>0</v>
      </c>
      <c r="CG316" s="88">
        <v>0</v>
      </c>
      <c r="CH316" s="88">
        <v>0</v>
      </c>
      <c r="CI316" s="88">
        <v>18000</v>
      </c>
      <c r="CJ316" s="88">
        <v>18000</v>
      </c>
      <c r="CK316" s="88">
        <v>18000</v>
      </c>
      <c r="CL316" s="88">
        <v>18000</v>
      </c>
      <c r="CM316" s="88">
        <v>18000</v>
      </c>
      <c r="CN316" s="88">
        <v>18000</v>
      </c>
      <c r="CO316" s="88">
        <v>18000</v>
      </c>
      <c r="CP316" s="88">
        <v>18000</v>
      </c>
      <c r="CQ316" s="88">
        <v>18000</v>
      </c>
      <c r="CR316" s="88">
        <v>18000</v>
      </c>
      <c r="CS316" s="88">
        <v>18000</v>
      </c>
      <c r="CT316" s="88">
        <v>18000</v>
      </c>
      <c r="CU316" s="88">
        <v>146.04705960809559</v>
      </c>
      <c r="CV316" s="88">
        <v>145.95134955014851</v>
      </c>
      <c r="CW316" s="88">
        <v>145.8557648547538</v>
      </c>
      <c r="CX316" s="88">
        <v>145.7570715474192</v>
      </c>
      <c r="CY316" s="88">
        <v>145.65851171143061</v>
      </c>
      <c r="CZ316" s="88">
        <v>145.5600850762124</v>
      </c>
      <c r="DA316" s="88">
        <v>145.46179137192451</v>
      </c>
      <c r="DB316" s="88">
        <v>145.36202223574389</v>
      </c>
      <c r="DC316" s="88">
        <v>145.26399575484339</v>
      </c>
      <c r="DD316" s="88">
        <v>145.16610139532071</v>
      </c>
      <c r="DE316" s="88">
        <v>145.06833889023741</v>
      </c>
      <c r="DF316" s="88">
        <v>144.9707079733904</v>
      </c>
      <c r="DG316" s="93"/>
      <c r="DH316" s="91"/>
      <c r="DJ316" s="93"/>
      <c r="DK316" s="91"/>
      <c r="DM316" s="93"/>
      <c r="DN316" s="91"/>
      <c r="DP316" s="93"/>
      <c r="DQ316" s="91"/>
    </row>
    <row r="317" spans="1:121" x14ac:dyDescent="0.3">
      <c r="A317" t="s">
        <v>32</v>
      </c>
      <c r="B317" t="s">
        <v>42</v>
      </c>
      <c r="C317" t="s">
        <v>43</v>
      </c>
      <c r="D317" t="s">
        <v>299</v>
      </c>
      <c r="E317" t="s">
        <v>680</v>
      </c>
      <c r="F317" s="86">
        <v>6400</v>
      </c>
      <c r="G317" s="87">
        <v>6</v>
      </c>
      <c r="H317" s="88">
        <v>1.1024</v>
      </c>
      <c r="I317" s="88">
        <v>1.1299600000000001</v>
      </c>
      <c r="J317" s="89">
        <v>0.87197757111597374</v>
      </c>
      <c r="K317" s="88">
        <v>0.97560975609756095</v>
      </c>
      <c r="L317" s="88">
        <v>0.97479571511472884</v>
      </c>
      <c r="M317" s="88">
        <v>1</v>
      </c>
      <c r="N317" s="90">
        <v>0.65</v>
      </c>
      <c r="O317" s="90">
        <v>0.61816313641421827</v>
      </c>
      <c r="P317" s="90">
        <v>0.59190316879792326</v>
      </c>
      <c r="Q317" s="91">
        <v>0</v>
      </c>
      <c r="R317" s="88">
        <v>0.95238095238095233</v>
      </c>
      <c r="S317" s="88">
        <v>0.95615127267356836</v>
      </c>
      <c r="T317" s="91">
        <v>2.500000000000013E-2</v>
      </c>
      <c r="U317" s="91">
        <v>2.439024390243905E-2</v>
      </c>
      <c r="V317" s="87">
        <v>0</v>
      </c>
      <c r="W317" s="91">
        <v>0</v>
      </c>
      <c r="X317" s="87">
        <v>1</v>
      </c>
      <c r="Y317" s="90">
        <v>0.61816313641421827</v>
      </c>
      <c r="Z317" s="90">
        <v>0.59190316879792326</v>
      </c>
      <c r="AA317" s="92">
        <v>0</v>
      </c>
      <c r="AB317" s="88">
        <v>0</v>
      </c>
      <c r="AC317" s="87">
        <v>2</v>
      </c>
      <c r="AD317" s="87">
        <v>1</v>
      </c>
      <c r="AE317" s="88">
        <v>1.0682499999999999</v>
      </c>
      <c r="AF317" s="88">
        <v>1.028058522028005</v>
      </c>
      <c r="AG317" s="88">
        <v>1.098225804678618</v>
      </c>
      <c r="AH317" s="88">
        <v>7055.3600000000006</v>
      </c>
      <c r="AI317" s="88">
        <v>7231.7440000000006</v>
      </c>
      <c r="AJ317" s="88">
        <v>5580.6564551422316</v>
      </c>
      <c r="AK317" s="88">
        <v>6243.9024390243903</v>
      </c>
      <c r="AL317" s="88">
        <v>6238.6925767342645</v>
      </c>
      <c r="AM317" s="88">
        <v>6400</v>
      </c>
      <c r="AN317" s="88">
        <v>4160</v>
      </c>
      <c r="AO317" s="88">
        <v>3956.244073050997</v>
      </c>
      <c r="AP317" s="88">
        <v>3788.1802803067089</v>
      </c>
      <c r="AQ317" s="88">
        <v>0</v>
      </c>
      <c r="AR317" s="88">
        <v>6095.2380952380954</v>
      </c>
      <c r="AS317" s="88">
        <v>6119.3681451108378</v>
      </c>
      <c r="AT317" s="88">
        <v>3956.244073050997</v>
      </c>
      <c r="AU317" s="88">
        <v>3788.1802803067089</v>
      </c>
      <c r="AV317" s="88">
        <v>5440</v>
      </c>
      <c r="AW317" s="88">
        <v>5504</v>
      </c>
      <c r="AX317" s="88">
        <v>5696</v>
      </c>
      <c r="AY317" s="88">
        <v>6400</v>
      </c>
      <c r="AZ317" s="88">
        <v>6400</v>
      </c>
      <c r="BA317" s="88">
        <v>6400</v>
      </c>
      <c r="BB317" s="88">
        <v>6400</v>
      </c>
      <c r="BC317" s="88">
        <v>6400</v>
      </c>
      <c r="BD317" s="88">
        <v>6400</v>
      </c>
      <c r="BE317" s="88">
        <v>6400</v>
      </c>
      <c r="BF317" s="88">
        <v>6400</v>
      </c>
      <c r="BG317" s="88">
        <v>6400</v>
      </c>
      <c r="BH317" s="88">
        <v>6400</v>
      </c>
      <c r="BI317" s="88">
        <v>6400</v>
      </c>
      <c r="BJ317" s="88">
        <v>6400</v>
      </c>
      <c r="BK317" s="88">
        <v>576.79980274854472</v>
      </c>
      <c r="BL317" s="88">
        <v>576.35796778704253</v>
      </c>
      <c r="BM317" s="88">
        <v>575.91815328174926</v>
      </c>
      <c r="BN317" s="88">
        <v>924.23881643383652</v>
      </c>
      <c r="BO317" s="88">
        <v>923.76580825158499</v>
      </c>
      <c r="BP317" s="88">
        <v>923.29502065108636</v>
      </c>
      <c r="BQ317" s="88">
        <v>508.32682833194701</v>
      </c>
      <c r="BR317" s="88">
        <v>507.87963896797089</v>
      </c>
      <c r="BS317" s="88">
        <v>507.44173013730028</v>
      </c>
      <c r="BT317" s="88">
        <v>507.00585791072109</v>
      </c>
      <c r="BU317" s="88">
        <v>506.57200811359218</v>
      </c>
      <c r="BV317" s="88">
        <v>506.14016670250379</v>
      </c>
      <c r="BW317" s="88">
        <v>384.00000000000028</v>
      </c>
      <c r="BX317" s="88">
        <v>384.00000000000028</v>
      </c>
      <c r="BY317" s="88">
        <v>384.00000000000028</v>
      </c>
      <c r="BZ317" s="88">
        <v>723.19999999999993</v>
      </c>
      <c r="CA317" s="88">
        <v>723.19999999999993</v>
      </c>
      <c r="CB317" s="88">
        <v>723.19999999999993</v>
      </c>
      <c r="CC317" s="88">
        <v>320.00000000000028</v>
      </c>
      <c r="CD317" s="88">
        <v>320.00000000000028</v>
      </c>
      <c r="CE317" s="88">
        <v>320.00000000000028</v>
      </c>
      <c r="CF317" s="88">
        <v>320.00000000000028</v>
      </c>
      <c r="CG317" s="88">
        <v>320.00000000000028</v>
      </c>
      <c r="CH317" s="88">
        <v>320.00000000000028</v>
      </c>
      <c r="CI317" s="88">
        <v>6400</v>
      </c>
      <c r="CJ317" s="88">
        <v>6400</v>
      </c>
      <c r="CK317" s="88">
        <v>6400</v>
      </c>
      <c r="CL317" s="88">
        <v>6400</v>
      </c>
      <c r="CM317" s="88">
        <v>6400</v>
      </c>
      <c r="CN317" s="88">
        <v>6400</v>
      </c>
      <c r="CO317" s="88">
        <v>6400</v>
      </c>
      <c r="CP317" s="88">
        <v>6400</v>
      </c>
      <c r="CQ317" s="88">
        <v>6400</v>
      </c>
      <c r="CR317" s="88">
        <v>6400</v>
      </c>
      <c r="CS317" s="88">
        <v>6400</v>
      </c>
      <c r="CT317" s="88">
        <v>6400</v>
      </c>
      <c r="CU317" s="88">
        <v>181.88660636655101</v>
      </c>
      <c r="CV317" s="88">
        <v>181.46978093117241</v>
      </c>
      <c r="CW317" s="88">
        <v>181.05486158655569</v>
      </c>
      <c r="CX317" s="88">
        <v>180.62786741584631</v>
      </c>
      <c r="CY317" s="88">
        <v>180.2028825261317</v>
      </c>
      <c r="CZ317" s="88">
        <v>179.77989276827199</v>
      </c>
      <c r="DA317" s="88">
        <v>179.35888412566359</v>
      </c>
      <c r="DB317" s="88">
        <v>178.93298949330469</v>
      </c>
      <c r="DC317" s="88">
        <v>178.51593346409521</v>
      </c>
      <c r="DD317" s="88">
        <v>178.10081705782889</v>
      </c>
      <c r="DE317" s="88">
        <v>177.68762677484921</v>
      </c>
      <c r="DF317" s="88">
        <v>177.27634924047919</v>
      </c>
      <c r="DG317" s="93">
        <v>45839</v>
      </c>
      <c r="DH317" s="91">
        <v>0.04</v>
      </c>
      <c r="DI317" t="s">
        <v>301</v>
      </c>
      <c r="DJ317" s="93">
        <v>46204</v>
      </c>
      <c r="DK317" s="91">
        <v>0.06</v>
      </c>
      <c r="DL317" t="s">
        <v>301</v>
      </c>
      <c r="DM317" s="93">
        <v>46478</v>
      </c>
      <c r="DN317" s="91">
        <v>0.05</v>
      </c>
      <c r="DO317" t="s">
        <v>302</v>
      </c>
      <c r="DP317" s="93"/>
      <c r="DQ317" s="91"/>
    </row>
    <row r="318" spans="1:121" x14ac:dyDescent="0.3">
      <c r="A318" t="s">
        <v>32</v>
      </c>
      <c r="B318" t="s">
        <v>42</v>
      </c>
      <c r="C318" t="s">
        <v>46</v>
      </c>
      <c r="D318" t="s">
        <v>303</v>
      </c>
      <c r="E318" t="s">
        <v>681</v>
      </c>
      <c r="F318" s="86">
        <v>16800</v>
      </c>
      <c r="G318" s="87">
        <v>6</v>
      </c>
      <c r="H318" s="88">
        <v>1.03</v>
      </c>
      <c r="I318" s="88">
        <v>1.057466666666667</v>
      </c>
      <c r="J318" s="89">
        <v>0.91199626185266247</v>
      </c>
      <c r="K318" s="88">
        <v>0.9740259740259738</v>
      </c>
      <c r="L318" s="88">
        <v>1.008776064642062</v>
      </c>
      <c r="M318" s="88">
        <v>1</v>
      </c>
      <c r="N318" s="90">
        <v>0.58799999999999997</v>
      </c>
      <c r="O318" s="90">
        <v>0.57775356429499869</v>
      </c>
      <c r="P318" s="90">
        <v>0.56857971706612476</v>
      </c>
      <c r="Q318" s="91">
        <v>0</v>
      </c>
      <c r="R318" s="88">
        <v>0.96153846153846123</v>
      </c>
      <c r="S318" s="88">
        <v>1.00565120025301</v>
      </c>
      <c r="T318" s="91">
        <v>2.666666666666706E-2</v>
      </c>
      <c r="U318" s="91">
        <v>1.2987012987013101E-2</v>
      </c>
      <c r="V318" s="87">
        <v>0</v>
      </c>
      <c r="W318" s="91">
        <v>0</v>
      </c>
      <c r="X318" s="87">
        <v>1</v>
      </c>
      <c r="Y318" s="90">
        <v>0.57775356429499869</v>
      </c>
      <c r="Z318" s="90">
        <v>0.56857971706612476</v>
      </c>
      <c r="AA318" s="92">
        <v>0</v>
      </c>
      <c r="AB318" s="88">
        <v>0</v>
      </c>
      <c r="AC318" s="87">
        <v>1</v>
      </c>
      <c r="AD318" s="87">
        <v>1</v>
      </c>
      <c r="AE318" s="88">
        <v>1.039166666666667</v>
      </c>
      <c r="AF318" s="88">
        <v>1.0043932196204439</v>
      </c>
      <c r="AG318" s="88">
        <v>1.0437319467228461</v>
      </c>
      <c r="AH318" s="88">
        <v>17304</v>
      </c>
      <c r="AI318" s="88">
        <v>17765.44000000001</v>
      </c>
      <c r="AJ318" s="88">
        <v>15321.53719912473</v>
      </c>
      <c r="AK318" s="88">
        <v>16363.63636363636</v>
      </c>
      <c r="AL318" s="88">
        <v>16947.43788598663</v>
      </c>
      <c r="AM318" s="88">
        <v>16800</v>
      </c>
      <c r="AN318" s="88">
        <v>9878.4</v>
      </c>
      <c r="AO318" s="88">
        <v>9706.259880155978</v>
      </c>
      <c r="AP318" s="88">
        <v>9552.1392467108963</v>
      </c>
      <c r="AQ318" s="88">
        <v>0</v>
      </c>
      <c r="AR318" s="88">
        <v>16153.846153846151</v>
      </c>
      <c r="AS318" s="88">
        <v>16894.940164250569</v>
      </c>
      <c r="AT318" s="88">
        <v>9706.259880155978</v>
      </c>
      <c r="AU318" s="88">
        <v>9552.1392467108963</v>
      </c>
      <c r="AV318" s="88">
        <v>15456</v>
      </c>
      <c r="AW318" s="88">
        <v>15288</v>
      </c>
      <c r="AX318" s="88">
        <v>15372</v>
      </c>
      <c r="AY318" s="88">
        <v>16800</v>
      </c>
      <c r="AZ318" s="88">
        <v>16800</v>
      </c>
      <c r="BA318" s="88">
        <v>16800</v>
      </c>
      <c r="BB318" s="88">
        <v>16800</v>
      </c>
      <c r="BC318" s="88">
        <v>16800</v>
      </c>
      <c r="BD318" s="88">
        <v>16800</v>
      </c>
      <c r="BE318" s="88">
        <v>16800</v>
      </c>
      <c r="BF318" s="88">
        <v>16800</v>
      </c>
      <c r="BG318" s="88">
        <v>16800</v>
      </c>
      <c r="BH318" s="88">
        <v>16800</v>
      </c>
      <c r="BI318" s="88">
        <v>16800</v>
      </c>
      <c r="BJ318" s="88">
        <v>16800</v>
      </c>
      <c r="BK318" s="88">
        <v>580.17253502017286</v>
      </c>
      <c r="BL318" s="88">
        <v>748.88472017939307</v>
      </c>
      <c r="BM318" s="88">
        <v>748.85738561382846</v>
      </c>
      <c r="BN318" s="88">
        <v>748.82914488109634</v>
      </c>
      <c r="BO318" s="88">
        <v>748.80092489447475</v>
      </c>
      <c r="BP318" s="88">
        <v>748.77272563111887</v>
      </c>
      <c r="BQ318" s="88">
        <v>748.74454706820279</v>
      </c>
      <c r="BR318" s="88">
        <v>748.7159277504087</v>
      </c>
      <c r="BS318" s="88">
        <v>748.68779085847552</v>
      </c>
      <c r="BT318" s="88">
        <v>748.65967459835861</v>
      </c>
      <c r="BU318" s="88">
        <v>748.63157894736628</v>
      </c>
      <c r="BV318" s="88">
        <v>748.60350388285894</v>
      </c>
      <c r="BW318" s="88">
        <v>504.00000000000051</v>
      </c>
      <c r="BX318" s="88">
        <v>672.00000000000057</v>
      </c>
      <c r="BY318" s="88">
        <v>672.00000000000057</v>
      </c>
      <c r="BZ318" s="88">
        <v>672.00000000000057</v>
      </c>
      <c r="CA318" s="88">
        <v>672.00000000000057</v>
      </c>
      <c r="CB318" s="88">
        <v>672.00000000000057</v>
      </c>
      <c r="CC318" s="88">
        <v>672.00000000000057</v>
      </c>
      <c r="CD318" s="88">
        <v>672.00000000000057</v>
      </c>
      <c r="CE318" s="88">
        <v>672.00000000000057</v>
      </c>
      <c r="CF318" s="88">
        <v>672.00000000000057</v>
      </c>
      <c r="CG318" s="88">
        <v>672.00000000000057</v>
      </c>
      <c r="CH318" s="88">
        <v>672.00000000000057</v>
      </c>
      <c r="CI318" s="88">
        <v>16800</v>
      </c>
      <c r="CJ318" s="88">
        <v>16800</v>
      </c>
      <c r="CK318" s="88">
        <v>16800</v>
      </c>
      <c r="CL318" s="88">
        <v>16800</v>
      </c>
      <c r="CM318" s="88">
        <v>16800</v>
      </c>
      <c r="CN318" s="88">
        <v>16800</v>
      </c>
      <c r="CO318" s="88">
        <v>16800</v>
      </c>
      <c r="CP318" s="88">
        <v>16800</v>
      </c>
      <c r="CQ318" s="88">
        <v>16800</v>
      </c>
      <c r="CR318" s="88">
        <v>16800</v>
      </c>
      <c r="CS318" s="88">
        <v>16800</v>
      </c>
      <c r="CT318" s="88">
        <v>16800</v>
      </c>
      <c r="CU318" s="88">
        <v>73.953917495312993</v>
      </c>
      <c r="CV318" s="88">
        <v>73.92761555710959</v>
      </c>
      <c r="CW318" s="88">
        <v>73.901332320986597</v>
      </c>
      <c r="CX318" s="88">
        <v>73.874177770283111</v>
      </c>
      <c r="CY318" s="88">
        <v>73.84704316776461</v>
      </c>
      <c r="CZ318" s="88">
        <v>73.819928491459308</v>
      </c>
      <c r="DA318" s="88">
        <v>73.792833719425317</v>
      </c>
      <c r="DB318" s="88">
        <v>73.7653151446235</v>
      </c>
      <c r="DC318" s="88">
        <v>73.738260440842751</v>
      </c>
      <c r="DD318" s="88">
        <v>73.71122557534342</v>
      </c>
      <c r="DE318" s="88">
        <v>73.68421052631416</v>
      </c>
      <c r="DF318" s="88">
        <v>73.657215271980903</v>
      </c>
      <c r="DG318" s="93">
        <v>46054</v>
      </c>
      <c r="DH318" s="91">
        <v>0.03</v>
      </c>
      <c r="DI318" t="s">
        <v>301</v>
      </c>
      <c r="DJ318" s="93">
        <v>46419</v>
      </c>
      <c r="DK318" s="91">
        <v>0.04</v>
      </c>
      <c r="DL318" t="s">
        <v>302</v>
      </c>
      <c r="DM318" s="93"/>
      <c r="DN318" s="91"/>
      <c r="DP318" s="93"/>
      <c r="DQ318" s="91"/>
    </row>
    <row r="319" spans="1:121" x14ac:dyDescent="0.3">
      <c r="A319" t="s">
        <v>32</v>
      </c>
      <c r="B319" t="s">
        <v>42</v>
      </c>
      <c r="C319" t="s">
        <v>48</v>
      </c>
      <c r="D319" t="s">
        <v>305</v>
      </c>
      <c r="E319" t="s">
        <v>682</v>
      </c>
      <c r="F319" s="86">
        <v>13600</v>
      </c>
      <c r="G319" s="87">
        <v>6</v>
      </c>
      <c r="H319" s="88">
        <v>1</v>
      </c>
      <c r="I319" s="88">
        <v>1</v>
      </c>
      <c r="J319" s="89">
        <v>0.91798504741064912</v>
      </c>
      <c r="K319" s="88">
        <v>1</v>
      </c>
      <c r="L319" s="88">
        <v>1.002194973213381</v>
      </c>
      <c r="M319" s="88">
        <v>1</v>
      </c>
      <c r="N319" s="90">
        <v>0.57199999999999995</v>
      </c>
      <c r="O319" s="90">
        <v>0.57325552467805407</v>
      </c>
      <c r="P319" s="90">
        <v>0.56626323190648564</v>
      </c>
      <c r="Q319" s="91">
        <v>0</v>
      </c>
      <c r="R319" s="88">
        <v>1</v>
      </c>
      <c r="S319" s="88">
        <v>0.98997068515119868</v>
      </c>
      <c r="T319" s="91">
        <v>0</v>
      </c>
      <c r="U319" s="91">
        <v>0</v>
      </c>
      <c r="V319" s="87">
        <v>0</v>
      </c>
      <c r="W319" s="91">
        <v>0</v>
      </c>
      <c r="X319" s="87">
        <v>1</v>
      </c>
      <c r="Y319" s="90">
        <v>0.57325552467805407</v>
      </c>
      <c r="Z319" s="90">
        <v>0.56626323190648564</v>
      </c>
      <c r="AA319" s="92">
        <v>0</v>
      </c>
      <c r="AB319" s="88">
        <v>0</v>
      </c>
      <c r="AC319" s="87">
        <v>0</v>
      </c>
      <c r="AD319" s="87">
        <v>0</v>
      </c>
      <c r="AE319" s="88">
        <v>1</v>
      </c>
      <c r="AF319" s="88">
        <v>1.0176314239537809</v>
      </c>
      <c r="AG319" s="88">
        <v>1.0176314239537809</v>
      </c>
      <c r="AH319" s="88">
        <v>13600</v>
      </c>
      <c r="AI319" s="88">
        <v>13600</v>
      </c>
      <c r="AJ319" s="88">
        <v>12484.59664478483</v>
      </c>
      <c r="AK319" s="88">
        <v>13600</v>
      </c>
      <c r="AL319" s="88">
        <v>13629.851635701991</v>
      </c>
      <c r="AM319" s="88">
        <v>13600</v>
      </c>
      <c r="AN319" s="88">
        <v>7779.1999999999989</v>
      </c>
      <c r="AO319" s="88">
        <v>7796.2751356215358</v>
      </c>
      <c r="AP319" s="88">
        <v>7701.1799539282047</v>
      </c>
      <c r="AQ319" s="88">
        <v>0</v>
      </c>
      <c r="AR319" s="88">
        <v>13600</v>
      </c>
      <c r="AS319" s="88">
        <v>13463.6013180563</v>
      </c>
      <c r="AT319" s="88">
        <v>7796.2751356215358</v>
      </c>
      <c r="AU319" s="88">
        <v>7701.1799539282047</v>
      </c>
      <c r="AV319" s="88">
        <v>12512</v>
      </c>
      <c r="AW319" s="88">
        <v>12376</v>
      </c>
      <c r="AX319" s="88">
        <v>12648</v>
      </c>
      <c r="AY319" s="88">
        <v>13600</v>
      </c>
      <c r="AZ319" s="88">
        <v>13600</v>
      </c>
      <c r="BA319" s="88">
        <v>13600</v>
      </c>
      <c r="BB319" s="88">
        <v>13600</v>
      </c>
      <c r="BC319" s="88">
        <v>13600</v>
      </c>
      <c r="BD319" s="88">
        <v>13600</v>
      </c>
      <c r="BE319" s="88">
        <v>13600</v>
      </c>
      <c r="BF319" s="88">
        <v>13600</v>
      </c>
      <c r="BG319" s="88">
        <v>13600</v>
      </c>
      <c r="BH319" s="88">
        <v>13600</v>
      </c>
      <c r="BI319" s="88">
        <v>13600</v>
      </c>
      <c r="BJ319" s="88">
        <v>13600</v>
      </c>
      <c r="BK319" s="88">
        <v>241.72185430463711</v>
      </c>
      <c r="BL319" s="88">
        <v>241.37511852374189</v>
      </c>
      <c r="BM319" s="88">
        <v>241.0293760621515</v>
      </c>
      <c r="BN319" s="88">
        <v>240.67295338294969</v>
      </c>
      <c r="BO319" s="88">
        <v>240.31758326878361</v>
      </c>
      <c r="BP319" s="88">
        <v>239.96326106397831</v>
      </c>
      <c r="BQ319" s="88">
        <v>239.60998214027231</v>
      </c>
      <c r="BR319" s="88">
        <v>239.25197609408161</v>
      </c>
      <c r="BS319" s="88">
        <v>238.90078687104429</v>
      </c>
      <c r="BT319" s="88">
        <v>238.5506271324887</v>
      </c>
      <c r="BU319" s="88">
        <v>238.20149235825949</v>
      </c>
      <c r="BV319" s="88">
        <v>237.85337805462169</v>
      </c>
      <c r="BW319" s="88">
        <v>0</v>
      </c>
      <c r="BX319" s="88">
        <v>0</v>
      </c>
      <c r="BY319" s="88">
        <v>0</v>
      </c>
      <c r="BZ319" s="88">
        <v>0</v>
      </c>
      <c r="CA319" s="88">
        <v>0</v>
      </c>
      <c r="CB319" s="88">
        <v>0</v>
      </c>
      <c r="CC319" s="88">
        <v>0</v>
      </c>
      <c r="CD319" s="88">
        <v>0</v>
      </c>
      <c r="CE319" s="88">
        <v>0</v>
      </c>
      <c r="CF319" s="88">
        <v>0</v>
      </c>
      <c r="CG319" s="88">
        <v>0</v>
      </c>
      <c r="CH319" s="88">
        <v>0</v>
      </c>
      <c r="CI319" s="88">
        <v>13600</v>
      </c>
      <c r="CJ319" s="88">
        <v>13600</v>
      </c>
      <c r="CK319" s="88">
        <v>13600</v>
      </c>
      <c r="CL319" s="88">
        <v>13600</v>
      </c>
      <c r="CM319" s="88">
        <v>13600</v>
      </c>
      <c r="CN319" s="88">
        <v>13600</v>
      </c>
      <c r="CO319" s="88">
        <v>13600</v>
      </c>
      <c r="CP319" s="88">
        <v>13600</v>
      </c>
      <c r="CQ319" s="88">
        <v>13600</v>
      </c>
      <c r="CR319" s="88">
        <v>13600</v>
      </c>
      <c r="CS319" s="88">
        <v>13600</v>
      </c>
      <c r="CT319" s="88">
        <v>13600</v>
      </c>
      <c r="CU319" s="88">
        <v>241.72185430463711</v>
      </c>
      <c r="CV319" s="88">
        <v>241.37511852374189</v>
      </c>
      <c r="CW319" s="88">
        <v>241.0293760621515</v>
      </c>
      <c r="CX319" s="88">
        <v>240.67295338294969</v>
      </c>
      <c r="CY319" s="88">
        <v>240.31758326878361</v>
      </c>
      <c r="CZ319" s="88">
        <v>239.96326106397831</v>
      </c>
      <c r="DA319" s="88">
        <v>239.60998214027231</v>
      </c>
      <c r="DB319" s="88">
        <v>239.25197609408161</v>
      </c>
      <c r="DC319" s="88">
        <v>238.90078687104429</v>
      </c>
      <c r="DD319" s="88">
        <v>238.5506271324887</v>
      </c>
      <c r="DE319" s="88">
        <v>238.20149235825949</v>
      </c>
      <c r="DF319" s="88">
        <v>237.85337805462169</v>
      </c>
      <c r="DG319" s="93"/>
      <c r="DH319" s="91"/>
      <c r="DJ319" s="93"/>
      <c r="DK319" s="91"/>
      <c r="DM319" s="93"/>
      <c r="DN319" s="91"/>
      <c r="DP319" s="93"/>
      <c r="DQ319" s="91"/>
    </row>
    <row r="320" spans="1:121" x14ac:dyDescent="0.3">
      <c r="A320" t="s">
        <v>32</v>
      </c>
      <c r="B320" t="s">
        <v>42</v>
      </c>
      <c r="C320" t="s">
        <v>50</v>
      </c>
      <c r="D320" t="s">
        <v>307</v>
      </c>
      <c r="E320" t="s">
        <v>683</v>
      </c>
      <c r="F320" s="86">
        <v>10400</v>
      </c>
      <c r="G320" s="87">
        <v>6</v>
      </c>
      <c r="H320" s="88">
        <v>1.05</v>
      </c>
      <c r="I320" s="88">
        <v>1.05</v>
      </c>
      <c r="J320" s="89">
        <v>0.91999999999999993</v>
      </c>
      <c r="K320" s="88">
        <v>1</v>
      </c>
      <c r="L320" s="88">
        <v>1</v>
      </c>
      <c r="M320" s="88">
        <v>1</v>
      </c>
      <c r="N320" s="90">
        <v>0.6</v>
      </c>
      <c r="O320" s="90">
        <v>0.6</v>
      </c>
      <c r="P320" s="90">
        <v>0.6</v>
      </c>
      <c r="Q320" s="91">
        <v>0</v>
      </c>
      <c r="R320" s="88">
        <v>1</v>
      </c>
      <c r="S320" s="88">
        <v>1</v>
      </c>
      <c r="T320" s="91">
        <v>0</v>
      </c>
      <c r="U320" s="91">
        <v>0</v>
      </c>
      <c r="V320" s="87">
        <v>0</v>
      </c>
      <c r="W320" s="91">
        <v>0</v>
      </c>
      <c r="X320" s="87">
        <v>0</v>
      </c>
      <c r="Y320" s="90">
        <v>0.6</v>
      </c>
      <c r="Z320" s="90">
        <v>0.6</v>
      </c>
      <c r="AA320" s="92">
        <v>0</v>
      </c>
      <c r="AB320" s="88">
        <v>0</v>
      </c>
      <c r="AC320" s="87">
        <v>1</v>
      </c>
      <c r="AD320" s="87">
        <v>0</v>
      </c>
      <c r="AE320" s="88">
        <v>1.0125</v>
      </c>
      <c r="AF320" s="88">
        <v>1</v>
      </c>
      <c r="AG320" s="88">
        <v>1.0125</v>
      </c>
      <c r="AH320" s="88">
        <v>10920</v>
      </c>
      <c r="AI320" s="88">
        <v>10920</v>
      </c>
      <c r="AJ320" s="88">
        <v>9568</v>
      </c>
      <c r="AK320" s="88">
        <v>10400</v>
      </c>
      <c r="AL320" s="88">
        <v>10400</v>
      </c>
      <c r="AM320" s="88">
        <v>10400</v>
      </c>
      <c r="AN320" s="88">
        <v>6240</v>
      </c>
      <c r="AO320" s="88">
        <v>6240</v>
      </c>
      <c r="AP320" s="88">
        <v>6240</v>
      </c>
      <c r="AQ320" s="88">
        <v>0</v>
      </c>
      <c r="AR320" s="88">
        <v>10400</v>
      </c>
      <c r="AS320" s="88">
        <v>10400</v>
      </c>
      <c r="AT320" s="88">
        <v>6240</v>
      </c>
      <c r="AU320" s="88">
        <v>6240</v>
      </c>
      <c r="AV320" s="88">
        <v>9568</v>
      </c>
      <c r="AW320" s="88">
        <v>9568</v>
      </c>
      <c r="AX320" s="88">
        <v>9568</v>
      </c>
      <c r="AY320" s="88">
        <v>10400</v>
      </c>
      <c r="AZ320" s="88">
        <v>10400</v>
      </c>
      <c r="BA320" s="88">
        <v>10400</v>
      </c>
      <c r="BB320" s="88">
        <v>10400</v>
      </c>
      <c r="BC320" s="88">
        <v>10400</v>
      </c>
      <c r="BD320" s="88">
        <v>10400</v>
      </c>
      <c r="BE320" s="88">
        <v>10400</v>
      </c>
      <c r="BF320" s="88">
        <v>10400</v>
      </c>
      <c r="BG320" s="88">
        <v>10400</v>
      </c>
      <c r="BH320" s="88">
        <v>10400</v>
      </c>
      <c r="BI320" s="88">
        <v>10400</v>
      </c>
      <c r="BJ320" s="88">
        <v>10400</v>
      </c>
      <c r="BK320" s="88">
        <v>520.00000000000045</v>
      </c>
      <c r="BL320" s="88">
        <v>520.00000000000045</v>
      </c>
      <c r="BM320" s="88">
        <v>520.00000000000045</v>
      </c>
      <c r="BN320" s="88">
        <v>0</v>
      </c>
      <c r="BO320" s="88">
        <v>0</v>
      </c>
      <c r="BP320" s="88">
        <v>0</v>
      </c>
      <c r="BQ320" s="88">
        <v>0</v>
      </c>
      <c r="BR320" s="88">
        <v>0</v>
      </c>
      <c r="BS320" s="88">
        <v>0</v>
      </c>
      <c r="BT320" s="88">
        <v>0</v>
      </c>
      <c r="BU320" s="88">
        <v>0</v>
      </c>
      <c r="BV320" s="88">
        <v>0</v>
      </c>
      <c r="BW320" s="88">
        <v>520.00000000000045</v>
      </c>
      <c r="BX320" s="88">
        <v>520.00000000000045</v>
      </c>
      <c r="BY320" s="88">
        <v>520.00000000000045</v>
      </c>
      <c r="BZ320" s="88">
        <v>0</v>
      </c>
      <c r="CA320" s="88">
        <v>0</v>
      </c>
      <c r="CB320" s="88">
        <v>0</v>
      </c>
      <c r="CC320" s="88">
        <v>0</v>
      </c>
      <c r="CD320" s="88">
        <v>0</v>
      </c>
      <c r="CE320" s="88">
        <v>0</v>
      </c>
      <c r="CF320" s="88">
        <v>0</v>
      </c>
      <c r="CG320" s="88">
        <v>0</v>
      </c>
      <c r="CH320" s="88">
        <v>0</v>
      </c>
      <c r="CI320" s="88">
        <v>0</v>
      </c>
      <c r="CJ320" s="88">
        <v>0</v>
      </c>
      <c r="CK320" s="88">
        <v>0</v>
      </c>
      <c r="CL320" s="88">
        <v>0</v>
      </c>
      <c r="CM320" s="88">
        <v>0</v>
      </c>
      <c r="CN320" s="88">
        <v>0</v>
      </c>
      <c r="CO320" s="88">
        <v>0</v>
      </c>
      <c r="CP320" s="88">
        <v>0</v>
      </c>
      <c r="CQ320" s="88">
        <v>0</v>
      </c>
      <c r="CR320" s="88">
        <v>0</v>
      </c>
      <c r="CS320" s="88">
        <v>0</v>
      </c>
      <c r="CT320" s="88">
        <v>0</v>
      </c>
      <c r="CU320" s="88">
        <v>0</v>
      </c>
      <c r="CV320" s="88">
        <v>0</v>
      </c>
      <c r="CW320" s="88">
        <v>0</v>
      </c>
      <c r="CX320" s="88">
        <v>0</v>
      </c>
      <c r="CY320" s="88">
        <v>0</v>
      </c>
      <c r="CZ320" s="88">
        <v>0</v>
      </c>
      <c r="DA320" s="88">
        <v>0</v>
      </c>
      <c r="DB320" s="88">
        <v>0</v>
      </c>
      <c r="DC320" s="88">
        <v>0</v>
      </c>
      <c r="DD320" s="88">
        <v>0</v>
      </c>
      <c r="DE320" s="88">
        <v>0</v>
      </c>
      <c r="DF320" s="88">
        <v>0</v>
      </c>
      <c r="DG320" s="93">
        <v>46113</v>
      </c>
      <c r="DH320" s="91">
        <v>0.05</v>
      </c>
      <c r="DI320" t="s">
        <v>301</v>
      </c>
      <c r="DJ320" s="93"/>
      <c r="DK320" s="91"/>
      <c r="DM320" s="93"/>
      <c r="DN320" s="91"/>
      <c r="DP320" s="93"/>
      <c r="DQ320" s="91"/>
    </row>
    <row r="321" spans="1:121" x14ac:dyDescent="0.3">
      <c r="A321" t="s">
        <v>32</v>
      </c>
      <c r="B321" t="s">
        <v>42</v>
      </c>
      <c r="C321" t="s">
        <v>57</v>
      </c>
      <c r="D321" t="s">
        <v>309</v>
      </c>
      <c r="E321" t="s">
        <v>684</v>
      </c>
      <c r="F321" s="86">
        <v>7200</v>
      </c>
      <c r="G321" s="87">
        <v>6</v>
      </c>
      <c r="H321" s="88">
        <v>1.06</v>
      </c>
      <c r="I321" s="88">
        <v>1.06</v>
      </c>
      <c r="J321" s="89">
        <v>0.91598878555798668</v>
      </c>
      <c r="K321" s="88">
        <v>0.99999999999999978</v>
      </c>
      <c r="L321" s="88">
        <v>1.0043791086804299</v>
      </c>
      <c r="M321" s="88">
        <v>1</v>
      </c>
      <c r="N321" s="90">
        <v>0.58399999999999996</v>
      </c>
      <c r="O321" s="90">
        <v>0.58655739946937091</v>
      </c>
      <c r="P321" s="90">
        <v>0.58116345769792543</v>
      </c>
      <c r="Q321" s="91">
        <v>0</v>
      </c>
      <c r="R321" s="88">
        <v>0.99999999999999978</v>
      </c>
      <c r="S321" s="88">
        <v>0.99514290701699581</v>
      </c>
      <c r="T321" s="91">
        <v>0</v>
      </c>
      <c r="U321" s="91">
        <v>0</v>
      </c>
      <c r="V321" s="87">
        <v>0</v>
      </c>
      <c r="W321" s="91">
        <v>0</v>
      </c>
      <c r="X321" s="87">
        <v>1</v>
      </c>
      <c r="Y321" s="90">
        <v>0.58655739946937091</v>
      </c>
      <c r="Z321" s="90">
        <v>0.58116345769792543</v>
      </c>
      <c r="AA321" s="92">
        <v>0</v>
      </c>
      <c r="AB321" s="88">
        <v>0</v>
      </c>
      <c r="AC321" s="87">
        <v>1</v>
      </c>
      <c r="AD321" s="87">
        <v>0</v>
      </c>
      <c r="AE321" s="88">
        <v>1.02</v>
      </c>
      <c r="AF321" s="88">
        <v>1.0132088564102011</v>
      </c>
      <c r="AG321" s="88">
        <v>1.033474198775499</v>
      </c>
      <c r="AH321" s="88">
        <v>7632</v>
      </c>
      <c r="AI321" s="88">
        <v>7632.0000000000018</v>
      </c>
      <c r="AJ321" s="88">
        <v>6595.1192560175041</v>
      </c>
      <c r="AK321" s="88">
        <v>7199.9999999999982</v>
      </c>
      <c r="AL321" s="88">
        <v>7231.5295824990953</v>
      </c>
      <c r="AM321" s="88">
        <v>7200</v>
      </c>
      <c r="AN321" s="88">
        <v>4204.8</v>
      </c>
      <c r="AO321" s="88">
        <v>4223.213276179471</v>
      </c>
      <c r="AP321" s="88">
        <v>4184.3768954250627</v>
      </c>
      <c r="AQ321" s="88">
        <v>0</v>
      </c>
      <c r="AR321" s="88">
        <v>7199.9999999999982</v>
      </c>
      <c r="AS321" s="88">
        <v>7165.0289305223696</v>
      </c>
      <c r="AT321" s="88">
        <v>4223.213276179471</v>
      </c>
      <c r="AU321" s="88">
        <v>4184.3768954250627</v>
      </c>
      <c r="AV321" s="88">
        <v>6624</v>
      </c>
      <c r="AW321" s="88">
        <v>6552</v>
      </c>
      <c r="AX321" s="88">
        <v>6660</v>
      </c>
      <c r="AY321" s="88">
        <v>7200</v>
      </c>
      <c r="AZ321" s="88">
        <v>7200</v>
      </c>
      <c r="BA321" s="88">
        <v>7200</v>
      </c>
      <c r="BB321" s="88">
        <v>7200</v>
      </c>
      <c r="BC321" s="88">
        <v>7200</v>
      </c>
      <c r="BD321" s="88">
        <v>7200</v>
      </c>
      <c r="BE321" s="88">
        <v>7200</v>
      </c>
      <c r="BF321" s="88">
        <v>7200</v>
      </c>
      <c r="BG321" s="88">
        <v>7200</v>
      </c>
      <c r="BH321" s="88">
        <v>7200</v>
      </c>
      <c r="BI321" s="88">
        <v>7200</v>
      </c>
      <c r="BJ321" s="88">
        <v>7200</v>
      </c>
      <c r="BK321" s="88">
        <v>533.41854213818931</v>
      </c>
      <c r="BL321" s="88">
        <v>533.309734513276</v>
      </c>
      <c r="BM321" s="88">
        <v>533.20116010826052</v>
      </c>
      <c r="BN321" s="88">
        <v>533.08914963106474</v>
      </c>
      <c r="BO321" s="88">
        <v>95.261685687185604</v>
      </c>
      <c r="BP321" s="88">
        <v>95.156481962028579</v>
      </c>
      <c r="BQ321" s="88">
        <v>95.051510347280839</v>
      </c>
      <c r="BR321" s="88">
        <v>94.945054945056199</v>
      </c>
      <c r="BS321" s="88">
        <v>94.840549026212699</v>
      </c>
      <c r="BT321" s="88">
        <v>94.736272913524118</v>
      </c>
      <c r="BU321" s="88">
        <v>94.632225849816905</v>
      </c>
      <c r="BV321" s="88">
        <v>94.52840708123648</v>
      </c>
      <c r="BW321" s="88">
        <v>432.0000000000004</v>
      </c>
      <c r="BX321" s="88">
        <v>432.0000000000004</v>
      </c>
      <c r="BY321" s="88">
        <v>432.0000000000004</v>
      </c>
      <c r="BZ321" s="88">
        <v>432.0000000000004</v>
      </c>
      <c r="CA321" s="88">
        <v>0</v>
      </c>
      <c r="CB321" s="88">
        <v>0</v>
      </c>
      <c r="CC321" s="88">
        <v>0</v>
      </c>
      <c r="CD321" s="88">
        <v>0</v>
      </c>
      <c r="CE321" s="88">
        <v>0</v>
      </c>
      <c r="CF321" s="88">
        <v>0</v>
      </c>
      <c r="CG321" s="88">
        <v>0</v>
      </c>
      <c r="CH321" s="88">
        <v>0</v>
      </c>
      <c r="CI321" s="88">
        <v>7200</v>
      </c>
      <c r="CJ321" s="88">
        <v>7200</v>
      </c>
      <c r="CK321" s="88">
        <v>7200</v>
      </c>
      <c r="CL321" s="88">
        <v>7200</v>
      </c>
      <c r="CM321" s="88">
        <v>7200</v>
      </c>
      <c r="CN321" s="88">
        <v>7200</v>
      </c>
      <c r="CO321" s="88">
        <v>7200</v>
      </c>
      <c r="CP321" s="88">
        <v>7200</v>
      </c>
      <c r="CQ321" s="88">
        <v>7200</v>
      </c>
      <c r="CR321" s="88">
        <v>7200</v>
      </c>
      <c r="CS321" s="88">
        <v>7200</v>
      </c>
      <c r="CT321" s="88">
        <v>7200</v>
      </c>
      <c r="CU321" s="88">
        <v>95.677869941687987</v>
      </c>
      <c r="CV321" s="88">
        <v>95.575221238939008</v>
      </c>
      <c r="CW321" s="88">
        <v>95.472792554962808</v>
      </c>
      <c r="CX321" s="88">
        <v>95.36712229345703</v>
      </c>
      <c r="CY321" s="88">
        <v>95.261685687185604</v>
      </c>
      <c r="CZ321" s="88">
        <v>95.156481962028579</v>
      </c>
      <c r="DA321" s="88">
        <v>95.051510347280839</v>
      </c>
      <c r="DB321" s="88">
        <v>94.945054945056199</v>
      </c>
      <c r="DC321" s="88">
        <v>94.840549026212699</v>
      </c>
      <c r="DD321" s="88">
        <v>94.736272913524118</v>
      </c>
      <c r="DE321" s="88">
        <v>94.632225849816905</v>
      </c>
      <c r="DF321" s="88">
        <v>94.52840708123648</v>
      </c>
      <c r="DG321" s="93">
        <v>46143</v>
      </c>
      <c r="DH321" s="91">
        <v>0.06</v>
      </c>
      <c r="DI321" t="s">
        <v>301</v>
      </c>
      <c r="DJ321" s="93"/>
      <c r="DK321" s="91"/>
      <c r="DM321" s="93"/>
      <c r="DN321" s="91"/>
      <c r="DP321" s="93"/>
      <c r="DQ321" s="91"/>
    </row>
    <row r="322" spans="1:121" x14ac:dyDescent="0.3">
      <c r="A322" t="s">
        <v>32</v>
      </c>
      <c r="B322" t="s">
        <v>42</v>
      </c>
      <c r="C322" t="s">
        <v>58</v>
      </c>
      <c r="D322" t="s">
        <v>311</v>
      </c>
      <c r="E322" t="s">
        <v>685</v>
      </c>
      <c r="F322" s="86">
        <v>17600</v>
      </c>
      <c r="G322" s="87">
        <v>6</v>
      </c>
      <c r="H322" s="88">
        <v>1.0449999999999999</v>
      </c>
      <c r="I322" s="88">
        <v>1.0589333333333331</v>
      </c>
      <c r="J322" s="89">
        <v>0.90792706178871529</v>
      </c>
      <c r="K322" s="88">
        <v>0.9868421052631583</v>
      </c>
      <c r="L322" s="88">
        <v>1.013297255604982</v>
      </c>
      <c r="M322" s="88">
        <v>1</v>
      </c>
      <c r="N322" s="90">
        <v>0.56799999999999995</v>
      </c>
      <c r="O322" s="90">
        <v>0.56797977748384532</v>
      </c>
      <c r="P322" s="90">
        <v>0.55421018020661728</v>
      </c>
      <c r="Q322" s="91">
        <v>0</v>
      </c>
      <c r="R322" s="88">
        <v>0.9615384615384619</v>
      </c>
      <c r="S322" s="88">
        <v>1.0147510341811301</v>
      </c>
      <c r="T322" s="91">
        <v>1.333333333333298E-2</v>
      </c>
      <c r="U322" s="91">
        <v>2.6315789473684289E-2</v>
      </c>
      <c r="V322" s="87">
        <v>0</v>
      </c>
      <c r="W322" s="91">
        <v>0</v>
      </c>
      <c r="X322" s="87">
        <v>1</v>
      </c>
      <c r="Y322" s="90">
        <v>0.56797977748384532</v>
      </c>
      <c r="Z322" s="90">
        <v>0.55421018020661728</v>
      </c>
      <c r="AA322" s="92">
        <v>0</v>
      </c>
      <c r="AB322" s="88">
        <v>0</v>
      </c>
      <c r="AC322" s="87">
        <v>1</v>
      </c>
      <c r="AD322" s="87">
        <v>1</v>
      </c>
      <c r="AE322" s="88">
        <v>1.042083333333333</v>
      </c>
      <c r="AF322" s="88">
        <v>0.99995181371858044</v>
      </c>
      <c r="AG322" s="88">
        <v>1.042041501054473</v>
      </c>
      <c r="AH322" s="88">
        <v>18392</v>
      </c>
      <c r="AI322" s="88">
        <v>18637.226666666658</v>
      </c>
      <c r="AJ322" s="88">
        <v>15979.51628748139</v>
      </c>
      <c r="AK322" s="88">
        <v>17368.421052631591</v>
      </c>
      <c r="AL322" s="88">
        <v>17834.031698647679</v>
      </c>
      <c r="AM322" s="88">
        <v>17600</v>
      </c>
      <c r="AN322" s="88">
        <v>9996.7999999999993</v>
      </c>
      <c r="AO322" s="88">
        <v>9996.4440837156781</v>
      </c>
      <c r="AP322" s="88">
        <v>9754.0991716364642</v>
      </c>
      <c r="AQ322" s="88">
        <v>0</v>
      </c>
      <c r="AR322" s="88">
        <v>16923.076923076929</v>
      </c>
      <c r="AS322" s="88">
        <v>17859.618201587891</v>
      </c>
      <c r="AT322" s="88">
        <v>9996.4440837156781</v>
      </c>
      <c r="AU322" s="88">
        <v>9754.0991716364642</v>
      </c>
      <c r="AV322" s="88">
        <v>16192</v>
      </c>
      <c r="AW322" s="88">
        <v>16016</v>
      </c>
      <c r="AX322" s="88">
        <v>15928</v>
      </c>
      <c r="AY322" s="88">
        <v>17600</v>
      </c>
      <c r="AZ322" s="88">
        <v>17600</v>
      </c>
      <c r="BA322" s="88">
        <v>17600</v>
      </c>
      <c r="BB322" s="88">
        <v>17600</v>
      </c>
      <c r="BC322" s="88">
        <v>17600</v>
      </c>
      <c r="BD322" s="88">
        <v>17600</v>
      </c>
      <c r="BE322" s="88">
        <v>17600</v>
      </c>
      <c r="BF322" s="88">
        <v>17600</v>
      </c>
      <c r="BG322" s="88">
        <v>17600</v>
      </c>
      <c r="BH322" s="88">
        <v>17600</v>
      </c>
      <c r="BI322" s="88">
        <v>17600</v>
      </c>
      <c r="BJ322" s="88">
        <v>17600</v>
      </c>
      <c r="BK322" s="88">
        <v>911.74154300902364</v>
      </c>
      <c r="BL322" s="88">
        <v>888.61831850873182</v>
      </c>
      <c r="BM322" s="88">
        <v>865.53641487060952</v>
      </c>
      <c r="BN322" s="88">
        <v>841.71540182244337</v>
      </c>
      <c r="BO322" s="88">
        <v>817.93831838793596</v>
      </c>
      <c r="BP322" s="88">
        <v>706.19449271385656</v>
      </c>
      <c r="BQ322" s="88">
        <v>682.61825204205024</v>
      </c>
      <c r="BR322" s="88">
        <v>658.69994524180561</v>
      </c>
      <c r="BS322" s="88">
        <v>635.21100946455465</v>
      </c>
      <c r="BT322" s="88">
        <v>623.65992652585055</v>
      </c>
      <c r="BU322" s="88">
        <v>623.63044942739202</v>
      </c>
      <c r="BV322" s="88">
        <v>623.60095069045553</v>
      </c>
      <c r="BW322" s="88">
        <v>791.99999999999875</v>
      </c>
      <c r="BX322" s="88">
        <v>791.99999999999875</v>
      </c>
      <c r="BY322" s="88">
        <v>791.99999999999875</v>
      </c>
      <c r="BZ322" s="88">
        <v>791.99999999999875</v>
      </c>
      <c r="CA322" s="88">
        <v>791.99999999999875</v>
      </c>
      <c r="CB322" s="88">
        <v>704.00000000000068</v>
      </c>
      <c r="CC322" s="88">
        <v>704.00000000000068</v>
      </c>
      <c r="CD322" s="88">
        <v>704.00000000000068</v>
      </c>
      <c r="CE322" s="88">
        <v>704.00000000000068</v>
      </c>
      <c r="CF322" s="88">
        <v>704.00000000000068</v>
      </c>
      <c r="CG322" s="88">
        <v>704.00000000000068</v>
      </c>
      <c r="CH322" s="88">
        <v>704.00000000000068</v>
      </c>
      <c r="CI322" s="88">
        <v>17600</v>
      </c>
      <c r="CJ322" s="88">
        <v>17600</v>
      </c>
      <c r="CK322" s="88">
        <v>17600</v>
      </c>
      <c r="CL322" s="88">
        <v>17600</v>
      </c>
      <c r="CM322" s="88">
        <v>17600</v>
      </c>
      <c r="CN322" s="88">
        <v>17600</v>
      </c>
      <c r="CO322" s="88">
        <v>17600</v>
      </c>
      <c r="CP322" s="88">
        <v>17600</v>
      </c>
      <c r="CQ322" s="88">
        <v>17600</v>
      </c>
      <c r="CR322" s="88">
        <v>17600</v>
      </c>
      <c r="CS322" s="88">
        <v>17600</v>
      </c>
      <c r="CT322" s="88">
        <v>17600</v>
      </c>
      <c r="CU322" s="88">
        <v>114.5852086210752</v>
      </c>
      <c r="CV322" s="88">
        <v>92.457721060990039</v>
      </c>
      <c r="CW322" s="88">
        <v>70.369774995798906</v>
      </c>
      <c r="CX322" s="88">
        <v>47.574547198511041</v>
      </c>
      <c r="CY322" s="88">
        <v>24.821357309031811</v>
      </c>
      <c r="CZ322" s="88">
        <v>2.110089147936733</v>
      </c>
      <c r="DA322" s="88">
        <v>-20.559373036491198</v>
      </c>
      <c r="DB322" s="88">
        <v>-43.557744959803557</v>
      </c>
      <c r="DC322" s="88">
        <v>-66.143260130238346</v>
      </c>
      <c r="DD322" s="88">
        <v>-77.250070648219634</v>
      </c>
      <c r="DE322" s="88">
        <v>-77.278414012125467</v>
      </c>
      <c r="DF322" s="88">
        <v>-77.306778182255087</v>
      </c>
      <c r="DG322" s="93">
        <v>46174</v>
      </c>
      <c r="DH322" s="91">
        <v>4.4999999999999998E-2</v>
      </c>
      <c r="DI322" t="s">
        <v>301</v>
      </c>
      <c r="DJ322" s="93">
        <v>46539</v>
      </c>
      <c r="DK322" s="91">
        <v>0.04</v>
      </c>
      <c r="DL322" t="s">
        <v>302</v>
      </c>
      <c r="DM322" s="93"/>
      <c r="DN322" s="91"/>
      <c r="DP322" s="93"/>
      <c r="DQ322" s="91"/>
    </row>
    <row r="323" spans="1:121" x14ac:dyDescent="0.3">
      <c r="A323" t="s">
        <v>32</v>
      </c>
      <c r="B323" t="s">
        <v>42</v>
      </c>
      <c r="C323" t="s">
        <v>65</v>
      </c>
      <c r="D323" t="s">
        <v>313</v>
      </c>
      <c r="E323" t="s">
        <v>686</v>
      </c>
      <c r="F323" s="86">
        <v>14400</v>
      </c>
      <c r="G323" s="87">
        <v>6</v>
      </c>
      <c r="H323" s="88">
        <v>1.03</v>
      </c>
      <c r="I323" s="88">
        <v>1.03</v>
      </c>
      <c r="J323" s="89">
        <v>0.91399252370532447</v>
      </c>
      <c r="K323" s="88">
        <v>1</v>
      </c>
      <c r="L323" s="88">
        <v>1.006572784939554</v>
      </c>
      <c r="M323" s="88">
        <v>1</v>
      </c>
      <c r="N323" s="90">
        <v>0.59599999999999997</v>
      </c>
      <c r="O323" s="90">
        <v>0.59991737982397431</v>
      </c>
      <c r="P323" s="90">
        <v>0.59622019728689213</v>
      </c>
      <c r="Q323" s="91">
        <v>0</v>
      </c>
      <c r="R323" s="88">
        <v>1</v>
      </c>
      <c r="S323" s="88">
        <v>1.000369458535054</v>
      </c>
      <c r="T323" s="91">
        <v>0</v>
      </c>
      <c r="U323" s="91">
        <v>0</v>
      </c>
      <c r="V323" s="87">
        <v>0</v>
      </c>
      <c r="W323" s="91">
        <v>0</v>
      </c>
      <c r="X323" s="87">
        <v>1</v>
      </c>
      <c r="Y323" s="90">
        <v>0.59991737982397431</v>
      </c>
      <c r="Z323" s="90">
        <v>0.59622019728689213</v>
      </c>
      <c r="AA323" s="92">
        <v>0</v>
      </c>
      <c r="AB323" s="88">
        <v>0</v>
      </c>
      <c r="AC323" s="87">
        <v>1</v>
      </c>
      <c r="AD323" s="87">
        <v>0</v>
      </c>
      <c r="AE323" s="88">
        <v>1.0149999999999999</v>
      </c>
      <c r="AF323" s="88">
        <v>1.0087961468131059</v>
      </c>
      <c r="AG323" s="88">
        <v>1.023928379819522</v>
      </c>
      <c r="AH323" s="88">
        <v>14832</v>
      </c>
      <c r="AI323" s="88">
        <v>14832</v>
      </c>
      <c r="AJ323" s="88">
        <v>13161.49234135667</v>
      </c>
      <c r="AK323" s="88">
        <v>14400</v>
      </c>
      <c r="AL323" s="88">
        <v>14494.648103129581</v>
      </c>
      <c r="AM323" s="88">
        <v>14400</v>
      </c>
      <c r="AN323" s="88">
        <v>8582.4</v>
      </c>
      <c r="AO323" s="88">
        <v>8638.8102694652298</v>
      </c>
      <c r="AP323" s="88">
        <v>8585.5708409312465</v>
      </c>
      <c r="AQ323" s="88">
        <v>0</v>
      </c>
      <c r="AR323" s="88">
        <v>14400</v>
      </c>
      <c r="AS323" s="88">
        <v>14405.320202904781</v>
      </c>
      <c r="AT323" s="88">
        <v>8638.8102694652298</v>
      </c>
      <c r="AU323" s="88">
        <v>8585.5708409312465</v>
      </c>
      <c r="AV323" s="88">
        <v>13248</v>
      </c>
      <c r="AW323" s="88">
        <v>13104</v>
      </c>
      <c r="AX323" s="88">
        <v>13248</v>
      </c>
      <c r="AY323" s="88">
        <v>14400</v>
      </c>
      <c r="AZ323" s="88">
        <v>14400</v>
      </c>
      <c r="BA323" s="88">
        <v>14400</v>
      </c>
      <c r="BB323" s="88">
        <v>14400</v>
      </c>
      <c r="BC323" s="88">
        <v>14400</v>
      </c>
      <c r="BD323" s="88">
        <v>14400</v>
      </c>
      <c r="BE323" s="88">
        <v>14400</v>
      </c>
      <c r="BF323" s="88">
        <v>14400</v>
      </c>
      <c r="BG323" s="88">
        <v>14400</v>
      </c>
      <c r="BH323" s="88">
        <v>14400</v>
      </c>
      <c r="BI323" s="88">
        <v>14400</v>
      </c>
      <c r="BJ323" s="88">
        <v>14400</v>
      </c>
      <c r="BK323" s="88">
        <v>562.98827713860646</v>
      </c>
      <c r="BL323" s="88">
        <v>562.89484755434205</v>
      </c>
      <c r="BM323" s="88">
        <v>562.80155115551474</v>
      </c>
      <c r="BN323" s="88">
        <v>562.70523189840378</v>
      </c>
      <c r="BO323" s="88">
        <v>562.60905439148837</v>
      </c>
      <c r="BP323" s="88">
        <v>562.51301832208435</v>
      </c>
      <c r="BQ323" s="88">
        <v>126.6185663868164</v>
      </c>
      <c r="BR323" s="88">
        <v>126.5240783313086</v>
      </c>
      <c r="BS323" s="88">
        <v>126.4312518040981</v>
      </c>
      <c r="BT323" s="88">
        <v>126.3385613845344</v>
      </c>
      <c r="BU323" s="88">
        <v>126.24600677347109</v>
      </c>
      <c r="BV323" s="88">
        <v>126.1535876726636</v>
      </c>
      <c r="BW323" s="88">
        <v>432.0000000000004</v>
      </c>
      <c r="BX323" s="88">
        <v>432.0000000000004</v>
      </c>
      <c r="BY323" s="88">
        <v>432.0000000000004</v>
      </c>
      <c r="BZ323" s="88">
        <v>432.0000000000004</v>
      </c>
      <c r="CA323" s="88">
        <v>432.0000000000004</v>
      </c>
      <c r="CB323" s="88">
        <v>432.0000000000004</v>
      </c>
      <c r="CC323" s="88">
        <v>0</v>
      </c>
      <c r="CD323" s="88">
        <v>0</v>
      </c>
      <c r="CE323" s="88">
        <v>0</v>
      </c>
      <c r="CF323" s="88">
        <v>0</v>
      </c>
      <c r="CG323" s="88">
        <v>0</v>
      </c>
      <c r="CH323" s="88">
        <v>0</v>
      </c>
      <c r="CI323" s="88">
        <v>14400</v>
      </c>
      <c r="CJ323" s="88">
        <v>14400</v>
      </c>
      <c r="CK323" s="88">
        <v>14400</v>
      </c>
      <c r="CL323" s="88">
        <v>14400</v>
      </c>
      <c r="CM323" s="88">
        <v>14400</v>
      </c>
      <c r="CN323" s="88">
        <v>14400</v>
      </c>
      <c r="CO323" s="88">
        <v>14400</v>
      </c>
      <c r="CP323" s="88">
        <v>14400</v>
      </c>
      <c r="CQ323" s="88">
        <v>14400</v>
      </c>
      <c r="CR323" s="88">
        <v>14400</v>
      </c>
      <c r="CS323" s="88">
        <v>14400</v>
      </c>
      <c r="CT323" s="88">
        <v>14400</v>
      </c>
      <c r="CU323" s="88">
        <v>127.17308460058869</v>
      </c>
      <c r="CV323" s="88">
        <v>127.0823762663497</v>
      </c>
      <c r="CW323" s="88">
        <v>126.99179723836269</v>
      </c>
      <c r="CX323" s="88">
        <v>126.8982833965087</v>
      </c>
      <c r="CY323" s="88">
        <v>126.8049071762007</v>
      </c>
      <c r="CZ323" s="88">
        <v>126.7116682738674</v>
      </c>
      <c r="DA323" s="88">
        <v>126.6185663868164</v>
      </c>
      <c r="DB323" s="88">
        <v>126.5240783313086</v>
      </c>
      <c r="DC323" s="88">
        <v>126.4312518040981</v>
      </c>
      <c r="DD323" s="88">
        <v>126.3385613845344</v>
      </c>
      <c r="DE323" s="88">
        <v>126.24600677347109</v>
      </c>
      <c r="DF323" s="88">
        <v>126.1535876726636</v>
      </c>
      <c r="DG323" s="93">
        <v>46204</v>
      </c>
      <c r="DH323" s="91">
        <v>0.03</v>
      </c>
      <c r="DI323" t="s">
        <v>301</v>
      </c>
      <c r="DJ323" s="93"/>
      <c r="DK323" s="91"/>
      <c r="DM323" s="93"/>
      <c r="DN323" s="91"/>
      <c r="DP323" s="93"/>
      <c r="DQ323" s="91"/>
    </row>
    <row r="324" spans="1:121" x14ac:dyDescent="0.3">
      <c r="A324" t="s">
        <v>32</v>
      </c>
      <c r="B324" t="s">
        <v>42</v>
      </c>
      <c r="C324" t="s">
        <v>66</v>
      </c>
      <c r="D324" t="s">
        <v>315</v>
      </c>
      <c r="E324" t="s">
        <v>687</v>
      </c>
      <c r="F324" s="86">
        <v>11200</v>
      </c>
      <c r="G324" s="87">
        <v>6</v>
      </c>
      <c r="H324" s="88">
        <v>1.04</v>
      </c>
      <c r="I324" s="88">
        <v>1.039722222222222</v>
      </c>
      <c r="J324" s="89">
        <v>0.90600747629467537</v>
      </c>
      <c r="K324" s="88">
        <v>1.0002671653753681</v>
      </c>
      <c r="L324" s="88">
        <v>1.0154441592055621</v>
      </c>
      <c r="M324" s="88">
        <v>1</v>
      </c>
      <c r="N324" s="90">
        <v>0.57999999999999996</v>
      </c>
      <c r="O324" s="90">
        <v>0.58911496142080233</v>
      </c>
      <c r="P324" s="90">
        <v>0.59266514046686603</v>
      </c>
      <c r="Q324" s="91">
        <v>0</v>
      </c>
      <c r="R324" s="88">
        <v>1</v>
      </c>
      <c r="S324" s="88">
        <v>1.021836449080803</v>
      </c>
      <c r="T324" s="91">
        <v>-2.6709401709423819E-4</v>
      </c>
      <c r="U324" s="91">
        <v>2.6716537536741752E-4</v>
      </c>
      <c r="V324" s="87">
        <v>0</v>
      </c>
      <c r="W324" s="91">
        <v>0</v>
      </c>
      <c r="X324" s="87">
        <v>1</v>
      </c>
      <c r="Y324" s="90">
        <v>0.58911496142080233</v>
      </c>
      <c r="Z324" s="90">
        <v>0.59266514046686603</v>
      </c>
      <c r="AA324" s="92">
        <v>0</v>
      </c>
      <c r="AB324" s="88">
        <v>0</v>
      </c>
      <c r="AC324" s="87">
        <v>1</v>
      </c>
      <c r="AD324" s="87">
        <v>0</v>
      </c>
      <c r="AE324" s="88">
        <v>1.023333333333333</v>
      </c>
      <c r="AF324" s="88">
        <v>0.99124238763980388</v>
      </c>
      <c r="AG324" s="88">
        <v>1.014371750863643</v>
      </c>
      <c r="AH324" s="88">
        <v>11648</v>
      </c>
      <c r="AI324" s="88">
        <v>11644.888888888891</v>
      </c>
      <c r="AJ324" s="88">
        <v>10147.283734500361</v>
      </c>
      <c r="AK324" s="88">
        <v>11202.99225220412</v>
      </c>
      <c r="AL324" s="88">
        <v>11372.974583102299</v>
      </c>
      <c r="AM324" s="88">
        <v>11200</v>
      </c>
      <c r="AN324" s="88">
        <v>6496</v>
      </c>
      <c r="AO324" s="88">
        <v>6598.0875679129858</v>
      </c>
      <c r="AP324" s="88">
        <v>6637.8495732288993</v>
      </c>
      <c r="AQ324" s="88">
        <v>0</v>
      </c>
      <c r="AR324" s="88">
        <v>11200</v>
      </c>
      <c r="AS324" s="88">
        <v>11444.568229705001</v>
      </c>
      <c r="AT324" s="88">
        <v>6598.0875679129858</v>
      </c>
      <c r="AU324" s="88">
        <v>6637.8495732288993</v>
      </c>
      <c r="AV324" s="88">
        <v>10304</v>
      </c>
      <c r="AW324" s="88">
        <v>10192</v>
      </c>
      <c r="AX324" s="88">
        <v>10080</v>
      </c>
      <c r="AY324" s="88">
        <v>11200</v>
      </c>
      <c r="AZ324" s="88">
        <v>11200</v>
      </c>
      <c r="BA324" s="88">
        <v>11200</v>
      </c>
      <c r="BB324" s="88">
        <v>11200</v>
      </c>
      <c r="BC324" s="88">
        <v>11200</v>
      </c>
      <c r="BD324" s="88">
        <v>11200</v>
      </c>
      <c r="BE324" s="88">
        <v>11200</v>
      </c>
      <c r="BF324" s="88">
        <v>11200</v>
      </c>
      <c r="BG324" s="88">
        <v>11200</v>
      </c>
      <c r="BH324" s="88">
        <v>11200</v>
      </c>
      <c r="BI324" s="88">
        <v>11200</v>
      </c>
      <c r="BJ324" s="88">
        <v>11200</v>
      </c>
      <c r="BK324" s="88">
        <v>346.39716091720629</v>
      </c>
      <c r="BL324" s="88">
        <v>346.32548128662069</v>
      </c>
      <c r="BM324" s="88">
        <v>346.25370044632751</v>
      </c>
      <c r="BN324" s="88">
        <v>346.17937971500368</v>
      </c>
      <c r="BO324" s="88">
        <v>346.1049503289434</v>
      </c>
      <c r="BP324" s="88">
        <v>346.03041204969543</v>
      </c>
      <c r="BQ324" s="88">
        <v>345.95576463811432</v>
      </c>
      <c r="BR324" s="88">
        <v>-98.192517864649886</v>
      </c>
      <c r="BS324" s="88">
        <v>-98.26450651411011</v>
      </c>
      <c r="BT324" s="88">
        <v>-98.336600796218931</v>
      </c>
      <c r="BU324" s="88">
        <v>-98.408800943645673</v>
      </c>
      <c r="BV324" s="88">
        <v>-98.481107189748585</v>
      </c>
      <c r="BW324" s="88">
        <v>448.0000000000004</v>
      </c>
      <c r="BX324" s="88">
        <v>448.0000000000004</v>
      </c>
      <c r="BY324" s="88">
        <v>448.0000000000004</v>
      </c>
      <c r="BZ324" s="88">
        <v>448.0000000000004</v>
      </c>
      <c r="CA324" s="88">
        <v>448.0000000000004</v>
      </c>
      <c r="CB324" s="88">
        <v>448.0000000000004</v>
      </c>
      <c r="CC324" s="88">
        <v>448.0000000000004</v>
      </c>
      <c r="CD324" s="88">
        <v>0</v>
      </c>
      <c r="CE324" s="88">
        <v>0</v>
      </c>
      <c r="CF324" s="88">
        <v>0</v>
      </c>
      <c r="CG324" s="88">
        <v>0</v>
      </c>
      <c r="CH324" s="88">
        <v>0</v>
      </c>
      <c r="CI324" s="88">
        <v>11200</v>
      </c>
      <c r="CJ324" s="88">
        <v>11200</v>
      </c>
      <c r="CK324" s="88">
        <v>11200</v>
      </c>
      <c r="CL324" s="88">
        <v>11200</v>
      </c>
      <c r="CM324" s="88">
        <v>11200</v>
      </c>
      <c r="CN324" s="88">
        <v>11200</v>
      </c>
      <c r="CO324" s="88">
        <v>11200</v>
      </c>
      <c r="CP324" s="88">
        <v>11200</v>
      </c>
      <c r="CQ324" s="88">
        <v>11200</v>
      </c>
      <c r="CR324" s="88">
        <v>11200</v>
      </c>
      <c r="CS324" s="88">
        <v>11200</v>
      </c>
      <c r="CT324" s="88">
        <v>11200</v>
      </c>
      <c r="CU324" s="88">
        <v>-97.695037579609334</v>
      </c>
      <c r="CV324" s="88">
        <v>-97.763960301326421</v>
      </c>
      <c r="CW324" s="88">
        <v>-97.832980340069398</v>
      </c>
      <c r="CX324" s="88">
        <v>-97.904442581726954</v>
      </c>
      <c r="CY324" s="88">
        <v>-97.976009299092581</v>
      </c>
      <c r="CZ324" s="88">
        <v>-98.047680721446</v>
      </c>
      <c r="DA324" s="88">
        <v>-98.119457078737156</v>
      </c>
      <c r="DB324" s="88">
        <v>-98.192517864649886</v>
      </c>
      <c r="DC324" s="88">
        <v>-98.26450651411011</v>
      </c>
      <c r="DD324" s="88">
        <v>-98.336600796218931</v>
      </c>
      <c r="DE324" s="88">
        <v>-98.408800943645673</v>
      </c>
      <c r="DF324" s="88">
        <v>-98.481107189748585</v>
      </c>
      <c r="DG324" s="93">
        <v>46235</v>
      </c>
      <c r="DH324" s="91">
        <v>0.04</v>
      </c>
      <c r="DI324" t="s">
        <v>301</v>
      </c>
      <c r="DJ324" s="93"/>
      <c r="DK324" s="91"/>
      <c r="DM324" s="93"/>
      <c r="DN324" s="91"/>
      <c r="DP324" s="93"/>
      <c r="DQ324" s="91"/>
    </row>
    <row r="325" spans="1:121" x14ac:dyDescent="0.3">
      <c r="A325" t="s">
        <v>32</v>
      </c>
      <c r="B325" t="s">
        <v>42</v>
      </c>
      <c r="C325" t="s">
        <v>67</v>
      </c>
      <c r="D325" t="s">
        <v>317</v>
      </c>
      <c r="E325" t="s">
        <v>688</v>
      </c>
      <c r="F325" s="86">
        <v>8000</v>
      </c>
      <c r="G325" s="87">
        <v>6</v>
      </c>
      <c r="H325" s="88">
        <v>1</v>
      </c>
      <c r="I325" s="88">
        <v>1</v>
      </c>
      <c r="J325" s="89">
        <v>0.91199626185266247</v>
      </c>
      <c r="K325" s="88">
        <v>1</v>
      </c>
      <c r="L325" s="88">
        <v>1.008776064642062</v>
      </c>
      <c r="M325" s="88">
        <v>1</v>
      </c>
      <c r="N325" s="90">
        <v>0.56399999999999995</v>
      </c>
      <c r="O325" s="90">
        <v>0.56894970045812265</v>
      </c>
      <c r="P325" s="90">
        <v>0.56718727694269777</v>
      </c>
      <c r="Q325" s="91">
        <v>0</v>
      </c>
      <c r="R325" s="88">
        <v>1</v>
      </c>
      <c r="S325" s="88">
        <v>1.00565120025301</v>
      </c>
      <c r="T325" s="91">
        <v>0</v>
      </c>
      <c r="U325" s="91">
        <v>0</v>
      </c>
      <c r="V325" s="87">
        <v>0</v>
      </c>
      <c r="W325" s="91">
        <v>0</v>
      </c>
      <c r="X325" s="87">
        <v>1</v>
      </c>
      <c r="Y325" s="90">
        <v>0.56894970045812265</v>
      </c>
      <c r="Z325" s="90">
        <v>0.56718727694269777</v>
      </c>
      <c r="AA325" s="92">
        <v>0</v>
      </c>
      <c r="AB325" s="88">
        <v>0</v>
      </c>
      <c r="AC325" s="87">
        <v>0</v>
      </c>
      <c r="AD325" s="87">
        <v>0</v>
      </c>
      <c r="AE325" s="88">
        <v>1</v>
      </c>
      <c r="AF325" s="88">
        <v>1.0043932196204439</v>
      </c>
      <c r="AG325" s="88">
        <v>1.0043932196204439</v>
      </c>
      <c r="AH325" s="88">
        <v>8000</v>
      </c>
      <c r="AI325" s="88">
        <v>8000</v>
      </c>
      <c r="AJ325" s="88">
        <v>7295.9700948212994</v>
      </c>
      <c r="AK325" s="88">
        <v>8000</v>
      </c>
      <c r="AL325" s="88">
        <v>8070.2085171364924</v>
      </c>
      <c r="AM325" s="88">
        <v>8000</v>
      </c>
      <c r="AN325" s="88">
        <v>4512</v>
      </c>
      <c r="AO325" s="88">
        <v>4551.5976036649809</v>
      </c>
      <c r="AP325" s="88">
        <v>4537.4982155415819</v>
      </c>
      <c r="AQ325" s="88">
        <v>0</v>
      </c>
      <c r="AR325" s="88">
        <v>8000</v>
      </c>
      <c r="AS325" s="88">
        <v>8045.2096020240824</v>
      </c>
      <c r="AT325" s="88">
        <v>4551.5976036649809</v>
      </c>
      <c r="AU325" s="88">
        <v>4537.4982155415819</v>
      </c>
      <c r="AV325" s="88">
        <v>7360</v>
      </c>
      <c r="AW325" s="88">
        <v>7280</v>
      </c>
      <c r="AX325" s="88">
        <v>7320</v>
      </c>
      <c r="AY325" s="88">
        <v>8000</v>
      </c>
      <c r="AZ325" s="88">
        <v>8000</v>
      </c>
      <c r="BA325" s="88">
        <v>8000</v>
      </c>
      <c r="BB325" s="88">
        <v>8000</v>
      </c>
      <c r="BC325" s="88">
        <v>8000</v>
      </c>
      <c r="BD325" s="88">
        <v>8000</v>
      </c>
      <c r="BE325" s="88">
        <v>8000</v>
      </c>
      <c r="BF325" s="88">
        <v>8000</v>
      </c>
      <c r="BG325" s="88">
        <v>8000</v>
      </c>
      <c r="BH325" s="88">
        <v>8000</v>
      </c>
      <c r="BI325" s="88">
        <v>8000</v>
      </c>
      <c r="BJ325" s="88">
        <v>8000</v>
      </c>
      <c r="BK325" s="88">
        <v>35.216151188244282</v>
      </c>
      <c r="BL325" s="88">
        <v>35.203626455766468</v>
      </c>
      <c r="BM325" s="88">
        <v>35.191110629041233</v>
      </c>
      <c r="BN325" s="88">
        <v>35.178179890611013</v>
      </c>
      <c r="BO325" s="88">
        <v>35.165258651316478</v>
      </c>
      <c r="BP325" s="88">
        <v>35.152346900694909</v>
      </c>
      <c r="BQ325" s="88">
        <v>35.139444628297767</v>
      </c>
      <c r="BR325" s="88">
        <v>35.12634054505881</v>
      </c>
      <c r="BS325" s="88">
        <v>35.113457352782262</v>
      </c>
      <c r="BT325" s="88">
        <v>35.10058360730639</v>
      </c>
      <c r="BU325" s="88">
        <v>35.087719298244828</v>
      </c>
      <c r="BV325" s="88">
        <v>35.074864415229001</v>
      </c>
      <c r="BW325" s="88">
        <v>0</v>
      </c>
      <c r="BX325" s="88">
        <v>0</v>
      </c>
      <c r="BY325" s="88">
        <v>0</v>
      </c>
      <c r="BZ325" s="88">
        <v>0</v>
      </c>
      <c r="CA325" s="88">
        <v>0</v>
      </c>
      <c r="CB325" s="88">
        <v>0</v>
      </c>
      <c r="CC325" s="88">
        <v>0</v>
      </c>
      <c r="CD325" s="88">
        <v>0</v>
      </c>
      <c r="CE325" s="88">
        <v>0</v>
      </c>
      <c r="CF325" s="88">
        <v>0</v>
      </c>
      <c r="CG325" s="88">
        <v>0</v>
      </c>
      <c r="CH325" s="88">
        <v>0</v>
      </c>
      <c r="CI325" s="88">
        <v>8000</v>
      </c>
      <c r="CJ325" s="88">
        <v>8000</v>
      </c>
      <c r="CK325" s="88">
        <v>8000</v>
      </c>
      <c r="CL325" s="88">
        <v>8000</v>
      </c>
      <c r="CM325" s="88">
        <v>8000</v>
      </c>
      <c r="CN325" s="88">
        <v>8000</v>
      </c>
      <c r="CO325" s="88">
        <v>8000</v>
      </c>
      <c r="CP325" s="88">
        <v>8000</v>
      </c>
      <c r="CQ325" s="88">
        <v>8000</v>
      </c>
      <c r="CR325" s="88">
        <v>8000</v>
      </c>
      <c r="CS325" s="88">
        <v>8000</v>
      </c>
      <c r="CT325" s="88">
        <v>8000</v>
      </c>
      <c r="CU325" s="88">
        <v>35.216151188244282</v>
      </c>
      <c r="CV325" s="88">
        <v>35.203626455766468</v>
      </c>
      <c r="CW325" s="88">
        <v>35.191110629041233</v>
      </c>
      <c r="CX325" s="88">
        <v>35.178179890611013</v>
      </c>
      <c r="CY325" s="88">
        <v>35.165258651316478</v>
      </c>
      <c r="CZ325" s="88">
        <v>35.152346900694909</v>
      </c>
      <c r="DA325" s="88">
        <v>35.139444628297767</v>
      </c>
      <c r="DB325" s="88">
        <v>35.12634054505881</v>
      </c>
      <c r="DC325" s="88">
        <v>35.113457352782262</v>
      </c>
      <c r="DD325" s="88">
        <v>35.10058360730639</v>
      </c>
      <c r="DE325" s="88">
        <v>35.087719298244828</v>
      </c>
      <c r="DF325" s="88">
        <v>35.074864415229001</v>
      </c>
      <c r="DG325" s="93"/>
      <c r="DH325" s="91"/>
      <c r="DJ325" s="93"/>
      <c r="DK325" s="91"/>
      <c r="DM325" s="93"/>
      <c r="DN325" s="91"/>
      <c r="DP325" s="93"/>
      <c r="DQ325" s="91"/>
    </row>
    <row r="326" spans="1:121" x14ac:dyDescent="0.3">
      <c r="A326" t="s">
        <v>32</v>
      </c>
      <c r="B326" t="s">
        <v>42</v>
      </c>
      <c r="C326" t="s">
        <v>73</v>
      </c>
      <c r="D326" t="s">
        <v>319</v>
      </c>
      <c r="E326" t="s">
        <v>689</v>
      </c>
      <c r="F326" s="86">
        <v>18400</v>
      </c>
      <c r="G326" s="87">
        <v>6</v>
      </c>
      <c r="H326" s="88">
        <v>1.06</v>
      </c>
      <c r="I326" s="88">
        <v>1.0589</v>
      </c>
      <c r="J326" s="89">
        <v>0.91798504741064912</v>
      </c>
      <c r="K326" s="88">
        <v>1.001038813863443</v>
      </c>
      <c r="L326" s="88">
        <v>1.002194973213381</v>
      </c>
      <c r="M326" s="88">
        <v>1</v>
      </c>
      <c r="N326" s="90">
        <v>0.59199999999999997</v>
      </c>
      <c r="O326" s="90">
        <v>0.59391575180929357</v>
      </c>
      <c r="P326" s="90">
        <v>0.56487965841880439</v>
      </c>
      <c r="Q326" s="91">
        <v>0</v>
      </c>
      <c r="R326" s="88">
        <v>0.96385542168674698</v>
      </c>
      <c r="S326" s="88">
        <v>0.98997068515119868</v>
      </c>
      <c r="T326" s="91">
        <v>-1.0377358490565309E-3</v>
      </c>
      <c r="U326" s="91">
        <v>3.8577769383322247E-2</v>
      </c>
      <c r="V326" s="87">
        <v>0</v>
      </c>
      <c r="W326" s="91">
        <v>0</v>
      </c>
      <c r="X326" s="87">
        <v>1</v>
      </c>
      <c r="Y326" s="90">
        <v>0.59391575180929357</v>
      </c>
      <c r="Z326" s="90">
        <v>0.56487965841880439</v>
      </c>
      <c r="AA326" s="92">
        <v>0</v>
      </c>
      <c r="AB326" s="88">
        <v>0</v>
      </c>
      <c r="AC326" s="87">
        <v>1</v>
      </c>
      <c r="AD326" s="87">
        <v>1</v>
      </c>
      <c r="AE326" s="88">
        <v>1.0549999999999999</v>
      </c>
      <c r="AF326" s="88">
        <v>1.0176314239537809</v>
      </c>
      <c r="AG326" s="88">
        <v>1.073601735187877</v>
      </c>
      <c r="AH326" s="88">
        <v>19504</v>
      </c>
      <c r="AI326" s="88">
        <v>19483.759999999998</v>
      </c>
      <c r="AJ326" s="88">
        <v>16890.924872355939</v>
      </c>
      <c r="AK326" s="88">
        <v>18419.11417508735</v>
      </c>
      <c r="AL326" s="88">
        <v>18440.387507126219</v>
      </c>
      <c r="AM326" s="88">
        <v>18400</v>
      </c>
      <c r="AN326" s="88">
        <v>10892.8</v>
      </c>
      <c r="AO326" s="88">
        <v>10928.049833290999</v>
      </c>
      <c r="AP326" s="88">
        <v>10393.785714906</v>
      </c>
      <c r="AQ326" s="88">
        <v>0</v>
      </c>
      <c r="AR326" s="88">
        <v>17734.93975903614</v>
      </c>
      <c r="AS326" s="88">
        <v>18215.46060678206</v>
      </c>
      <c r="AT326" s="88">
        <v>10928.049833290999</v>
      </c>
      <c r="AU326" s="88">
        <v>10393.785714906</v>
      </c>
      <c r="AV326" s="88">
        <v>16928</v>
      </c>
      <c r="AW326" s="88">
        <v>16744</v>
      </c>
      <c r="AX326" s="88">
        <v>17112</v>
      </c>
      <c r="AY326" s="88">
        <v>18400</v>
      </c>
      <c r="AZ326" s="88">
        <v>18400</v>
      </c>
      <c r="BA326" s="88">
        <v>18400</v>
      </c>
      <c r="BB326" s="88">
        <v>18400</v>
      </c>
      <c r="BC326" s="88">
        <v>18400</v>
      </c>
      <c r="BD326" s="88">
        <v>18400</v>
      </c>
      <c r="BE326" s="88">
        <v>18400</v>
      </c>
      <c r="BF326" s="88">
        <v>18400</v>
      </c>
      <c r="BG326" s="88">
        <v>18400</v>
      </c>
      <c r="BH326" s="88">
        <v>18400</v>
      </c>
      <c r="BI326" s="88">
        <v>18400</v>
      </c>
      <c r="BJ326" s="88">
        <v>18400</v>
      </c>
      <c r="BK326" s="88">
        <v>1450.6575769380611</v>
      </c>
      <c r="BL326" s="88">
        <v>1450.160317035816</v>
      </c>
      <c r="BM326" s="88">
        <v>1449.6644816703099</v>
      </c>
      <c r="BN326" s="88">
        <v>1449.153329616255</v>
      </c>
      <c r="BO326" s="88">
        <v>1448.643687064291</v>
      </c>
      <c r="BP326" s="88">
        <v>1448.1355473376359</v>
      </c>
      <c r="BQ326" s="88">
        <v>1447.6289037988161</v>
      </c>
      <c r="BR326" s="88">
        <v>1447.115481010218</v>
      </c>
      <c r="BS326" s="88">
        <v>1446.6118343480059</v>
      </c>
      <c r="BT326" s="88">
        <v>1071.654764765243</v>
      </c>
      <c r="BU326" s="88">
        <v>1071.163511600563</v>
      </c>
      <c r="BV326" s="88">
        <v>1070.6736942980319</v>
      </c>
      <c r="BW326" s="88">
        <v>1104.0000000000009</v>
      </c>
      <c r="BX326" s="88">
        <v>1104.0000000000009</v>
      </c>
      <c r="BY326" s="88">
        <v>1104.0000000000009</v>
      </c>
      <c r="BZ326" s="88">
        <v>1104.0000000000009</v>
      </c>
      <c r="CA326" s="88">
        <v>1104.0000000000009</v>
      </c>
      <c r="CB326" s="88">
        <v>1104.0000000000009</v>
      </c>
      <c r="CC326" s="88">
        <v>1104.0000000000009</v>
      </c>
      <c r="CD326" s="88">
        <v>1104.0000000000009</v>
      </c>
      <c r="CE326" s="88">
        <v>1104.0000000000009</v>
      </c>
      <c r="CF326" s="88">
        <v>736.00000000000068</v>
      </c>
      <c r="CG326" s="88">
        <v>736.00000000000068</v>
      </c>
      <c r="CH326" s="88">
        <v>736.00000000000068</v>
      </c>
      <c r="CI326" s="88">
        <v>18400</v>
      </c>
      <c r="CJ326" s="88">
        <v>18400</v>
      </c>
      <c r="CK326" s="88">
        <v>18400</v>
      </c>
      <c r="CL326" s="88">
        <v>18400</v>
      </c>
      <c r="CM326" s="88">
        <v>18400</v>
      </c>
      <c r="CN326" s="88">
        <v>18400</v>
      </c>
      <c r="CO326" s="88">
        <v>18400</v>
      </c>
      <c r="CP326" s="88">
        <v>18400</v>
      </c>
      <c r="CQ326" s="88">
        <v>18400</v>
      </c>
      <c r="CR326" s="88">
        <v>18400</v>
      </c>
      <c r="CS326" s="88">
        <v>18400</v>
      </c>
      <c r="CT326" s="88">
        <v>18400</v>
      </c>
      <c r="CU326" s="88">
        <v>327.03544994156778</v>
      </c>
      <c r="CV326" s="88">
        <v>326.56633682623908</v>
      </c>
      <c r="CW326" s="88">
        <v>326.09856761349909</v>
      </c>
      <c r="CX326" s="88">
        <v>325.61634869457902</v>
      </c>
      <c r="CY326" s="88">
        <v>325.13555383423659</v>
      </c>
      <c r="CZ326" s="88">
        <v>324.65617673361771</v>
      </c>
      <c r="DA326" s="88">
        <v>324.17821113095658</v>
      </c>
      <c r="DB326" s="88">
        <v>323.69385000963979</v>
      </c>
      <c r="DC326" s="88">
        <v>323.21871164906003</v>
      </c>
      <c r="DD326" s="88">
        <v>322.74496612042589</v>
      </c>
      <c r="DE326" s="88">
        <v>322.27260730823338</v>
      </c>
      <c r="DF326" s="88">
        <v>321.80162913272352</v>
      </c>
      <c r="DG326" s="93">
        <v>46296</v>
      </c>
      <c r="DH326" s="91">
        <v>0.06</v>
      </c>
      <c r="DI326" t="s">
        <v>301</v>
      </c>
      <c r="DJ326" s="93">
        <v>46661</v>
      </c>
      <c r="DK326" s="91">
        <v>0.04</v>
      </c>
      <c r="DL326" t="s">
        <v>302</v>
      </c>
      <c r="DM326" s="93"/>
      <c r="DN326" s="91"/>
      <c r="DP326" s="93"/>
      <c r="DQ326" s="91"/>
    </row>
    <row r="327" spans="1:121" x14ac:dyDescent="0.3">
      <c r="A327" t="s">
        <v>32</v>
      </c>
      <c r="B327" t="s">
        <v>42</v>
      </c>
      <c r="C327" t="s">
        <v>78</v>
      </c>
      <c r="D327" t="s">
        <v>321</v>
      </c>
      <c r="E327" t="s">
        <v>690</v>
      </c>
      <c r="F327" s="86">
        <v>15200</v>
      </c>
      <c r="G327" s="87">
        <v>6</v>
      </c>
      <c r="H327" s="88">
        <v>1.02</v>
      </c>
      <c r="I327" s="88">
        <v>1.0177777777777779</v>
      </c>
      <c r="J327" s="89">
        <v>0.90999999999999981</v>
      </c>
      <c r="K327" s="88">
        <v>1.0021834061135371</v>
      </c>
      <c r="L327" s="88">
        <v>1.0109890109890109</v>
      </c>
      <c r="M327" s="88">
        <v>1</v>
      </c>
      <c r="N327" s="90">
        <v>0.57599999999999996</v>
      </c>
      <c r="O327" s="90">
        <v>0.58360113249196222</v>
      </c>
      <c r="P327" s="90">
        <v>0.58232967032967031</v>
      </c>
      <c r="Q327" s="91">
        <v>0</v>
      </c>
      <c r="R327" s="88">
        <v>0.99999999999999978</v>
      </c>
      <c r="S327" s="88">
        <v>1.0109890109890109</v>
      </c>
      <c r="T327" s="91">
        <v>-2.1786492374726851E-3</v>
      </c>
      <c r="U327" s="91">
        <v>2.18340611353729E-3</v>
      </c>
      <c r="V327" s="87">
        <v>0</v>
      </c>
      <c r="W327" s="91">
        <v>0</v>
      </c>
      <c r="X327" s="87">
        <v>1</v>
      </c>
      <c r="Y327" s="90">
        <v>0.58360113249196222</v>
      </c>
      <c r="Z327" s="90">
        <v>0.58232967032967031</v>
      </c>
      <c r="AA327" s="92">
        <v>0</v>
      </c>
      <c r="AB327" s="88">
        <v>0</v>
      </c>
      <c r="AC327" s="87">
        <v>1</v>
      </c>
      <c r="AD327" s="87">
        <v>0</v>
      </c>
      <c r="AE327" s="88">
        <v>1.0166666666666659</v>
      </c>
      <c r="AF327" s="88">
        <v>1</v>
      </c>
      <c r="AG327" s="88">
        <v>1.0166666666666659</v>
      </c>
      <c r="AH327" s="88">
        <v>15504</v>
      </c>
      <c r="AI327" s="88">
        <v>15470.222222222221</v>
      </c>
      <c r="AJ327" s="88">
        <v>13832</v>
      </c>
      <c r="AK327" s="88">
        <v>15233.187772925759</v>
      </c>
      <c r="AL327" s="88">
        <v>15367.03296703297</v>
      </c>
      <c r="AM327" s="88">
        <v>15200</v>
      </c>
      <c r="AN327" s="88">
        <v>8755.1999999999989</v>
      </c>
      <c r="AO327" s="88">
        <v>8870.7372138778264</v>
      </c>
      <c r="AP327" s="88">
        <v>8851.4109890109885</v>
      </c>
      <c r="AQ327" s="88">
        <v>0</v>
      </c>
      <c r="AR327" s="88">
        <v>15200</v>
      </c>
      <c r="AS327" s="88">
        <v>15367.03296703297</v>
      </c>
      <c r="AT327" s="88">
        <v>8870.7372138778264</v>
      </c>
      <c r="AU327" s="88">
        <v>8851.4109890109885</v>
      </c>
      <c r="AV327" s="88">
        <v>13984</v>
      </c>
      <c r="AW327" s="88">
        <v>13832</v>
      </c>
      <c r="AX327" s="88">
        <v>13832</v>
      </c>
      <c r="AY327" s="88">
        <v>15200</v>
      </c>
      <c r="AZ327" s="88">
        <v>15200</v>
      </c>
      <c r="BA327" s="88">
        <v>15200</v>
      </c>
      <c r="BB327" s="88">
        <v>15200</v>
      </c>
      <c r="BC327" s="88">
        <v>15200</v>
      </c>
      <c r="BD327" s="88">
        <v>15200</v>
      </c>
      <c r="BE327" s="88">
        <v>15200</v>
      </c>
      <c r="BF327" s="88">
        <v>15200</v>
      </c>
      <c r="BG327" s="88">
        <v>15200</v>
      </c>
      <c r="BH327" s="88">
        <v>15200</v>
      </c>
      <c r="BI327" s="88">
        <v>15200</v>
      </c>
      <c r="BJ327" s="88">
        <v>15200</v>
      </c>
      <c r="BK327" s="88">
        <v>304.00000000000028</v>
      </c>
      <c r="BL327" s="88">
        <v>304.00000000000028</v>
      </c>
      <c r="BM327" s="88">
        <v>304.00000000000028</v>
      </c>
      <c r="BN327" s="88">
        <v>304.00000000000028</v>
      </c>
      <c r="BO327" s="88">
        <v>304.00000000000028</v>
      </c>
      <c r="BP327" s="88">
        <v>304.00000000000028</v>
      </c>
      <c r="BQ327" s="88">
        <v>304.00000000000028</v>
      </c>
      <c r="BR327" s="88">
        <v>304.00000000000028</v>
      </c>
      <c r="BS327" s="88">
        <v>304.00000000000028</v>
      </c>
      <c r="BT327" s="88">
        <v>304.00000000000028</v>
      </c>
      <c r="BU327" s="88">
        <v>0</v>
      </c>
      <c r="BV327" s="88">
        <v>0</v>
      </c>
      <c r="BW327" s="88">
        <v>304.00000000000028</v>
      </c>
      <c r="BX327" s="88">
        <v>304.00000000000028</v>
      </c>
      <c r="BY327" s="88">
        <v>304.00000000000028</v>
      </c>
      <c r="BZ327" s="88">
        <v>304.00000000000028</v>
      </c>
      <c r="CA327" s="88">
        <v>304.00000000000028</v>
      </c>
      <c r="CB327" s="88">
        <v>304.00000000000028</v>
      </c>
      <c r="CC327" s="88">
        <v>304.00000000000028</v>
      </c>
      <c r="CD327" s="88">
        <v>304.00000000000028</v>
      </c>
      <c r="CE327" s="88">
        <v>304.00000000000028</v>
      </c>
      <c r="CF327" s="88">
        <v>304.00000000000028</v>
      </c>
      <c r="CG327" s="88">
        <v>0</v>
      </c>
      <c r="CH327" s="88">
        <v>0</v>
      </c>
      <c r="CI327" s="88">
        <v>15200</v>
      </c>
      <c r="CJ327" s="88">
        <v>15200</v>
      </c>
      <c r="CK327" s="88">
        <v>15200</v>
      </c>
      <c r="CL327" s="88">
        <v>15200</v>
      </c>
      <c r="CM327" s="88">
        <v>15200</v>
      </c>
      <c r="CN327" s="88">
        <v>15200</v>
      </c>
      <c r="CO327" s="88">
        <v>15200</v>
      </c>
      <c r="CP327" s="88">
        <v>15200</v>
      </c>
      <c r="CQ327" s="88">
        <v>15200</v>
      </c>
      <c r="CR327" s="88">
        <v>15200</v>
      </c>
      <c r="CS327" s="88">
        <v>15200</v>
      </c>
      <c r="CT327" s="88">
        <v>15200</v>
      </c>
      <c r="CU327" s="88">
        <v>0</v>
      </c>
      <c r="CV327" s="88">
        <v>0</v>
      </c>
      <c r="CW327" s="88">
        <v>0</v>
      </c>
      <c r="CX327" s="88">
        <v>0</v>
      </c>
      <c r="CY327" s="88">
        <v>0</v>
      </c>
      <c r="CZ327" s="88">
        <v>0</v>
      </c>
      <c r="DA327" s="88">
        <v>0</v>
      </c>
      <c r="DB327" s="88">
        <v>0</v>
      </c>
      <c r="DC327" s="88">
        <v>0</v>
      </c>
      <c r="DD327" s="88">
        <v>0</v>
      </c>
      <c r="DE327" s="88">
        <v>0</v>
      </c>
      <c r="DF327" s="88">
        <v>0</v>
      </c>
      <c r="DG327" s="93">
        <v>46327</v>
      </c>
      <c r="DH327" s="91">
        <v>0.02</v>
      </c>
      <c r="DI327" t="s">
        <v>301</v>
      </c>
      <c r="DJ327" s="93"/>
      <c r="DK327" s="91"/>
      <c r="DM327" s="93"/>
      <c r="DN327" s="91"/>
      <c r="DP327" s="93"/>
      <c r="DQ327" s="91"/>
    </row>
    <row r="328" spans="1:121" x14ac:dyDescent="0.3">
      <c r="A328" t="s">
        <v>32</v>
      </c>
      <c r="B328" t="s">
        <v>42</v>
      </c>
      <c r="C328" t="s">
        <v>80</v>
      </c>
      <c r="D328" t="s">
        <v>323</v>
      </c>
      <c r="E328" t="s">
        <v>691</v>
      </c>
      <c r="F328" s="86">
        <v>12000</v>
      </c>
      <c r="G328" s="87">
        <v>6</v>
      </c>
      <c r="H328" s="88">
        <v>1</v>
      </c>
      <c r="I328" s="88">
        <v>1</v>
      </c>
      <c r="J328" s="89">
        <v>0.91598878555798668</v>
      </c>
      <c r="K328" s="88">
        <v>1</v>
      </c>
      <c r="L328" s="88">
        <v>1.0043791086804299</v>
      </c>
      <c r="M328" s="88">
        <v>1</v>
      </c>
      <c r="N328" s="90">
        <v>0.56000000000000005</v>
      </c>
      <c r="O328" s="90">
        <v>0.56245230086104081</v>
      </c>
      <c r="P328" s="90">
        <v>0.5572800279295177</v>
      </c>
      <c r="Q328" s="91">
        <v>0</v>
      </c>
      <c r="R328" s="88">
        <v>1</v>
      </c>
      <c r="S328" s="88">
        <v>0.99514290701699581</v>
      </c>
      <c r="T328" s="91">
        <v>0</v>
      </c>
      <c r="U328" s="91">
        <v>0</v>
      </c>
      <c r="V328" s="87">
        <v>0</v>
      </c>
      <c r="W328" s="91">
        <v>0</v>
      </c>
      <c r="X328" s="87">
        <v>1</v>
      </c>
      <c r="Y328" s="90">
        <v>0.56245230086104081</v>
      </c>
      <c r="Z328" s="90">
        <v>0.5572800279295177</v>
      </c>
      <c r="AA328" s="92">
        <v>0</v>
      </c>
      <c r="AB328" s="88">
        <v>0</v>
      </c>
      <c r="AC328" s="87">
        <v>0</v>
      </c>
      <c r="AD328" s="87">
        <v>0</v>
      </c>
      <c r="AE328" s="88">
        <v>1</v>
      </c>
      <c r="AF328" s="88">
        <v>1.0132088564102011</v>
      </c>
      <c r="AG328" s="88">
        <v>1.0132088564102011</v>
      </c>
      <c r="AH328" s="88">
        <v>12000</v>
      </c>
      <c r="AI328" s="88">
        <v>12000</v>
      </c>
      <c r="AJ328" s="88">
        <v>10991.86542669584</v>
      </c>
      <c r="AK328" s="88">
        <v>12000</v>
      </c>
      <c r="AL328" s="88">
        <v>12052.549304165161</v>
      </c>
      <c r="AM328" s="88">
        <v>12000</v>
      </c>
      <c r="AN328" s="88">
        <v>6720.0000000000009</v>
      </c>
      <c r="AO328" s="88">
        <v>6749.4276103324901</v>
      </c>
      <c r="AP328" s="88">
        <v>6687.3603351542124</v>
      </c>
      <c r="AQ328" s="88">
        <v>0</v>
      </c>
      <c r="AR328" s="88">
        <v>12000</v>
      </c>
      <c r="AS328" s="88">
        <v>11941.71488420395</v>
      </c>
      <c r="AT328" s="88">
        <v>6749.4276103324901</v>
      </c>
      <c r="AU328" s="88">
        <v>6687.3603351542124</v>
      </c>
      <c r="AV328" s="88">
        <v>11040</v>
      </c>
      <c r="AW328" s="88">
        <v>10920</v>
      </c>
      <c r="AX328" s="88">
        <v>11100</v>
      </c>
      <c r="AY328" s="88">
        <v>12000</v>
      </c>
      <c r="AZ328" s="88">
        <v>12000</v>
      </c>
      <c r="BA328" s="88">
        <v>12000</v>
      </c>
      <c r="BB328" s="88">
        <v>12000</v>
      </c>
      <c r="BC328" s="88">
        <v>12000</v>
      </c>
      <c r="BD328" s="88">
        <v>12000</v>
      </c>
      <c r="BE328" s="88">
        <v>12000</v>
      </c>
      <c r="BF328" s="88">
        <v>12000</v>
      </c>
      <c r="BG328" s="88">
        <v>12000</v>
      </c>
      <c r="BH328" s="88">
        <v>12000</v>
      </c>
      <c r="BI328" s="88">
        <v>12000</v>
      </c>
      <c r="BJ328" s="88">
        <v>12000</v>
      </c>
      <c r="BK328" s="88">
        <v>159.46311656948001</v>
      </c>
      <c r="BL328" s="88">
        <v>159.29203539823169</v>
      </c>
      <c r="BM328" s="88">
        <v>159.121320924938</v>
      </c>
      <c r="BN328" s="88">
        <v>158.9452038224284</v>
      </c>
      <c r="BO328" s="88">
        <v>158.76947614530931</v>
      </c>
      <c r="BP328" s="88">
        <v>158.59413660338089</v>
      </c>
      <c r="BQ328" s="88">
        <v>158.41918391213471</v>
      </c>
      <c r="BR328" s="88">
        <v>158.24175824176041</v>
      </c>
      <c r="BS328" s="88">
        <v>158.06758171035449</v>
      </c>
      <c r="BT328" s="88">
        <v>157.89378818920679</v>
      </c>
      <c r="BU328" s="88">
        <v>157.72037641636149</v>
      </c>
      <c r="BV328" s="88">
        <v>157.54734513539421</v>
      </c>
      <c r="BW328" s="88">
        <v>0</v>
      </c>
      <c r="BX328" s="88">
        <v>0</v>
      </c>
      <c r="BY328" s="88">
        <v>0</v>
      </c>
      <c r="BZ328" s="88">
        <v>0</v>
      </c>
      <c r="CA328" s="88">
        <v>0</v>
      </c>
      <c r="CB328" s="88">
        <v>0</v>
      </c>
      <c r="CC328" s="88">
        <v>0</v>
      </c>
      <c r="CD328" s="88">
        <v>0</v>
      </c>
      <c r="CE328" s="88">
        <v>0</v>
      </c>
      <c r="CF328" s="88">
        <v>0</v>
      </c>
      <c r="CG328" s="88">
        <v>0</v>
      </c>
      <c r="CH328" s="88">
        <v>0</v>
      </c>
      <c r="CI328" s="88">
        <v>12000</v>
      </c>
      <c r="CJ328" s="88">
        <v>12000</v>
      </c>
      <c r="CK328" s="88">
        <v>12000</v>
      </c>
      <c r="CL328" s="88">
        <v>12000</v>
      </c>
      <c r="CM328" s="88">
        <v>12000</v>
      </c>
      <c r="CN328" s="88">
        <v>12000</v>
      </c>
      <c r="CO328" s="88">
        <v>12000</v>
      </c>
      <c r="CP328" s="88">
        <v>12000</v>
      </c>
      <c r="CQ328" s="88">
        <v>12000</v>
      </c>
      <c r="CR328" s="88">
        <v>12000</v>
      </c>
      <c r="CS328" s="88">
        <v>12000</v>
      </c>
      <c r="CT328" s="88">
        <v>12000</v>
      </c>
      <c r="CU328" s="88">
        <v>159.46311656948001</v>
      </c>
      <c r="CV328" s="88">
        <v>159.29203539823169</v>
      </c>
      <c r="CW328" s="88">
        <v>159.121320924938</v>
      </c>
      <c r="CX328" s="88">
        <v>158.9452038224284</v>
      </c>
      <c r="CY328" s="88">
        <v>158.76947614530931</v>
      </c>
      <c r="CZ328" s="88">
        <v>158.59413660338089</v>
      </c>
      <c r="DA328" s="88">
        <v>158.41918391213471</v>
      </c>
      <c r="DB328" s="88">
        <v>158.24175824176041</v>
      </c>
      <c r="DC328" s="88">
        <v>158.06758171035449</v>
      </c>
      <c r="DD328" s="88">
        <v>157.89378818920679</v>
      </c>
      <c r="DE328" s="88">
        <v>157.72037641636149</v>
      </c>
      <c r="DF328" s="88">
        <v>157.54734513539421</v>
      </c>
      <c r="DG328" s="93"/>
      <c r="DH328" s="91"/>
      <c r="DJ328" s="93"/>
      <c r="DK328" s="91"/>
      <c r="DM328" s="93"/>
      <c r="DN328" s="91"/>
      <c r="DP328" s="93"/>
      <c r="DQ328" s="91"/>
    </row>
    <row r="329" spans="1:121" x14ac:dyDescent="0.3">
      <c r="A329" t="s">
        <v>32</v>
      </c>
      <c r="B329" t="s">
        <v>42</v>
      </c>
      <c r="C329" t="s">
        <v>82</v>
      </c>
      <c r="D329" t="s">
        <v>325</v>
      </c>
      <c r="E329" t="s">
        <v>692</v>
      </c>
      <c r="F329" s="86">
        <v>8800</v>
      </c>
      <c r="G329" s="87">
        <v>6</v>
      </c>
      <c r="H329" s="88">
        <v>1.04</v>
      </c>
      <c r="I329" s="88">
        <v>1.04</v>
      </c>
      <c r="J329" s="89">
        <v>0.9080037381473377</v>
      </c>
      <c r="K329" s="88">
        <v>1</v>
      </c>
      <c r="L329" s="88">
        <v>1.0132116877372539</v>
      </c>
      <c r="M329" s="88">
        <v>1</v>
      </c>
      <c r="N329" s="90">
        <v>0.58799999999999997</v>
      </c>
      <c r="O329" s="90">
        <v>0.59576847238950559</v>
      </c>
      <c r="P329" s="90">
        <v>0.59763366753168101</v>
      </c>
      <c r="Q329" s="91">
        <v>0</v>
      </c>
      <c r="R329" s="88">
        <v>1</v>
      </c>
      <c r="S329" s="88">
        <v>1.0163837883191851</v>
      </c>
      <c r="T329" s="91">
        <v>0</v>
      </c>
      <c r="U329" s="91">
        <v>0</v>
      </c>
      <c r="V329" s="87">
        <v>0</v>
      </c>
      <c r="W329" s="91">
        <v>0</v>
      </c>
      <c r="X329" s="87">
        <v>1</v>
      </c>
      <c r="Y329" s="90">
        <v>0.59576847238950559</v>
      </c>
      <c r="Z329" s="90">
        <v>0.59763366753168101</v>
      </c>
      <c r="AA329" s="92">
        <v>0</v>
      </c>
      <c r="AB329" s="88">
        <v>0</v>
      </c>
      <c r="AC329" s="87">
        <v>1</v>
      </c>
      <c r="AD329" s="87">
        <v>0</v>
      </c>
      <c r="AE329" s="88">
        <v>1</v>
      </c>
      <c r="AF329" s="88">
        <v>0.99561641381999111</v>
      </c>
      <c r="AG329" s="88">
        <v>0.99561641381999111</v>
      </c>
      <c r="AH329" s="88">
        <v>9152</v>
      </c>
      <c r="AI329" s="88">
        <v>9151.9999999999982</v>
      </c>
      <c r="AJ329" s="88">
        <v>7990.4328956965719</v>
      </c>
      <c r="AK329" s="88">
        <v>8800.0000000000018</v>
      </c>
      <c r="AL329" s="88">
        <v>8916.2628520878388</v>
      </c>
      <c r="AM329" s="88">
        <v>8800</v>
      </c>
      <c r="AN329" s="88">
        <v>5174.3999999999996</v>
      </c>
      <c r="AO329" s="88">
        <v>5242.7625570276496</v>
      </c>
      <c r="AP329" s="88">
        <v>5259.1762742787932</v>
      </c>
      <c r="AQ329" s="88">
        <v>0</v>
      </c>
      <c r="AR329" s="88">
        <v>8800.0000000000018</v>
      </c>
      <c r="AS329" s="88">
        <v>8944.1773372088301</v>
      </c>
      <c r="AT329" s="88">
        <v>5242.7625570276496</v>
      </c>
      <c r="AU329" s="88">
        <v>5259.1762742787932</v>
      </c>
      <c r="AV329" s="88">
        <v>8096</v>
      </c>
      <c r="AW329" s="88">
        <v>8008</v>
      </c>
      <c r="AX329" s="88">
        <v>7964</v>
      </c>
      <c r="AY329" s="88">
        <v>8800</v>
      </c>
      <c r="AZ329" s="88">
        <v>8800</v>
      </c>
      <c r="BA329" s="88">
        <v>8800</v>
      </c>
      <c r="BB329" s="88">
        <v>8800</v>
      </c>
      <c r="BC329" s="88">
        <v>8800</v>
      </c>
      <c r="BD329" s="88">
        <v>8800</v>
      </c>
      <c r="BE329" s="88">
        <v>8800</v>
      </c>
      <c r="BF329" s="88">
        <v>8800</v>
      </c>
      <c r="BG329" s="88">
        <v>8800</v>
      </c>
      <c r="BH329" s="88">
        <v>8800</v>
      </c>
      <c r="BI329" s="88">
        <v>8800</v>
      </c>
      <c r="BJ329" s="88">
        <v>8800</v>
      </c>
      <c r="BK329" s="88">
        <v>-38.498648591958329</v>
      </c>
      <c r="BL329" s="88">
        <v>-38.512265892904111</v>
      </c>
      <c r="BM329" s="88">
        <v>-38.525892830369472</v>
      </c>
      <c r="BN329" s="88">
        <v>-38.539991840848131</v>
      </c>
      <c r="BO329" s="88">
        <v>-38.554101174507679</v>
      </c>
      <c r="BP329" s="88">
        <v>-38.568220842689087</v>
      </c>
      <c r="BQ329" s="88">
        <v>-38.582350856751901</v>
      </c>
      <c r="BR329" s="88">
        <v>-38.59672312378688</v>
      </c>
      <c r="BS329" s="88">
        <v>-38.610874033827173</v>
      </c>
      <c r="BT329" s="88">
        <v>-38.625035324109817</v>
      </c>
      <c r="BU329" s="88">
        <v>-38.639207006062733</v>
      </c>
      <c r="BV329" s="88">
        <v>-38.653389091127544</v>
      </c>
      <c r="BW329" s="88">
        <v>0</v>
      </c>
      <c r="BX329" s="88">
        <v>0</v>
      </c>
      <c r="BY329" s="88">
        <v>0</v>
      </c>
      <c r="BZ329" s="88">
        <v>0</v>
      </c>
      <c r="CA329" s="88">
        <v>0</v>
      </c>
      <c r="CB329" s="88">
        <v>0</v>
      </c>
      <c r="CC329" s="88">
        <v>0</v>
      </c>
      <c r="CD329" s="88">
        <v>0</v>
      </c>
      <c r="CE329" s="88">
        <v>0</v>
      </c>
      <c r="CF329" s="88">
        <v>0</v>
      </c>
      <c r="CG329" s="88">
        <v>0</v>
      </c>
      <c r="CH329" s="88">
        <v>0</v>
      </c>
      <c r="CI329" s="88">
        <v>8800</v>
      </c>
      <c r="CJ329" s="88">
        <v>8800</v>
      </c>
      <c r="CK329" s="88">
        <v>8800</v>
      </c>
      <c r="CL329" s="88">
        <v>8800</v>
      </c>
      <c r="CM329" s="88">
        <v>8800</v>
      </c>
      <c r="CN329" s="88">
        <v>8800</v>
      </c>
      <c r="CO329" s="88">
        <v>8800</v>
      </c>
      <c r="CP329" s="88">
        <v>8800</v>
      </c>
      <c r="CQ329" s="88">
        <v>8800</v>
      </c>
      <c r="CR329" s="88">
        <v>8800</v>
      </c>
      <c r="CS329" s="88">
        <v>8800</v>
      </c>
      <c r="CT329" s="88">
        <v>8800</v>
      </c>
      <c r="CU329" s="88">
        <v>-38.498648591958329</v>
      </c>
      <c r="CV329" s="88">
        <v>-38.512265892904111</v>
      </c>
      <c r="CW329" s="88">
        <v>-38.525892830369472</v>
      </c>
      <c r="CX329" s="88">
        <v>-38.539991840848131</v>
      </c>
      <c r="CY329" s="88">
        <v>-38.554101174507679</v>
      </c>
      <c r="CZ329" s="88">
        <v>-38.568220842689087</v>
      </c>
      <c r="DA329" s="88">
        <v>-38.582350856751901</v>
      </c>
      <c r="DB329" s="88">
        <v>-38.59672312378688</v>
      </c>
      <c r="DC329" s="88">
        <v>-38.610874033827173</v>
      </c>
      <c r="DD329" s="88">
        <v>-38.625035324109817</v>
      </c>
      <c r="DE329" s="88">
        <v>-38.639207006062733</v>
      </c>
      <c r="DF329" s="88">
        <v>-38.653389091127544</v>
      </c>
      <c r="DG329" s="93">
        <v>46023</v>
      </c>
      <c r="DH329" s="91">
        <v>0.04</v>
      </c>
      <c r="DI329" t="s">
        <v>301</v>
      </c>
      <c r="DJ329" s="93"/>
      <c r="DK329" s="91"/>
      <c r="DM329" s="93"/>
      <c r="DN329" s="91"/>
      <c r="DP329" s="93"/>
      <c r="DQ329" s="91"/>
    </row>
    <row r="330" spans="1:121" x14ac:dyDescent="0.3">
      <c r="A330" t="s">
        <v>32</v>
      </c>
      <c r="B330" t="s">
        <v>42</v>
      </c>
      <c r="C330" t="s">
        <v>85</v>
      </c>
      <c r="D330" t="s">
        <v>327</v>
      </c>
      <c r="E330" t="s">
        <v>693</v>
      </c>
      <c r="F330" s="86">
        <v>19200</v>
      </c>
      <c r="G330" s="87">
        <v>6</v>
      </c>
      <c r="H330" s="88">
        <v>1.05</v>
      </c>
      <c r="I330" s="88">
        <v>1.071</v>
      </c>
      <c r="J330" s="89">
        <v>0.91399252370532447</v>
      </c>
      <c r="K330" s="88">
        <v>0.98039215686274517</v>
      </c>
      <c r="L330" s="88">
        <v>1.006572784939554</v>
      </c>
      <c r="M330" s="88">
        <v>1</v>
      </c>
      <c r="N330" s="90">
        <v>0.57199999999999995</v>
      </c>
      <c r="O330" s="90">
        <v>0.56447022841708339</v>
      </c>
      <c r="P330" s="90">
        <v>0.55020320219427954</v>
      </c>
      <c r="Q330" s="91">
        <v>0</v>
      </c>
      <c r="R330" s="88">
        <v>0.96153846153846134</v>
      </c>
      <c r="S330" s="88">
        <v>1.000369458535054</v>
      </c>
      <c r="T330" s="91">
        <v>2.0000000000000021E-2</v>
      </c>
      <c r="U330" s="91">
        <v>1.960784313725528E-2</v>
      </c>
      <c r="V330" s="87">
        <v>0</v>
      </c>
      <c r="W330" s="91">
        <v>0</v>
      </c>
      <c r="X330" s="87">
        <v>1</v>
      </c>
      <c r="Y330" s="90">
        <v>0.56447022841708339</v>
      </c>
      <c r="Z330" s="90">
        <v>0.55020320219427954</v>
      </c>
      <c r="AA330" s="92">
        <v>0</v>
      </c>
      <c r="AB330" s="88">
        <v>0</v>
      </c>
      <c r="AC330" s="87">
        <v>1</v>
      </c>
      <c r="AD330" s="87">
        <v>1</v>
      </c>
      <c r="AE330" s="88">
        <v>1.034166666666666</v>
      </c>
      <c r="AF330" s="88">
        <v>1.0087961468131059</v>
      </c>
      <c r="AG330" s="88">
        <v>1.0432632054397151</v>
      </c>
      <c r="AH330" s="88">
        <v>20160</v>
      </c>
      <c r="AI330" s="88">
        <v>20563.2</v>
      </c>
      <c r="AJ330" s="88">
        <v>17548.656455142231</v>
      </c>
      <c r="AK330" s="88">
        <v>18823.52941176471</v>
      </c>
      <c r="AL330" s="88">
        <v>19326.197470839441</v>
      </c>
      <c r="AM330" s="88">
        <v>19200</v>
      </c>
      <c r="AN330" s="88">
        <v>10982.4</v>
      </c>
      <c r="AO330" s="88">
        <v>10837.828385608</v>
      </c>
      <c r="AP330" s="88">
        <v>10563.90148213017</v>
      </c>
      <c r="AQ330" s="88">
        <v>0</v>
      </c>
      <c r="AR330" s="88">
        <v>18461.538461538461</v>
      </c>
      <c r="AS330" s="88">
        <v>19207.09360387304</v>
      </c>
      <c r="AT330" s="88">
        <v>10837.828385608</v>
      </c>
      <c r="AU330" s="88">
        <v>10563.90148213017</v>
      </c>
      <c r="AV330" s="88">
        <v>17664</v>
      </c>
      <c r="AW330" s="88">
        <v>17472</v>
      </c>
      <c r="AX330" s="88">
        <v>17664</v>
      </c>
      <c r="AY330" s="88">
        <v>19200</v>
      </c>
      <c r="AZ330" s="88">
        <v>19200</v>
      </c>
      <c r="BA330" s="88">
        <v>19200</v>
      </c>
      <c r="BB330" s="88">
        <v>19200</v>
      </c>
      <c r="BC330" s="88">
        <v>19200</v>
      </c>
      <c r="BD330" s="88">
        <v>19200</v>
      </c>
      <c r="BE330" s="88">
        <v>19200</v>
      </c>
      <c r="BF330" s="88">
        <v>19200</v>
      </c>
      <c r="BG330" s="88">
        <v>19200</v>
      </c>
      <c r="BH330" s="88">
        <v>19200</v>
      </c>
      <c r="BI330" s="88">
        <v>19200</v>
      </c>
      <c r="BJ330" s="88">
        <v>19200</v>
      </c>
      <c r="BK330" s="88">
        <v>1138.0423184408271</v>
      </c>
      <c r="BL330" s="88">
        <v>169.44316835513291</v>
      </c>
      <c r="BM330" s="88">
        <v>169.32239631781701</v>
      </c>
      <c r="BN330" s="88">
        <v>943.96561964315856</v>
      </c>
      <c r="BO330" s="88">
        <v>943.83613795099996</v>
      </c>
      <c r="BP330" s="88">
        <v>943.70684667309638</v>
      </c>
      <c r="BQ330" s="88">
        <v>943.57774538971739</v>
      </c>
      <c r="BR330" s="88">
        <v>943.44672195274916</v>
      </c>
      <c r="BS330" s="88">
        <v>943.31800250168521</v>
      </c>
      <c r="BT330" s="88">
        <v>943.18947178655606</v>
      </c>
      <c r="BU330" s="88">
        <v>943.0611293925466</v>
      </c>
      <c r="BV330" s="88">
        <v>942.93297490609552</v>
      </c>
      <c r="BW330" s="88">
        <v>960.00000000000091</v>
      </c>
      <c r="BX330" s="88">
        <v>0</v>
      </c>
      <c r="BY330" s="88">
        <v>0</v>
      </c>
      <c r="BZ330" s="88">
        <v>768.00000000000068</v>
      </c>
      <c r="CA330" s="88">
        <v>768.00000000000068</v>
      </c>
      <c r="CB330" s="88">
        <v>768.00000000000068</v>
      </c>
      <c r="CC330" s="88">
        <v>768.00000000000068</v>
      </c>
      <c r="CD330" s="88">
        <v>768.00000000000068</v>
      </c>
      <c r="CE330" s="88">
        <v>768.00000000000068</v>
      </c>
      <c r="CF330" s="88">
        <v>768.00000000000068</v>
      </c>
      <c r="CG330" s="88">
        <v>768.00000000000068</v>
      </c>
      <c r="CH330" s="88">
        <v>768.00000000000068</v>
      </c>
      <c r="CI330" s="88">
        <v>19200</v>
      </c>
      <c r="CJ330" s="88">
        <v>19200</v>
      </c>
      <c r="CK330" s="88">
        <v>19200</v>
      </c>
      <c r="CL330" s="88">
        <v>19200</v>
      </c>
      <c r="CM330" s="88">
        <v>19200</v>
      </c>
      <c r="CN330" s="88">
        <v>19200</v>
      </c>
      <c r="CO330" s="88">
        <v>19200</v>
      </c>
      <c r="CP330" s="88">
        <v>19200</v>
      </c>
      <c r="CQ330" s="88">
        <v>19200</v>
      </c>
      <c r="CR330" s="88">
        <v>19200</v>
      </c>
      <c r="CS330" s="88">
        <v>19200</v>
      </c>
      <c r="CT330" s="88">
        <v>19200</v>
      </c>
      <c r="CU330" s="88">
        <v>169.56411280078501</v>
      </c>
      <c r="CV330" s="88">
        <v>169.44316835513291</v>
      </c>
      <c r="CW330" s="88">
        <v>169.32239631781701</v>
      </c>
      <c r="CX330" s="88">
        <v>169.19771119534491</v>
      </c>
      <c r="CY330" s="88">
        <v>169.07320956826771</v>
      </c>
      <c r="CZ330" s="88">
        <v>168.94889103182319</v>
      </c>
      <c r="DA330" s="88">
        <v>168.82475518242191</v>
      </c>
      <c r="DB330" s="88">
        <v>168.69877110841139</v>
      </c>
      <c r="DC330" s="88">
        <v>168.57500240546409</v>
      </c>
      <c r="DD330" s="88">
        <v>168.45141517937921</v>
      </c>
      <c r="DE330" s="88">
        <v>168.32800903129481</v>
      </c>
      <c r="DF330" s="88">
        <v>168.2047835635515</v>
      </c>
      <c r="DG330" s="93">
        <v>46054</v>
      </c>
      <c r="DH330" s="91">
        <v>0.05</v>
      </c>
      <c r="DI330" t="s">
        <v>301</v>
      </c>
      <c r="DJ330" s="93">
        <v>46478</v>
      </c>
      <c r="DK330" s="91">
        <v>0.04</v>
      </c>
      <c r="DL330" t="s">
        <v>302</v>
      </c>
      <c r="DM330" s="93"/>
      <c r="DN330" s="91"/>
      <c r="DP330" s="93"/>
      <c r="DQ330" s="91"/>
    </row>
    <row r="331" spans="1:121" x14ac:dyDescent="0.3">
      <c r="A331" t="s">
        <v>32</v>
      </c>
      <c r="B331" t="s">
        <v>42</v>
      </c>
      <c r="C331" t="s">
        <v>87</v>
      </c>
      <c r="D331" t="s">
        <v>329</v>
      </c>
      <c r="E331" t="s">
        <v>694</v>
      </c>
      <c r="F331" s="86">
        <v>16000</v>
      </c>
      <c r="G331" s="87">
        <v>6</v>
      </c>
      <c r="H331" s="88">
        <v>1</v>
      </c>
      <c r="I331" s="88">
        <v>1</v>
      </c>
      <c r="J331" s="89">
        <v>0.90600747629467537</v>
      </c>
      <c r="K331" s="88">
        <v>1</v>
      </c>
      <c r="L331" s="88">
        <v>1.0154441592055621</v>
      </c>
      <c r="M331" s="88">
        <v>1</v>
      </c>
      <c r="N331" s="90">
        <v>0.6</v>
      </c>
      <c r="O331" s="90">
        <v>0.60926649552333734</v>
      </c>
      <c r="P331" s="90">
        <v>0.613101869448482</v>
      </c>
      <c r="Q331" s="91">
        <v>0</v>
      </c>
      <c r="R331" s="88">
        <v>1</v>
      </c>
      <c r="S331" s="88">
        <v>1.021836449080803</v>
      </c>
      <c r="T331" s="91">
        <v>0</v>
      </c>
      <c r="U331" s="91">
        <v>0</v>
      </c>
      <c r="V331" s="87">
        <v>0</v>
      </c>
      <c r="W331" s="91">
        <v>0</v>
      </c>
      <c r="X331" s="87">
        <v>1</v>
      </c>
      <c r="Y331" s="90">
        <v>0.60926649552333734</v>
      </c>
      <c r="Z331" s="90">
        <v>0.613101869448482</v>
      </c>
      <c r="AA331" s="92">
        <v>0</v>
      </c>
      <c r="AB331" s="88">
        <v>0</v>
      </c>
      <c r="AC331" s="87">
        <v>0</v>
      </c>
      <c r="AD331" s="87">
        <v>0</v>
      </c>
      <c r="AE331" s="88">
        <v>1</v>
      </c>
      <c r="AF331" s="88">
        <v>0.99124238763980388</v>
      </c>
      <c r="AG331" s="88">
        <v>0.99124238763980388</v>
      </c>
      <c r="AH331" s="88">
        <v>16000</v>
      </c>
      <c r="AI331" s="88">
        <v>16000</v>
      </c>
      <c r="AJ331" s="88">
        <v>14496.11962071481</v>
      </c>
      <c r="AK331" s="88">
        <v>16000</v>
      </c>
      <c r="AL331" s="88">
        <v>16247.106547289</v>
      </c>
      <c r="AM331" s="88">
        <v>16000</v>
      </c>
      <c r="AN331" s="88">
        <v>9600</v>
      </c>
      <c r="AO331" s="88">
        <v>9748.263928373397</v>
      </c>
      <c r="AP331" s="88">
        <v>9809.6299111757126</v>
      </c>
      <c r="AQ331" s="88">
        <v>0</v>
      </c>
      <c r="AR331" s="88">
        <v>16000</v>
      </c>
      <c r="AS331" s="88">
        <v>16349.383185292851</v>
      </c>
      <c r="AT331" s="88">
        <v>9748.263928373397</v>
      </c>
      <c r="AU331" s="88">
        <v>9809.6299111757126</v>
      </c>
      <c r="AV331" s="88">
        <v>14720</v>
      </c>
      <c r="AW331" s="88">
        <v>14560</v>
      </c>
      <c r="AX331" s="88">
        <v>14400</v>
      </c>
      <c r="AY331" s="88">
        <v>16000</v>
      </c>
      <c r="AZ331" s="88">
        <v>16000</v>
      </c>
      <c r="BA331" s="88">
        <v>16000</v>
      </c>
      <c r="BB331" s="88">
        <v>16000</v>
      </c>
      <c r="BC331" s="88">
        <v>16000</v>
      </c>
      <c r="BD331" s="88">
        <v>16000</v>
      </c>
      <c r="BE331" s="88">
        <v>16000</v>
      </c>
      <c r="BF331" s="88">
        <v>16000</v>
      </c>
      <c r="BG331" s="88">
        <v>16000</v>
      </c>
      <c r="BH331" s="88">
        <v>16000</v>
      </c>
      <c r="BI331" s="88">
        <v>16000</v>
      </c>
      <c r="BJ331" s="88">
        <v>16000</v>
      </c>
      <c r="BK331" s="88">
        <v>-139.56433939944191</v>
      </c>
      <c r="BL331" s="88">
        <v>-139.66280043046629</v>
      </c>
      <c r="BM331" s="88">
        <v>-139.7614004858134</v>
      </c>
      <c r="BN331" s="88">
        <v>-139.86348940246711</v>
      </c>
      <c r="BO331" s="88">
        <v>-139.96572757013229</v>
      </c>
      <c r="BP331" s="88">
        <v>-140.06811531635151</v>
      </c>
      <c r="BQ331" s="88">
        <v>-140.17065296962451</v>
      </c>
      <c r="BR331" s="88">
        <v>-140.27502552092841</v>
      </c>
      <c r="BS331" s="88">
        <v>-140.37786644872881</v>
      </c>
      <c r="BT331" s="88">
        <v>-140.48085828031279</v>
      </c>
      <c r="BU331" s="88">
        <v>-140.5840013480653</v>
      </c>
      <c r="BV331" s="88">
        <v>-140.68729598535509</v>
      </c>
      <c r="BW331" s="88">
        <v>0</v>
      </c>
      <c r="BX331" s="88">
        <v>0</v>
      </c>
      <c r="BY331" s="88">
        <v>0</v>
      </c>
      <c r="BZ331" s="88">
        <v>0</v>
      </c>
      <c r="CA331" s="88">
        <v>0</v>
      </c>
      <c r="CB331" s="88">
        <v>0</v>
      </c>
      <c r="CC331" s="88">
        <v>0</v>
      </c>
      <c r="CD331" s="88">
        <v>0</v>
      </c>
      <c r="CE331" s="88">
        <v>0</v>
      </c>
      <c r="CF331" s="88">
        <v>0</v>
      </c>
      <c r="CG331" s="88">
        <v>0</v>
      </c>
      <c r="CH331" s="88">
        <v>0</v>
      </c>
      <c r="CI331" s="88">
        <v>16000</v>
      </c>
      <c r="CJ331" s="88">
        <v>16000</v>
      </c>
      <c r="CK331" s="88">
        <v>16000</v>
      </c>
      <c r="CL331" s="88">
        <v>16000</v>
      </c>
      <c r="CM331" s="88">
        <v>16000</v>
      </c>
      <c r="CN331" s="88">
        <v>16000</v>
      </c>
      <c r="CO331" s="88">
        <v>16000</v>
      </c>
      <c r="CP331" s="88">
        <v>16000</v>
      </c>
      <c r="CQ331" s="88">
        <v>16000</v>
      </c>
      <c r="CR331" s="88">
        <v>16000</v>
      </c>
      <c r="CS331" s="88">
        <v>16000</v>
      </c>
      <c r="CT331" s="88">
        <v>16000</v>
      </c>
      <c r="CU331" s="88">
        <v>-139.56433939944191</v>
      </c>
      <c r="CV331" s="88">
        <v>-139.66280043046629</v>
      </c>
      <c r="CW331" s="88">
        <v>-139.7614004858134</v>
      </c>
      <c r="CX331" s="88">
        <v>-139.86348940246711</v>
      </c>
      <c r="CY331" s="88">
        <v>-139.96572757013229</v>
      </c>
      <c r="CZ331" s="88">
        <v>-140.06811531635151</v>
      </c>
      <c r="DA331" s="88">
        <v>-140.17065296962451</v>
      </c>
      <c r="DB331" s="88">
        <v>-140.27502552092841</v>
      </c>
      <c r="DC331" s="88">
        <v>-140.37786644872881</v>
      </c>
      <c r="DD331" s="88">
        <v>-140.48085828031279</v>
      </c>
      <c r="DE331" s="88">
        <v>-140.5840013480653</v>
      </c>
      <c r="DF331" s="88">
        <v>-140.68729598535509</v>
      </c>
      <c r="DG331" s="93"/>
      <c r="DH331" s="91"/>
      <c r="DJ331" s="93"/>
      <c r="DK331" s="91"/>
      <c r="DM331" s="93"/>
      <c r="DN331" s="91"/>
      <c r="DP331" s="93"/>
      <c r="DQ331" s="91"/>
    </row>
    <row r="332" spans="1:121" x14ac:dyDescent="0.3">
      <c r="A332" t="s">
        <v>32</v>
      </c>
      <c r="B332" t="s">
        <v>42</v>
      </c>
      <c r="C332" t="s">
        <v>89</v>
      </c>
      <c r="D332" t="s">
        <v>331</v>
      </c>
      <c r="E332" t="s">
        <v>695</v>
      </c>
      <c r="F332" s="86">
        <v>12800</v>
      </c>
      <c r="G332" s="87">
        <v>6</v>
      </c>
      <c r="H332" s="88">
        <v>1.02</v>
      </c>
      <c r="I332" s="88">
        <v>1.02</v>
      </c>
      <c r="J332" s="89">
        <v>0.91199626185266247</v>
      </c>
      <c r="K332" s="88">
        <v>0.99999999999999978</v>
      </c>
      <c r="L332" s="88">
        <v>1.008776064642062</v>
      </c>
      <c r="M332" s="88">
        <v>1</v>
      </c>
      <c r="N332" s="90">
        <v>0.58399999999999996</v>
      </c>
      <c r="O332" s="90">
        <v>0.58912522175096382</v>
      </c>
      <c r="P332" s="90">
        <v>0.58730030094775787</v>
      </c>
      <c r="Q332" s="91">
        <v>0</v>
      </c>
      <c r="R332" s="88">
        <v>0.99999999999999978</v>
      </c>
      <c r="S332" s="88">
        <v>1.00565120025301</v>
      </c>
      <c r="T332" s="91">
        <v>0</v>
      </c>
      <c r="U332" s="91">
        <v>0</v>
      </c>
      <c r="V332" s="87">
        <v>0</v>
      </c>
      <c r="W332" s="91">
        <v>0</v>
      </c>
      <c r="X332" s="87">
        <v>1</v>
      </c>
      <c r="Y332" s="90">
        <v>0.58912522175096382</v>
      </c>
      <c r="Z332" s="90">
        <v>0.58730030094775787</v>
      </c>
      <c r="AA332" s="92">
        <v>0</v>
      </c>
      <c r="AB332" s="88">
        <v>0</v>
      </c>
      <c r="AC332" s="87">
        <v>1</v>
      </c>
      <c r="AD332" s="87">
        <v>0</v>
      </c>
      <c r="AE332" s="88">
        <v>1.0049999999999999</v>
      </c>
      <c r="AF332" s="88">
        <v>1.0043932196204439</v>
      </c>
      <c r="AG332" s="88">
        <v>1.0094152218888339</v>
      </c>
      <c r="AH332" s="88">
        <v>13056</v>
      </c>
      <c r="AI332" s="88">
        <v>13056</v>
      </c>
      <c r="AJ332" s="88">
        <v>11673.552151714081</v>
      </c>
      <c r="AK332" s="88">
        <v>12800</v>
      </c>
      <c r="AL332" s="88">
        <v>12912.333627418389</v>
      </c>
      <c r="AM332" s="88">
        <v>12800</v>
      </c>
      <c r="AN332" s="88">
        <v>7475.2</v>
      </c>
      <c r="AO332" s="88">
        <v>7540.8028384123372</v>
      </c>
      <c r="AP332" s="88">
        <v>7517.4438521313004</v>
      </c>
      <c r="AQ332" s="88">
        <v>0</v>
      </c>
      <c r="AR332" s="88">
        <v>12800</v>
      </c>
      <c r="AS332" s="88">
        <v>12872.33536323853</v>
      </c>
      <c r="AT332" s="88">
        <v>7540.8028384123372</v>
      </c>
      <c r="AU332" s="88">
        <v>7517.4438521313004</v>
      </c>
      <c r="AV332" s="88">
        <v>11776</v>
      </c>
      <c r="AW332" s="88">
        <v>11648</v>
      </c>
      <c r="AX332" s="88">
        <v>11712</v>
      </c>
      <c r="AY332" s="88">
        <v>12800</v>
      </c>
      <c r="AZ332" s="88">
        <v>12800</v>
      </c>
      <c r="BA332" s="88">
        <v>12800</v>
      </c>
      <c r="BB332" s="88">
        <v>12800</v>
      </c>
      <c r="BC332" s="88">
        <v>12800</v>
      </c>
      <c r="BD332" s="88">
        <v>12800</v>
      </c>
      <c r="BE332" s="88">
        <v>12800</v>
      </c>
      <c r="BF332" s="88">
        <v>12800</v>
      </c>
      <c r="BG332" s="88">
        <v>12800</v>
      </c>
      <c r="BH332" s="88">
        <v>12800</v>
      </c>
      <c r="BI332" s="88">
        <v>12800</v>
      </c>
      <c r="BJ332" s="88">
        <v>12800</v>
      </c>
      <c r="BK332" s="88">
        <v>313.4727587392149</v>
      </c>
      <c r="BL332" s="88">
        <v>313.45231837581201</v>
      </c>
      <c r="BM332" s="88">
        <v>313.43189254659478</v>
      </c>
      <c r="BN332" s="88">
        <v>56.285087824977609</v>
      </c>
      <c r="BO332" s="88">
        <v>56.264413842106357</v>
      </c>
      <c r="BP332" s="88">
        <v>56.243755041111847</v>
      </c>
      <c r="BQ332" s="88">
        <v>56.223111405276427</v>
      </c>
      <c r="BR332" s="88">
        <v>56.202144872094102</v>
      </c>
      <c r="BS332" s="88">
        <v>56.18153176445162</v>
      </c>
      <c r="BT332" s="88">
        <v>56.160933771690217</v>
      </c>
      <c r="BU332" s="88">
        <v>56.140350877191743</v>
      </c>
      <c r="BV332" s="88">
        <v>56.119783064366402</v>
      </c>
      <c r="BW332" s="88">
        <v>256.00000000000023</v>
      </c>
      <c r="BX332" s="88">
        <v>256.00000000000023</v>
      </c>
      <c r="BY332" s="88">
        <v>256.00000000000023</v>
      </c>
      <c r="BZ332" s="88">
        <v>0</v>
      </c>
      <c r="CA332" s="88">
        <v>0</v>
      </c>
      <c r="CB332" s="88">
        <v>0</v>
      </c>
      <c r="CC332" s="88">
        <v>0</v>
      </c>
      <c r="CD332" s="88">
        <v>0</v>
      </c>
      <c r="CE332" s="88">
        <v>0</v>
      </c>
      <c r="CF332" s="88">
        <v>0</v>
      </c>
      <c r="CG332" s="88">
        <v>0</v>
      </c>
      <c r="CH332" s="88">
        <v>0</v>
      </c>
      <c r="CI332" s="88">
        <v>12800</v>
      </c>
      <c r="CJ332" s="88">
        <v>12800</v>
      </c>
      <c r="CK332" s="88">
        <v>12800</v>
      </c>
      <c r="CL332" s="88">
        <v>12800</v>
      </c>
      <c r="CM332" s="88">
        <v>12800</v>
      </c>
      <c r="CN332" s="88">
        <v>12800</v>
      </c>
      <c r="CO332" s="88">
        <v>12800</v>
      </c>
      <c r="CP332" s="88">
        <v>12800</v>
      </c>
      <c r="CQ332" s="88">
        <v>12800</v>
      </c>
      <c r="CR332" s="88">
        <v>12800</v>
      </c>
      <c r="CS332" s="88">
        <v>12800</v>
      </c>
      <c r="CT332" s="88">
        <v>12800</v>
      </c>
      <c r="CU332" s="88">
        <v>56.345841901190852</v>
      </c>
      <c r="CV332" s="88">
        <v>56.325802329226349</v>
      </c>
      <c r="CW332" s="88">
        <v>56.305777006465973</v>
      </c>
      <c r="CX332" s="88">
        <v>56.285087824977609</v>
      </c>
      <c r="CY332" s="88">
        <v>56.264413842106357</v>
      </c>
      <c r="CZ332" s="88">
        <v>56.243755041111847</v>
      </c>
      <c r="DA332" s="88">
        <v>56.223111405276427</v>
      </c>
      <c r="DB332" s="88">
        <v>56.202144872094102</v>
      </c>
      <c r="DC332" s="88">
        <v>56.18153176445162</v>
      </c>
      <c r="DD332" s="88">
        <v>56.160933771690217</v>
      </c>
      <c r="DE332" s="88">
        <v>56.140350877191743</v>
      </c>
      <c r="DF332" s="88">
        <v>56.119783064366402</v>
      </c>
      <c r="DG332" s="93">
        <v>46113</v>
      </c>
      <c r="DH332" s="91">
        <v>0.02</v>
      </c>
      <c r="DI332" t="s">
        <v>301</v>
      </c>
      <c r="DJ332" s="93"/>
      <c r="DK332" s="91"/>
      <c r="DM332" s="93"/>
      <c r="DN332" s="91"/>
      <c r="DP332" s="93"/>
      <c r="DQ332" s="91"/>
    </row>
    <row r="333" spans="1:121" x14ac:dyDescent="0.3">
      <c r="A333" t="s">
        <v>32</v>
      </c>
      <c r="B333" t="s">
        <v>42</v>
      </c>
      <c r="C333" t="s">
        <v>91</v>
      </c>
      <c r="D333" t="s">
        <v>333</v>
      </c>
      <c r="E333" t="s">
        <v>696</v>
      </c>
      <c r="F333" s="86">
        <v>9600</v>
      </c>
      <c r="G333" s="87">
        <v>6</v>
      </c>
      <c r="H333" s="88">
        <v>1.03</v>
      </c>
      <c r="I333" s="88">
        <v>1.03</v>
      </c>
      <c r="J333" s="89">
        <v>0.91798504741064912</v>
      </c>
      <c r="K333" s="88">
        <v>1</v>
      </c>
      <c r="L333" s="88">
        <v>1.002194973213381</v>
      </c>
      <c r="M333" s="88">
        <v>1</v>
      </c>
      <c r="N333" s="90">
        <v>0.56799999999999995</v>
      </c>
      <c r="O333" s="90">
        <v>0.56924674478520054</v>
      </c>
      <c r="P333" s="90">
        <v>0.56230334916588076</v>
      </c>
      <c r="Q333" s="91">
        <v>0</v>
      </c>
      <c r="R333" s="88">
        <v>1</v>
      </c>
      <c r="S333" s="88">
        <v>0.98997068515119868</v>
      </c>
      <c r="T333" s="91">
        <v>0</v>
      </c>
      <c r="U333" s="91">
        <v>0</v>
      </c>
      <c r="V333" s="87">
        <v>0</v>
      </c>
      <c r="W333" s="91">
        <v>0</v>
      </c>
      <c r="X333" s="87">
        <v>1</v>
      </c>
      <c r="Y333" s="90">
        <v>0.56924674478520054</v>
      </c>
      <c r="Z333" s="90">
        <v>0.56230334916588076</v>
      </c>
      <c r="AA333" s="92">
        <v>0</v>
      </c>
      <c r="AB333" s="88">
        <v>0</v>
      </c>
      <c r="AC333" s="87">
        <v>1</v>
      </c>
      <c r="AD333" s="87">
        <v>0</v>
      </c>
      <c r="AE333" s="88">
        <v>1.01</v>
      </c>
      <c r="AF333" s="88">
        <v>1.0176314239537809</v>
      </c>
      <c r="AG333" s="88">
        <v>1.027808776766699</v>
      </c>
      <c r="AH333" s="88">
        <v>9888</v>
      </c>
      <c r="AI333" s="88">
        <v>9888</v>
      </c>
      <c r="AJ333" s="88">
        <v>8812.6564551422307</v>
      </c>
      <c r="AK333" s="88">
        <v>9600</v>
      </c>
      <c r="AL333" s="88">
        <v>9621.0717428484604</v>
      </c>
      <c r="AM333" s="88">
        <v>9600</v>
      </c>
      <c r="AN333" s="88">
        <v>5452.7999999999993</v>
      </c>
      <c r="AO333" s="88">
        <v>5464.7687499379253</v>
      </c>
      <c r="AP333" s="88">
        <v>5398.1121519924554</v>
      </c>
      <c r="AQ333" s="88">
        <v>0</v>
      </c>
      <c r="AR333" s="88">
        <v>9600</v>
      </c>
      <c r="AS333" s="88">
        <v>9503.7185774515074</v>
      </c>
      <c r="AT333" s="88">
        <v>5464.7687499379253</v>
      </c>
      <c r="AU333" s="88">
        <v>5398.1121519924554</v>
      </c>
      <c r="AV333" s="88">
        <v>8832</v>
      </c>
      <c r="AW333" s="88">
        <v>8736</v>
      </c>
      <c r="AX333" s="88">
        <v>8928</v>
      </c>
      <c r="AY333" s="88">
        <v>9600</v>
      </c>
      <c r="AZ333" s="88">
        <v>9600</v>
      </c>
      <c r="BA333" s="88">
        <v>9600</v>
      </c>
      <c r="BB333" s="88">
        <v>9600</v>
      </c>
      <c r="BC333" s="88">
        <v>9600</v>
      </c>
      <c r="BD333" s="88">
        <v>9600</v>
      </c>
      <c r="BE333" s="88">
        <v>9600</v>
      </c>
      <c r="BF333" s="88">
        <v>9600</v>
      </c>
      <c r="BG333" s="88">
        <v>9600</v>
      </c>
      <c r="BH333" s="88">
        <v>9600</v>
      </c>
      <c r="BI333" s="88">
        <v>9600</v>
      </c>
      <c r="BJ333" s="88">
        <v>9600</v>
      </c>
      <c r="BK333" s="88">
        <v>463.74600701207811</v>
      </c>
      <c r="BL333" s="88">
        <v>463.49390970314488</v>
      </c>
      <c r="BM333" s="88">
        <v>463.24253459577631</v>
      </c>
      <c r="BN333" s="88">
        <v>462.98339434195549</v>
      </c>
      <c r="BO333" s="88">
        <v>169.6359411309061</v>
      </c>
      <c r="BP333" s="88">
        <v>169.38583133927881</v>
      </c>
      <c r="BQ333" s="88">
        <v>169.13645798136869</v>
      </c>
      <c r="BR333" s="88">
        <v>168.88374783111641</v>
      </c>
      <c r="BS333" s="88">
        <v>168.6358495560313</v>
      </c>
      <c r="BT333" s="88">
        <v>168.3886779758744</v>
      </c>
      <c r="BU333" s="88">
        <v>168.14222989994789</v>
      </c>
      <c r="BV333" s="88">
        <v>167.89650215620361</v>
      </c>
      <c r="BW333" s="88">
        <v>288.00000000000023</v>
      </c>
      <c r="BX333" s="88">
        <v>288.00000000000023</v>
      </c>
      <c r="BY333" s="88">
        <v>288.00000000000023</v>
      </c>
      <c r="BZ333" s="88">
        <v>288.00000000000023</v>
      </c>
      <c r="CA333" s="88">
        <v>0</v>
      </c>
      <c r="CB333" s="88">
        <v>0</v>
      </c>
      <c r="CC333" s="88">
        <v>0</v>
      </c>
      <c r="CD333" s="88">
        <v>0</v>
      </c>
      <c r="CE333" s="88">
        <v>0</v>
      </c>
      <c r="CF333" s="88">
        <v>0</v>
      </c>
      <c r="CG333" s="88">
        <v>0</v>
      </c>
      <c r="CH333" s="88">
        <v>0</v>
      </c>
      <c r="CI333" s="88">
        <v>9600</v>
      </c>
      <c r="CJ333" s="88">
        <v>9600</v>
      </c>
      <c r="CK333" s="88">
        <v>9600</v>
      </c>
      <c r="CL333" s="88">
        <v>9600</v>
      </c>
      <c r="CM333" s="88">
        <v>9600</v>
      </c>
      <c r="CN333" s="88">
        <v>9600</v>
      </c>
      <c r="CO333" s="88">
        <v>9600</v>
      </c>
      <c r="CP333" s="88">
        <v>9600</v>
      </c>
      <c r="CQ333" s="88">
        <v>9600</v>
      </c>
      <c r="CR333" s="88">
        <v>9600</v>
      </c>
      <c r="CS333" s="88">
        <v>9600</v>
      </c>
      <c r="CT333" s="88">
        <v>9600</v>
      </c>
      <c r="CU333" s="88">
        <v>170.62719127386151</v>
      </c>
      <c r="CV333" s="88">
        <v>170.3824366049943</v>
      </c>
      <c r="CW333" s="88">
        <v>170.1383831026952</v>
      </c>
      <c r="CX333" s="88">
        <v>169.88679062325861</v>
      </c>
      <c r="CY333" s="88">
        <v>169.6359411309061</v>
      </c>
      <c r="CZ333" s="88">
        <v>169.38583133927881</v>
      </c>
      <c r="DA333" s="88">
        <v>169.13645798136869</v>
      </c>
      <c r="DB333" s="88">
        <v>168.88374783111641</v>
      </c>
      <c r="DC333" s="88">
        <v>168.6358495560313</v>
      </c>
      <c r="DD333" s="88">
        <v>168.3886779758744</v>
      </c>
      <c r="DE333" s="88">
        <v>168.14222989994789</v>
      </c>
      <c r="DF333" s="88">
        <v>167.89650215620361</v>
      </c>
      <c r="DG333" s="93">
        <v>46143</v>
      </c>
      <c r="DH333" s="91">
        <v>0.03</v>
      </c>
      <c r="DI333" t="s">
        <v>301</v>
      </c>
      <c r="DJ333" s="93"/>
      <c r="DK333" s="91"/>
      <c r="DM333" s="93"/>
      <c r="DN333" s="91"/>
      <c r="DP333" s="93"/>
      <c r="DQ333" s="91"/>
    </row>
    <row r="334" spans="1:121" x14ac:dyDescent="0.3">
      <c r="A334" t="s">
        <v>32</v>
      </c>
      <c r="B334" t="s">
        <v>42</v>
      </c>
      <c r="C334" t="s">
        <v>92</v>
      </c>
      <c r="D334" t="s">
        <v>335</v>
      </c>
      <c r="E334" t="s">
        <v>697</v>
      </c>
      <c r="F334" s="86">
        <v>6400</v>
      </c>
      <c r="G334" s="87">
        <v>6</v>
      </c>
      <c r="H334" s="88">
        <v>1</v>
      </c>
      <c r="I334" s="88">
        <v>1.006944444444444</v>
      </c>
      <c r="J334" s="89">
        <v>0.90999999999999981</v>
      </c>
      <c r="K334" s="88">
        <v>0.99310344827586206</v>
      </c>
      <c r="L334" s="88">
        <v>1.0109890109890109</v>
      </c>
      <c r="M334" s="88">
        <v>1</v>
      </c>
      <c r="N334" s="90">
        <v>0.59599999999999997</v>
      </c>
      <c r="O334" s="90">
        <v>0.59839393709738542</v>
      </c>
      <c r="P334" s="90">
        <v>0.57952926048036946</v>
      </c>
      <c r="Q334" s="91">
        <v>0</v>
      </c>
      <c r="R334" s="88">
        <v>0.96179535132246885</v>
      </c>
      <c r="S334" s="88">
        <v>1.0109890109890109</v>
      </c>
      <c r="T334" s="91">
        <v>6.9444444444444198E-3</v>
      </c>
      <c r="U334" s="91">
        <v>3.2551724137930733E-2</v>
      </c>
      <c r="V334" s="87">
        <v>0</v>
      </c>
      <c r="W334" s="91">
        <v>0</v>
      </c>
      <c r="X334" s="87">
        <v>1</v>
      </c>
      <c r="Y334" s="90">
        <v>0.59839393709738542</v>
      </c>
      <c r="Z334" s="90">
        <v>0.57952926048036946</v>
      </c>
      <c r="AA334" s="92">
        <v>0</v>
      </c>
      <c r="AB334" s="88">
        <v>0</v>
      </c>
      <c r="AC334" s="87">
        <v>0</v>
      </c>
      <c r="AD334" s="87">
        <v>1</v>
      </c>
      <c r="AE334" s="88">
        <v>1.0166666666666659</v>
      </c>
      <c r="AF334" s="88">
        <v>1</v>
      </c>
      <c r="AG334" s="88">
        <v>1.0166666666666659</v>
      </c>
      <c r="AH334" s="88">
        <v>6400</v>
      </c>
      <c r="AI334" s="88">
        <v>6444.4444444444443</v>
      </c>
      <c r="AJ334" s="88">
        <v>5823.9999999999991</v>
      </c>
      <c r="AK334" s="88">
        <v>6355.8620689655172</v>
      </c>
      <c r="AL334" s="88">
        <v>6470.3296703296719</v>
      </c>
      <c r="AM334" s="88">
        <v>6400</v>
      </c>
      <c r="AN334" s="88">
        <v>3814.4</v>
      </c>
      <c r="AO334" s="88">
        <v>3829.7211974232669</v>
      </c>
      <c r="AP334" s="88">
        <v>3708.9872670743639</v>
      </c>
      <c r="AQ334" s="88">
        <v>0</v>
      </c>
      <c r="AR334" s="88">
        <v>6155.4902484638014</v>
      </c>
      <c r="AS334" s="88">
        <v>6470.3296703296719</v>
      </c>
      <c r="AT334" s="88">
        <v>3829.7211974232669</v>
      </c>
      <c r="AU334" s="88">
        <v>3708.9872670743639</v>
      </c>
      <c r="AV334" s="88">
        <v>5888</v>
      </c>
      <c r="AW334" s="88">
        <v>5824</v>
      </c>
      <c r="AX334" s="88">
        <v>5824</v>
      </c>
      <c r="AY334" s="88">
        <v>6400</v>
      </c>
      <c r="AZ334" s="88">
        <v>6400</v>
      </c>
      <c r="BA334" s="88">
        <v>6400</v>
      </c>
      <c r="BB334" s="88">
        <v>6400</v>
      </c>
      <c r="BC334" s="88">
        <v>6400</v>
      </c>
      <c r="BD334" s="88">
        <v>6400</v>
      </c>
      <c r="BE334" s="88">
        <v>6400</v>
      </c>
      <c r="BF334" s="88">
        <v>6400</v>
      </c>
      <c r="BG334" s="88">
        <v>6400</v>
      </c>
      <c r="BH334" s="88">
        <v>6400</v>
      </c>
      <c r="BI334" s="88">
        <v>6400</v>
      </c>
      <c r="BJ334" s="88">
        <v>6400</v>
      </c>
      <c r="BK334" s="88">
        <v>0</v>
      </c>
      <c r="BL334" s="88">
        <v>0</v>
      </c>
      <c r="BM334" s="88">
        <v>0</v>
      </c>
      <c r="BN334" s="88">
        <v>0</v>
      </c>
      <c r="BO334" s="88">
        <v>0</v>
      </c>
      <c r="BP334" s="88">
        <v>0</v>
      </c>
      <c r="BQ334" s="88">
        <v>0</v>
      </c>
      <c r="BR334" s="88">
        <v>256.00000000000023</v>
      </c>
      <c r="BS334" s="88">
        <v>256.00000000000023</v>
      </c>
      <c r="BT334" s="88">
        <v>256.00000000000023</v>
      </c>
      <c r="BU334" s="88">
        <v>256.00000000000023</v>
      </c>
      <c r="BV334" s="88">
        <v>256.00000000000023</v>
      </c>
      <c r="BW334" s="88">
        <v>0</v>
      </c>
      <c r="BX334" s="88">
        <v>0</v>
      </c>
      <c r="BY334" s="88">
        <v>0</v>
      </c>
      <c r="BZ334" s="88">
        <v>0</v>
      </c>
      <c r="CA334" s="88">
        <v>0</v>
      </c>
      <c r="CB334" s="88">
        <v>0</v>
      </c>
      <c r="CC334" s="88">
        <v>0</v>
      </c>
      <c r="CD334" s="88">
        <v>256.00000000000023</v>
      </c>
      <c r="CE334" s="88">
        <v>256.00000000000023</v>
      </c>
      <c r="CF334" s="88">
        <v>256.00000000000023</v>
      </c>
      <c r="CG334" s="88">
        <v>256.00000000000023</v>
      </c>
      <c r="CH334" s="88">
        <v>256.00000000000023</v>
      </c>
      <c r="CI334" s="88">
        <v>6400</v>
      </c>
      <c r="CJ334" s="88">
        <v>6400</v>
      </c>
      <c r="CK334" s="88">
        <v>6400</v>
      </c>
      <c r="CL334" s="88">
        <v>6400</v>
      </c>
      <c r="CM334" s="88">
        <v>6400</v>
      </c>
      <c r="CN334" s="88">
        <v>6400</v>
      </c>
      <c r="CO334" s="88">
        <v>6400</v>
      </c>
      <c r="CP334" s="88">
        <v>6400</v>
      </c>
      <c r="CQ334" s="88">
        <v>6400</v>
      </c>
      <c r="CR334" s="88">
        <v>6400</v>
      </c>
      <c r="CS334" s="88">
        <v>6400</v>
      </c>
      <c r="CT334" s="88">
        <v>6400</v>
      </c>
      <c r="CU334" s="88">
        <v>0</v>
      </c>
      <c r="CV334" s="88">
        <v>0</v>
      </c>
      <c r="CW334" s="88">
        <v>0</v>
      </c>
      <c r="CX334" s="88">
        <v>0</v>
      </c>
      <c r="CY334" s="88">
        <v>0</v>
      </c>
      <c r="CZ334" s="88">
        <v>0</v>
      </c>
      <c r="DA334" s="88">
        <v>0</v>
      </c>
      <c r="DB334" s="88">
        <v>0</v>
      </c>
      <c r="DC334" s="88">
        <v>0</v>
      </c>
      <c r="DD334" s="88">
        <v>0</v>
      </c>
      <c r="DE334" s="88">
        <v>0</v>
      </c>
      <c r="DF334" s="88">
        <v>0</v>
      </c>
      <c r="DG334" s="93">
        <v>46600</v>
      </c>
      <c r="DH334" s="91">
        <v>0.04</v>
      </c>
      <c r="DI334" t="s">
        <v>302</v>
      </c>
      <c r="DJ334" s="93"/>
      <c r="DK334" s="91"/>
      <c r="DM334" s="93"/>
      <c r="DN334" s="91"/>
      <c r="DP334" s="93"/>
      <c r="DQ334" s="91"/>
    </row>
    <row r="335" spans="1:121" x14ac:dyDescent="0.3">
      <c r="A335" t="s">
        <v>32</v>
      </c>
      <c r="B335" t="s">
        <v>42</v>
      </c>
      <c r="C335" t="s">
        <v>94</v>
      </c>
      <c r="D335" t="s">
        <v>337</v>
      </c>
      <c r="E335" t="s">
        <v>698</v>
      </c>
      <c r="F335" s="86">
        <v>16800</v>
      </c>
      <c r="G335" s="87">
        <v>6</v>
      </c>
      <c r="H335" s="88">
        <v>1.05</v>
      </c>
      <c r="I335" s="88">
        <v>1.05</v>
      </c>
      <c r="J335" s="89">
        <v>0.91598878555798668</v>
      </c>
      <c r="K335" s="88">
        <v>1</v>
      </c>
      <c r="L335" s="88">
        <v>1.0043791086804299</v>
      </c>
      <c r="M335" s="88">
        <v>1</v>
      </c>
      <c r="N335" s="90">
        <v>0.57999999999999996</v>
      </c>
      <c r="O335" s="90">
        <v>0.58253988303464932</v>
      </c>
      <c r="P335" s="90">
        <v>0.57718288606985757</v>
      </c>
      <c r="Q335" s="91">
        <v>0</v>
      </c>
      <c r="R335" s="88">
        <v>1</v>
      </c>
      <c r="S335" s="88">
        <v>0.99514290701699581</v>
      </c>
      <c r="T335" s="91">
        <v>0</v>
      </c>
      <c r="U335" s="91">
        <v>0</v>
      </c>
      <c r="V335" s="87">
        <v>0</v>
      </c>
      <c r="W335" s="91">
        <v>0</v>
      </c>
      <c r="X335" s="87">
        <v>1</v>
      </c>
      <c r="Y335" s="90">
        <v>0.58253988303464932</v>
      </c>
      <c r="Z335" s="90">
        <v>0.57718288606985757</v>
      </c>
      <c r="AA335" s="92">
        <v>0</v>
      </c>
      <c r="AB335" s="88">
        <v>0</v>
      </c>
      <c r="AC335" s="87">
        <v>1</v>
      </c>
      <c r="AD335" s="87">
        <v>0</v>
      </c>
      <c r="AE335" s="88">
        <v>1.0249999999999999</v>
      </c>
      <c r="AF335" s="88">
        <v>1.0132088564102011</v>
      </c>
      <c r="AG335" s="88">
        <v>1.0385401707468209</v>
      </c>
      <c r="AH335" s="88">
        <v>17640</v>
      </c>
      <c r="AI335" s="88">
        <v>17640</v>
      </c>
      <c r="AJ335" s="88">
        <v>15388.61159737418</v>
      </c>
      <c r="AK335" s="88">
        <v>16800</v>
      </c>
      <c r="AL335" s="88">
        <v>16873.569025831221</v>
      </c>
      <c r="AM335" s="88">
        <v>16800</v>
      </c>
      <c r="AN335" s="88">
        <v>9744</v>
      </c>
      <c r="AO335" s="88">
        <v>9786.6700349821094</v>
      </c>
      <c r="AP335" s="88">
        <v>9696.6724859736078</v>
      </c>
      <c r="AQ335" s="88">
        <v>0</v>
      </c>
      <c r="AR335" s="88">
        <v>16800</v>
      </c>
      <c r="AS335" s="88">
        <v>16718.400837885529</v>
      </c>
      <c r="AT335" s="88">
        <v>9786.6700349821094</v>
      </c>
      <c r="AU335" s="88">
        <v>9696.6724859736078</v>
      </c>
      <c r="AV335" s="88">
        <v>15456</v>
      </c>
      <c r="AW335" s="88">
        <v>15288</v>
      </c>
      <c r="AX335" s="88">
        <v>15540</v>
      </c>
      <c r="AY335" s="88">
        <v>16800</v>
      </c>
      <c r="AZ335" s="88">
        <v>16800</v>
      </c>
      <c r="BA335" s="88">
        <v>16800</v>
      </c>
      <c r="BB335" s="88">
        <v>16800</v>
      </c>
      <c r="BC335" s="88">
        <v>16800</v>
      </c>
      <c r="BD335" s="88">
        <v>16800</v>
      </c>
      <c r="BE335" s="88">
        <v>16800</v>
      </c>
      <c r="BF335" s="88">
        <v>16800</v>
      </c>
      <c r="BG335" s="88">
        <v>16800</v>
      </c>
      <c r="BH335" s="88">
        <v>16800</v>
      </c>
      <c r="BI335" s="88">
        <v>16800</v>
      </c>
      <c r="BJ335" s="88">
        <v>16800</v>
      </c>
      <c r="BK335" s="88">
        <v>1074.4107813571361</v>
      </c>
      <c r="BL335" s="88">
        <v>1074.1592920354001</v>
      </c>
      <c r="BM335" s="88">
        <v>1073.9083417596589</v>
      </c>
      <c r="BN335" s="88">
        <v>1073.6494496189709</v>
      </c>
      <c r="BO335" s="88">
        <v>1073.3911299336071</v>
      </c>
      <c r="BP335" s="88">
        <v>1073.1333808069719</v>
      </c>
      <c r="BQ335" s="88">
        <v>221.78685747698859</v>
      </c>
      <c r="BR335" s="88">
        <v>221.5384615384645</v>
      </c>
      <c r="BS335" s="88">
        <v>221.29461439449631</v>
      </c>
      <c r="BT335" s="88">
        <v>221.0513034648896</v>
      </c>
      <c r="BU335" s="88">
        <v>220.8085269829061</v>
      </c>
      <c r="BV335" s="88">
        <v>220.5662831895518</v>
      </c>
      <c r="BW335" s="88">
        <v>840.0000000000008</v>
      </c>
      <c r="BX335" s="88">
        <v>840.0000000000008</v>
      </c>
      <c r="BY335" s="88">
        <v>840.0000000000008</v>
      </c>
      <c r="BZ335" s="88">
        <v>840.0000000000008</v>
      </c>
      <c r="CA335" s="88">
        <v>840.0000000000008</v>
      </c>
      <c r="CB335" s="88">
        <v>840.0000000000008</v>
      </c>
      <c r="CC335" s="88">
        <v>0</v>
      </c>
      <c r="CD335" s="88">
        <v>0</v>
      </c>
      <c r="CE335" s="88">
        <v>0</v>
      </c>
      <c r="CF335" s="88">
        <v>0</v>
      </c>
      <c r="CG335" s="88">
        <v>0</v>
      </c>
      <c r="CH335" s="88">
        <v>0</v>
      </c>
      <c r="CI335" s="88">
        <v>16800</v>
      </c>
      <c r="CJ335" s="88">
        <v>16800</v>
      </c>
      <c r="CK335" s="88">
        <v>16800</v>
      </c>
      <c r="CL335" s="88">
        <v>16800</v>
      </c>
      <c r="CM335" s="88">
        <v>16800</v>
      </c>
      <c r="CN335" s="88">
        <v>16800</v>
      </c>
      <c r="CO335" s="88">
        <v>16800</v>
      </c>
      <c r="CP335" s="88">
        <v>16800</v>
      </c>
      <c r="CQ335" s="88">
        <v>16800</v>
      </c>
      <c r="CR335" s="88">
        <v>16800</v>
      </c>
      <c r="CS335" s="88">
        <v>16800</v>
      </c>
      <c r="CT335" s="88">
        <v>16800</v>
      </c>
      <c r="CU335" s="88">
        <v>223.248363197272</v>
      </c>
      <c r="CV335" s="88">
        <v>223.00884955752429</v>
      </c>
      <c r="CW335" s="88">
        <v>222.7698492949132</v>
      </c>
      <c r="CX335" s="88">
        <v>222.52328535139969</v>
      </c>
      <c r="CY335" s="88">
        <v>222.27726660343311</v>
      </c>
      <c r="CZ335" s="88">
        <v>222.03179124473331</v>
      </c>
      <c r="DA335" s="88">
        <v>221.78685747698859</v>
      </c>
      <c r="DB335" s="88">
        <v>221.5384615384645</v>
      </c>
      <c r="DC335" s="88">
        <v>221.29461439449631</v>
      </c>
      <c r="DD335" s="88">
        <v>221.0513034648896</v>
      </c>
      <c r="DE335" s="88">
        <v>220.8085269829061</v>
      </c>
      <c r="DF335" s="88">
        <v>220.5662831895518</v>
      </c>
      <c r="DG335" s="93">
        <v>46204</v>
      </c>
      <c r="DH335" s="91">
        <v>0.05</v>
      </c>
      <c r="DI335" t="s">
        <v>301</v>
      </c>
      <c r="DJ335" s="93"/>
      <c r="DK335" s="91"/>
      <c r="DM335" s="93"/>
      <c r="DN335" s="91"/>
      <c r="DP335" s="93"/>
      <c r="DQ335" s="91"/>
    </row>
    <row r="336" spans="1:121" x14ac:dyDescent="0.3">
      <c r="A336" t="s">
        <v>32</v>
      </c>
      <c r="B336" t="s">
        <v>42</v>
      </c>
      <c r="C336" t="s">
        <v>95</v>
      </c>
      <c r="D336" t="s">
        <v>339</v>
      </c>
      <c r="E336" t="s">
        <v>699</v>
      </c>
      <c r="F336" s="86">
        <v>13600</v>
      </c>
      <c r="G336" s="87">
        <v>6</v>
      </c>
      <c r="H336" s="88">
        <v>1.06</v>
      </c>
      <c r="I336" s="88">
        <v>1.059583333333334</v>
      </c>
      <c r="J336" s="89">
        <v>0.9080037381473377</v>
      </c>
      <c r="K336" s="88">
        <v>1.000393236335037</v>
      </c>
      <c r="L336" s="88">
        <v>1.0132116877372539</v>
      </c>
      <c r="M336" s="88">
        <v>1</v>
      </c>
      <c r="N336" s="90">
        <v>0.56399999999999995</v>
      </c>
      <c r="O336" s="90">
        <v>0.57167610733480778</v>
      </c>
      <c r="P336" s="90">
        <v>0.57324045661202039</v>
      </c>
      <c r="Q336" s="91">
        <v>0</v>
      </c>
      <c r="R336" s="88">
        <v>0.99999999999999978</v>
      </c>
      <c r="S336" s="88">
        <v>1.0163837883191851</v>
      </c>
      <c r="T336" s="91">
        <v>-3.9308176100616432E-4</v>
      </c>
      <c r="U336" s="91">
        <v>3.9323633503740568E-4</v>
      </c>
      <c r="V336" s="87">
        <v>0</v>
      </c>
      <c r="W336" s="91">
        <v>0</v>
      </c>
      <c r="X336" s="87">
        <v>1</v>
      </c>
      <c r="Y336" s="90">
        <v>0.57167610733480778</v>
      </c>
      <c r="Z336" s="90">
        <v>0.57324045661202039</v>
      </c>
      <c r="AA336" s="92">
        <v>0</v>
      </c>
      <c r="AB336" s="88">
        <v>0</v>
      </c>
      <c r="AC336" s="87">
        <v>1</v>
      </c>
      <c r="AD336" s="87">
        <v>0</v>
      </c>
      <c r="AE336" s="88">
        <v>1.0349999999999999</v>
      </c>
      <c r="AF336" s="88">
        <v>0.99561641381999111</v>
      </c>
      <c r="AG336" s="88">
        <v>1.0304631288927011</v>
      </c>
      <c r="AH336" s="88">
        <v>14416</v>
      </c>
      <c r="AI336" s="88">
        <v>14410.333333333339</v>
      </c>
      <c r="AJ336" s="88">
        <v>12348.85083880379</v>
      </c>
      <c r="AK336" s="88">
        <v>13605.348014156511</v>
      </c>
      <c r="AL336" s="88">
        <v>13779.678953226659</v>
      </c>
      <c r="AM336" s="88">
        <v>13600</v>
      </c>
      <c r="AN336" s="88">
        <v>7670.4</v>
      </c>
      <c r="AO336" s="88">
        <v>7774.7950597533854</v>
      </c>
      <c r="AP336" s="88">
        <v>7796.0702099234777</v>
      </c>
      <c r="AQ336" s="88">
        <v>0</v>
      </c>
      <c r="AR336" s="88">
        <v>13600</v>
      </c>
      <c r="AS336" s="88">
        <v>13822.81952114092</v>
      </c>
      <c r="AT336" s="88">
        <v>7774.7950597533854</v>
      </c>
      <c r="AU336" s="88">
        <v>7796.0702099234777</v>
      </c>
      <c r="AV336" s="88">
        <v>12512</v>
      </c>
      <c r="AW336" s="88">
        <v>12376</v>
      </c>
      <c r="AX336" s="88">
        <v>12308</v>
      </c>
      <c r="AY336" s="88">
        <v>13600</v>
      </c>
      <c r="AZ336" s="88">
        <v>13600</v>
      </c>
      <c r="BA336" s="88">
        <v>13600</v>
      </c>
      <c r="BB336" s="88">
        <v>13600</v>
      </c>
      <c r="BC336" s="88">
        <v>13600</v>
      </c>
      <c r="BD336" s="88">
        <v>13600</v>
      </c>
      <c r="BE336" s="88">
        <v>13600</v>
      </c>
      <c r="BF336" s="88">
        <v>13600</v>
      </c>
      <c r="BG336" s="88">
        <v>13600</v>
      </c>
      <c r="BH336" s="88">
        <v>13600</v>
      </c>
      <c r="BI336" s="88">
        <v>13600</v>
      </c>
      <c r="BJ336" s="88">
        <v>13600</v>
      </c>
      <c r="BK336" s="88">
        <v>752.93221385208483</v>
      </c>
      <c r="BL336" s="88">
        <v>752.90990623726123</v>
      </c>
      <c r="BM336" s="88">
        <v>752.88758283606933</v>
      </c>
      <c r="BN336" s="88">
        <v>752.86448609344689</v>
      </c>
      <c r="BO336" s="88">
        <v>752.84137243958116</v>
      </c>
      <c r="BP336" s="88">
        <v>752.81824185588528</v>
      </c>
      <c r="BQ336" s="88">
        <v>752.79509432375721</v>
      </c>
      <c r="BR336" s="88">
        <v>-59.649481191306997</v>
      </c>
      <c r="BS336" s="88">
        <v>-59.671350779551076</v>
      </c>
      <c r="BT336" s="88">
        <v>-59.69323640998789</v>
      </c>
      <c r="BU336" s="88">
        <v>-59.715138100278779</v>
      </c>
      <c r="BV336" s="88">
        <v>-59.737055868106196</v>
      </c>
      <c r="BW336" s="88">
        <v>816.00000000000068</v>
      </c>
      <c r="BX336" s="88">
        <v>816.00000000000068</v>
      </c>
      <c r="BY336" s="88">
        <v>816.00000000000068</v>
      </c>
      <c r="BZ336" s="88">
        <v>816.00000000000068</v>
      </c>
      <c r="CA336" s="88">
        <v>816.00000000000068</v>
      </c>
      <c r="CB336" s="88">
        <v>816.00000000000068</v>
      </c>
      <c r="CC336" s="88">
        <v>816.00000000000068</v>
      </c>
      <c r="CD336" s="88">
        <v>0</v>
      </c>
      <c r="CE336" s="88">
        <v>0</v>
      </c>
      <c r="CF336" s="88">
        <v>0</v>
      </c>
      <c r="CG336" s="88">
        <v>0</v>
      </c>
      <c r="CH336" s="88">
        <v>0</v>
      </c>
      <c r="CI336" s="88">
        <v>13600</v>
      </c>
      <c r="CJ336" s="88">
        <v>13600</v>
      </c>
      <c r="CK336" s="88">
        <v>13600</v>
      </c>
      <c r="CL336" s="88">
        <v>13600</v>
      </c>
      <c r="CM336" s="88">
        <v>13600</v>
      </c>
      <c r="CN336" s="88">
        <v>13600</v>
      </c>
      <c r="CO336" s="88">
        <v>13600</v>
      </c>
      <c r="CP336" s="88">
        <v>13600</v>
      </c>
      <c r="CQ336" s="88">
        <v>13600</v>
      </c>
      <c r="CR336" s="88">
        <v>13600</v>
      </c>
      <c r="CS336" s="88">
        <v>13600</v>
      </c>
      <c r="CT336" s="88">
        <v>13600</v>
      </c>
      <c r="CU336" s="88">
        <v>-59.497911460299242</v>
      </c>
      <c r="CV336" s="88">
        <v>-59.518956379942708</v>
      </c>
      <c r="CW336" s="88">
        <v>-59.540016192389167</v>
      </c>
      <c r="CX336" s="88">
        <v>-59.561805572219839</v>
      </c>
      <c r="CY336" s="88">
        <v>-59.583610906057331</v>
      </c>
      <c r="CZ336" s="88">
        <v>-59.605432211428599</v>
      </c>
      <c r="DA336" s="88">
        <v>-59.627269505889302</v>
      </c>
      <c r="DB336" s="88">
        <v>-59.649481191306997</v>
      </c>
      <c r="DC336" s="88">
        <v>-59.671350779551076</v>
      </c>
      <c r="DD336" s="88">
        <v>-59.69323640998789</v>
      </c>
      <c r="DE336" s="88">
        <v>-59.715138100278779</v>
      </c>
      <c r="DF336" s="88">
        <v>-59.737055868106196</v>
      </c>
      <c r="DG336" s="93">
        <v>46235</v>
      </c>
      <c r="DH336" s="91">
        <v>0.06</v>
      </c>
      <c r="DI336" t="s">
        <v>301</v>
      </c>
      <c r="DJ336" s="93"/>
      <c r="DK336" s="91"/>
      <c r="DM336" s="93"/>
      <c r="DN336" s="91"/>
      <c r="DP336" s="93"/>
      <c r="DQ336" s="91"/>
    </row>
    <row r="337" spans="1:121" x14ac:dyDescent="0.3">
      <c r="A337" t="s">
        <v>32</v>
      </c>
      <c r="B337" t="s">
        <v>42</v>
      </c>
      <c r="C337" t="s">
        <v>96</v>
      </c>
      <c r="D337" t="s">
        <v>341</v>
      </c>
      <c r="E337" t="s">
        <v>700</v>
      </c>
      <c r="F337" s="86">
        <v>10400</v>
      </c>
      <c r="G337" s="87">
        <v>6</v>
      </c>
      <c r="H337" s="88">
        <v>1</v>
      </c>
      <c r="I337" s="88">
        <v>1</v>
      </c>
      <c r="J337" s="89">
        <v>0.91399252370532447</v>
      </c>
      <c r="K337" s="88">
        <v>1</v>
      </c>
      <c r="L337" s="88">
        <v>1.006572784939554</v>
      </c>
      <c r="M337" s="88">
        <v>1</v>
      </c>
      <c r="N337" s="90">
        <v>0.59199999999999997</v>
      </c>
      <c r="O337" s="90">
        <v>0.59589108868421614</v>
      </c>
      <c r="P337" s="90">
        <v>0.59221871945275195</v>
      </c>
      <c r="Q337" s="91">
        <v>0</v>
      </c>
      <c r="R337" s="88">
        <v>1</v>
      </c>
      <c r="S337" s="88">
        <v>1.000369458535054</v>
      </c>
      <c r="T337" s="91">
        <v>0</v>
      </c>
      <c r="U337" s="91">
        <v>0</v>
      </c>
      <c r="V337" s="87">
        <v>0</v>
      </c>
      <c r="W337" s="91">
        <v>0</v>
      </c>
      <c r="X337" s="87">
        <v>1</v>
      </c>
      <c r="Y337" s="90">
        <v>0.59589108868421614</v>
      </c>
      <c r="Z337" s="90">
        <v>0.59221871945275195</v>
      </c>
      <c r="AA337" s="92">
        <v>0</v>
      </c>
      <c r="AB337" s="88">
        <v>0</v>
      </c>
      <c r="AC337" s="87">
        <v>0</v>
      </c>
      <c r="AD337" s="87">
        <v>0</v>
      </c>
      <c r="AE337" s="88">
        <v>1</v>
      </c>
      <c r="AF337" s="88">
        <v>1.0087961468131059</v>
      </c>
      <c r="AG337" s="88">
        <v>1.0087961468131059</v>
      </c>
      <c r="AH337" s="88">
        <v>10400</v>
      </c>
      <c r="AI337" s="88">
        <v>10400</v>
      </c>
      <c r="AJ337" s="88">
        <v>9505.5222465353745</v>
      </c>
      <c r="AK337" s="88">
        <v>10400</v>
      </c>
      <c r="AL337" s="88">
        <v>10468.356963371371</v>
      </c>
      <c r="AM337" s="88">
        <v>10400</v>
      </c>
      <c r="AN337" s="88">
        <v>6156.7999999999993</v>
      </c>
      <c r="AO337" s="88">
        <v>6197.2673223158481</v>
      </c>
      <c r="AP337" s="88">
        <v>6159.0746823086201</v>
      </c>
      <c r="AQ337" s="88">
        <v>0</v>
      </c>
      <c r="AR337" s="88">
        <v>10400</v>
      </c>
      <c r="AS337" s="88">
        <v>10403.842368764561</v>
      </c>
      <c r="AT337" s="88">
        <v>6197.2673223158481</v>
      </c>
      <c r="AU337" s="88">
        <v>6159.0746823086201</v>
      </c>
      <c r="AV337" s="88">
        <v>9568</v>
      </c>
      <c r="AW337" s="88">
        <v>9464</v>
      </c>
      <c r="AX337" s="88">
        <v>9568</v>
      </c>
      <c r="AY337" s="88">
        <v>10400</v>
      </c>
      <c r="AZ337" s="88">
        <v>10400</v>
      </c>
      <c r="BA337" s="88">
        <v>10400</v>
      </c>
      <c r="BB337" s="88">
        <v>10400</v>
      </c>
      <c r="BC337" s="88">
        <v>10400</v>
      </c>
      <c r="BD337" s="88">
        <v>10400</v>
      </c>
      <c r="BE337" s="88">
        <v>10400</v>
      </c>
      <c r="BF337" s="88">
        <v>10400</v>
      </c>
      <c r="BG337" s="88">
        <v>10400</v>
      </c>
      <c r="BH337" s="88">
        <v>10400</v>
      </c>
      <c r="BI337" s="88">
        <v>10400</v>
      </c>
      <c r="BJ337" s="88">
        <v>10400</v>
      </c>
      <c r="BK337" s="88">
        <v>91.847227767091866</v>
      </c>
      <c r="BL337" s="88">
        <v>91.78171619236366</v>
      </c>
      <c r="BM337" s="88">
        <v>91.716298005484191</v>
      </c>
      <c r="BN337" s="88">
        <v>91.648760230811803</v>
      </c>
      <c r="BO337" s="88">
        <v>91.581321849478314</v>
      </c>
      <c r="BP337" s="88">
        <v>91.513982642237579</v>
      </c>
      <c r="BQ337" s="88">
        <v>91.446742390478519</v>
      </c>
      <c r="BR337" s="88">
        <v>91.378501017056209</v>
      </c>
      <c r="BS337" s="88">
        <v>91.31145963629308</v>
      </c>
      <c r="BT337" s="88">
        <v>91.244516555497057</v>
      </c>
      <c r="BU337" s="88">
        <v>91.177671558618016</v>
      </c>
      <c r="BV337" s="88">
        <v>91.110924430257086</v>
      </c>
      <c r="BW337" s="88">
        <v>0</v>
      </c>
      <c r="BX337" s="88">
        <v>0</v>
      </c>
      <c r="BY337" s="88">
        <v>0</v>
      </c>
      <c r="BZ337" s="88">
        <v>0</v>
      </c>
      <c r="CA337" s="88">
        <v>0</v>
      </c>
      <c r="CB337" s="88">
        <v>0</v>
      </c>
      <c r="CC337" s="88">
        <v>0</v>
      </c>
      <c r="CD337" s="88">
        <v>0</v>
      </c>
      <c r="CE337" s="88">
        <v>0</v>
      </c>
      <c r="CF337" s="88">
        <v>0</v>
      </c>
      <c r="CG337" s="88">
        <v>0</v>
      </c>
      <c r="CH337" s="88">
        <v>0</v>
      </c>
      <c r="CI337" s="88">
        <v>10400</v>
      </c>
      <c r="CJ337" s="88">
        <v>10400</v>
      </c>
      <c r="CK337" s="88">
        <v>10400</v>
      </c>
      <c r="CL337" s="88">
        <v>10400</v>
      </c>
      <c r="CM337" s="88">
        <v>10400</v>
      </c>
      <c r="CN337" s="88">
        <v>10400</v>
      </c>
      <c r="CO337" s="88">
        <v>10400</v>
      </c>
      <c r="CP337" s="88">
        <v>10400</v>
      </c>
      <c r="CQ337" s="88">
        <v>10400</v>
      </c>
      <c r="CR337" s="88">
        <v>10400</v>
      </c>
      <c r="CS337" s="88">
        <v>10400</v>
      </c>
      <c r="CT337" s="88">
        <v>10400</v>
      </c>
      <c r="CU337" s="88">
        <v>91.847227767091866</v>
      </c>
      <c r="CV337" s="88">
        <v>91.78171619236366</v>
      </c>
      <c r="CW337" s="88">
        <v>91.716298005484191</v>
      </c>
      <c r="CX337" s="88">
        <v>91.648760230811803</v>
      </c>
      <c r="CY337" s="88">
        <v>91.581321849478314</v>
      </c>
      <c r="CZ337" s="88">
        <v>91.513982642237579</v>
      </c>
      <c r="DA337" s="88">
        <v>91.446742390478519</v>
      </c>
      <c r="DB337" s="88">
        <v>91.378501017056209</v>
      </c>
      <c r="DC337" s="88">
        <v>91.31145963629308</v>
      </c>
      <c r="DD337" s="88">
        <v>91.244516555497057</v>
      </c>
      <c r="DE337" s="88">
        <v>91.177671558618016</v>
      </c>
      <c r="DF337" s="88">
        <v>91.110924430257086</v>
      </c>
      <c r="DG337" s="93"/>
      <c r="DH337" s="91"/>
      <c r="DJ337" s="93"/>
      <c r="DK337" s="91"/>
      <c r="DM337" s="93"/>
      <c r="DN337" s="91"/>
      <c r="DP337" s="93"/>
      <c r="DQ337" s="91"/>
    </row>
    <row r="338" spans="1:121" x14ac:dyDescent="0.3">
      <c r="A338" t="s">
        <v>32</v>
      </c>
      <c r="B338" t="s">
        <v>45</v>
      </c>
      <c r="C338" t="s">
        <v>43</v>
      </c>
      <c r="D338" t="s">
        <v>343</v>
      </c>
      <c r="E338" t="s">
        <v>701</v>
      </c>
      <c r="F338" s="86">
        <v>7200</v>
      </c>
      <c r="G338" s="87">
        <v>6</v>
      </c>
      <c r="H338" s="88">
        <v>1.03</v>
      </c>
      <c r="I338" s="88">
        <v>1.0555916666666669</v>
      </c>
      <c r="J338" s="89">
        <v>0.90600747629467537</v>
      </c>
      <c r="K338" s="88">
        <v>0.97575609255472817</v>
      </c>
      <c r="L338" s="88">
        <v>1.0154441592055621</v>
      </c>
      <c r="M338" s="88">
        <v>1</v>
      </c>
      <c r="N338" s="90">
        <v>0.57599999999999996</v>
      </c>
      <c r="O338" s="90">
        <v>0.57071567519650979</v>
      </c>
      <c r="P338" s="90">
        <v>0.56594018718321404</v>
      </c>
      <c r="Q338" s="91">
        <v>0</v>
      </c>
      <c r="R338" s="88">
        <v>0.96153846153846123</v>
      </c>
      <c r="S338" s="88">
        <v>1.021836449080803</v>
      </c>
      <c r="T338" s="91">
        <v>2.4846278317152359E-2</v>
      </c>
      <c r="U338" s="91">
        <v>1.4786336256917609E-2</v>
      </c>
      <c r="V338" s="87">
        <v>0</v>
      </c>
      <c r="W338" s="91">
        <v>0</v>
      </c>
      <c r="X338" s="87">
        <v>1</v>
      </c>
      <c r="Y338" s="90">
        <v>0.57071567519650979</v>
      </c>
      <c r="Z338" s="90">
        <v>0.56594018718321404</v>
      </c>
      <c r="AA338" s="92">
        <v>0</v>
      </c>
      <c r="AB338" s="88">
        <v>0</v>
      </c>
      <c r="AC338" s="87">
        <v>1</v>
      </c>
      <c r="AD338" s="87">
        <v>1</v>
      </c>
      <c r="AE338" s="88">
        <v>1.0599666666666669</v>
      </c>
      <c r="AF338" s="88">
        <v>0.99124238763980388</v>
      </c>
      <c r="AG338" s="88">
        <v>1.050683995212875</v>
      </c>
      <c r="AH338" s="88">
        <v>7416</v>
      </c>
      <c r="AI338" s="88">
        <v>7600.260000000002</v>
      </c>
      <c r="AJ338" s="88">
        <v>6523.253829321663</v>
      </c>
      <c r="AK338" s="88">
        <v>7025.4438663940427</v>
      </c>
      <c r="AL338" s="88">
        <v>7311.1979462800482</v>
      </c>
      <c r="AM338" s="88">
        <v>7200</v>
      </c>
      <c r="AN338" s="88">
        <v>4147.2</v>
      </c>
      <c r="AO338" s="88">
        <v>4109.1528614148701</v>
      </c>
      <c r="AP338" s="88">
        <v>4074.769347719141</v>
      </c>
      <c r="AQ338" s="88">
        <v>0</v>
      </c>
      <c r="AR338" s="88">
        <v>6923.076923076921</v>
      </c>
      <c r="AS338" s="88">
        <v>7357.2224333817849</v>
      </c>
      <c r="AT338" s="88">
        <v>4109.1528614148701</v>
      </c>
      <c r="AU338" s="88">
        <v>4074.769347719141</v>
      </c>
      <c r="AV338" s="88">
        <v>6624</v>
      </c>
      <c r="AW338" s="88">
        <v>6552</v>
      </c>
      <c r="AX338" s="88">
        <v>6480</v>
      </c>
      <c r="AY338" s="88">
        <v>7200</v>
      </c>
      <c r="AZ338" s="88">
        <v>7200</v>
      </c>
      <c r="BA338" s="88">
        <v>7200</v>
      </c>
      <c r="BB338" s="88">
        <v>7200</v>
      </c>
      <c r="BC338" s="88">
        <v>7200</v>
      </c>
      <c r="BD338" s="88">
        <v>7200</v>
      </c>
      <c r="BE338" s="88">
        <v>7200</v>
      </c>
      <c r="BF338" s="88">
        <v>7200</v>
      </c>
      <c r="BG338" s="88">
        <v>7200</v>
      </c>
      <c r="BH338" s="88">
        <v>7200</v>
      </c>
      <c r="BI338" s="88">
        <v>7200</v>
      </c>
      <c r="BJ338" s="88">
        <v>7200</v>
      </c>
      <c r="BK338" s="88">
        <v>151.31192868835871</v>
      </c>
      <c r="BL338" s="88">
        <v>445.31694368049978</v>
      </c>
      <c r="BM338" s="88">
        <v>445.26941450981911</v>
      </c>
      <c r="BN338" s="88">
        <v>445.22020356843638</v>
      </c>
      <c r="BO338" s="88">
        <v>445.1709206820949</v>
      </c>
      <c r="BP338" s="88">
        <v>445.12156569290647</v>
      </c>
      <c r="BQ338" s="88">
        <v>445.07213844252271</v>
      </c>
      <c r="BR338" s="88">
        <v>445.02182669789312</v>
      </c>
      <c r="BS338" s="88">
        <v>444.97225325705602</v>
      </c>
      <c r="BT338" s="88">
        <v>222.25495832481349</v>
      </c>
      <c r="BU338" s="88">
        <v>222.20668736910571</v>
      </c>
      <c r="BV338" s="88">
        <v>222.15834547885331</v>
      </c>
      <c r="BW338" s="88">
        <v>216.0000000000002</v>
      </c>
      <c r="BX338" s="88">
        <v>512.64000000000112</v>
      </c>
      <c r="BY338" s="88">
        <v>512.64000000000112</v>
      </c>
      <c r="BZ338" s="88">
        <v>512.64000000000112</v>
      </c>
      <c r="CA338" s="88">
        <v>512.64000000000112</v>
      </c>
      <c r="CB338" s="88">
        <v>512.64000000000112</v>
      </c>
      <c r="CC338" s="88">
        <v>512.64000000000112</v>
      </c>
      <c r="CD338" s="88">
        <v>512.64000000000112</v>
      </c>
      <c r="CE338" s="88">
        <v>512.64000000000112</v>
      </c>
      <c r="CF338" s="88">
        <v>288.00000000000023</v>
      </c>
      <c r="CG338" s="88">
        <v>288.00000000000023</v>
      </c>
      <c r="CH338" s="88">
        <v>288.00000000000023</v>
      </c>
      <c r="CI338" s="88">
        <v>7200</v>
      </c>
      <c r="CJ338" s="88">
        <v>7200</v>
      </c>
      <c r="CK338" s="88">
        <v>7200</v>
      </c>
      <c r="CL338" s="88">
        <v>7200</v>
      </c>
      <c r="CM338" s="88">
        <v>7200</v>
      </c>
      <c r="CN338" s="88">
        <v>7200</v>
      </c>
      <c r="CO338" s="88">
        <v>7200</v>
      </c>
      <c r="CP338" s="88">
        <v>7200</v>
      </c>
      <c r="CQ338" s="88">
        <v>7200</v>
      </c>
      <c r="CR338" s="88">
        <v>7200</v>
      </c>
      <c r="CS338" s="88">
        <v>7200</v>
      </c>
      <c r="CT338" s="88">
        <v>7200</v>
      </c>
      <c r="CU338" s="88">
        <v>-62.803952729748858</v>
      </c>
      <c r="CV338" s="88">
        <v>-62.848260193709827</v>
      </c>
      <c r="CW338" s="88">
        <v>-62.892630218616041</v>
      </c>
      <c r="CX338" s="88">
        <v>-62.938570231110177</v>
      </c>
      <c r="CY338" s="88">
        <v>-62.984577406559517</v>
      </c>
      <c r="CZ338" s="88">
        <v>-63.030651892358151</v>
      </c>
      <c r="DA338" s="88">
        <v>-63.076793836331021</v>
      </c>
      <c r="DB338" s="88">
        <v>-63.123761484417777</v>
      </c>
      <c r="DC338" s="88">
        <v>-63.170039901927943</v>
      </c>
      <c r="DD338" s="88">
        <v>-63.216386226140742</v>
      </c>
      <c r="DE338" s="88">
        <v>-63.262800606629369</v>
      </c>
      <c r="DF338" s="88">
        <v>-63.309283193409797</v>
      </c>
      <c r="DG338" s="93">
        <v>46296</v>
      </c>
      <c r="DH338" s="91">
        <v>0.03</v>
      </c>
      <c r="DI338" t="s">
        <v>301</v>
      </c>
      <c r="DJ338" s="93">
        <v>46419</v>
      </c>
      <c r="DK338" s="91">
        <v>0.04</v>
      </c>
      <c r="DL338" t="s">
        <v>302</v>
      </c>
      <c r="DM338" s="93"/>
      <c r="DN338" s="91"/>
      <c r="DP338" s="93"/>
      <c r="DQ338" s="91"/>
    </row>
    <row r="339" spans="1:121" x14ac:dyDescent="0.3">
      <c r="A339" t="s">
        <v>32</v>
      </c>
      <c r="B339" t="s">
        <v>45</v>
      </c>
      <c r="C339" t="s">
        <v>46</v>
      </c>
      <c r="D339" t="s">
        <v>345</v>
      </c>
      <c r="E339" t="s">
        <v>702</v>
      </c>
      <c r="F339" s="86">
        <v>17600</v>
      </c>
      <c r="G339" s="87">
        <v>6</v>
      </c>
      <c r="H339" s="88">
        <v>1.04</v>
      </c>
      <c r="I339" s="88">
        <v>1.0355555555555549</v>
      </c>
      <c r="J339" s="89">
        <v>0.91199626185266247</v>
      </c>
      <c r="K339" s="88">
        <v>1.004291845493563</v>
      </c>
      <c r="L339" s="88">
        <v>1.008776064642062</v>
      </c>
      <c r="M339" s="88">
        <v>1</v>
      </c>
      <c r="N339" s="90">
        <v>0.60480000000000012</v>
      </c>
      <c r="O339" s="90">
        <v>0.61272625215258147</v>
      </c>
      <c r="P339" s="90">
        <v>0.61430002437215103</v>
      </c>
      <c r="Q339" s="91">
        <v>0.01</v>
      </c>
      <c r="R339" s="88">
        <v>1</v>
      </c>
      <c r="S339" s="88">
        <v>1.00565120025301</v>
      </c>
      <c r="T339" s="91">
        <v>-4.2735042735044804E-3</v>
      </c>
      <c r="U339" s="91">
        <v>4.2918454935623176E-3</v>
      </c>
      <c r="V339" s="87">
        <v>0</v>
      </c>
      <c r="W339" s="91">
        <v>0</v>
      </c>
      <c r="X339" s="87">
        <v>1</v>
      </c>
      <c r="Y339" s="90">
        <v>0.61272625215258147</v>
      </c>
      <c r="Z339" s="90">
        <v>0.61430002437215103</v>
      </c>
      <c r="AA339" s="92">
        <v>0</v>
      </c>
      <c r="AB339" s="88">
        <v>0</v>
      </c>
      <c r="AC339" s="87">
        <v>1</v>
      </c>
      <c r="AD339" s="87">
        <v>0</v>
      </c>
      <c r="AE339" s="88">
        <v>1.033333333333333</v>
      </c>
      <c r="AF339" s="88">
        <v>1.0043932196204439</v>
      </c>
      <c r="AG339" s="88">
        <v>1.0378730473287141</v>
      </c>
      <c r="AH339" s="88">
        <v>18304</v>
      </c>
      <c r="AI339" s="88">
        <v>18225.77777777777</v>
      </c>
      <c r="AJ339" s="88">
        <v>16051.13420860686</v>
      </c>
      <c r="AK339" s="88">
        <v>17675.5364806867</v>
      </c>
      <c r="AL339" s="88">
        <v>17754.458737700279</v>
      </c>
      <c r="AM339" s="88">
        <v>17600</v>
      </c>
      <c r="AN339" s="88">
        <v>10644.48</v>
      </c>
      <c r="AO339" s="88">
        <v>10783.982037885429</v>
      </c>
      <c r="AP339" s="88">
        <v>10811.68042894986</v>
      </c>
      <c r="AQ339" s="88">
        <v>176</v>
      </c>
      <c r="AR339" s="88">
        <v>17600</v>
      </c>
      <c r="AS339" s="88">
        <v>17699.461124452981</v>
      </c>
      <c r="AT339" s="88">
        <v>10783.982037885429</v>
      </c>
      <c r="AU339" s="88">
        <v>10811.68042894986</v>
      </c>
      <c r="AV339" s="88">
        <v>16192</v>
      </c>
      <c r="AW339" s="88">
        <v>16016</v>
      </c>
      <c r="AX339" s="88">
        <v>16104</v>
      </c>
      <c r="AY339" s="88">
        <v>17600</v>
      </c>
      <c r="AZ339" s="88">
        <v>17600</v>
      </c>
      <c r="BA339" s="88">
        <v>17600</v>
      </c>
      <c r="BB339" s="88">
        <v>17600</v>
      </c>
      <c r="BC339" s="88">
        <v>17600</v>
      </c>
      <c r="BD339" s="88">
        <v>17600</v>
      </c>
      <c r="BE339" s="88">
        <v>17600</v>
      </c>
      <c r="BF339" s="88">
        <v>17600</v>
      </c>
      <c r="BG339" s="88">
        <v>17600</v>
      </c>
      <c r="BH339" s="88">
        <v>17600</v>
      </c>
      <c r="BI339" s="88">
        <v>17600</v>
      </c>
      <c r="BJ339" s="88">
        <v>17600</v>
      </c>
      <c r="BK339" s="88">
        <v>784.57455391870349</v>
      </c>
      <c r="BL339" s="88">
        <v>784.54589733079274</v>
      </c>
      <c r="BM339" s="88">
        <v>784.51726111924881</v>
      </c>
      <c r="BN339" s="88">
        <v>784.48767558971997</v>
      </c>
      <c r="BO339" s="88">
        <v>784.45811179421162</v>
      </c>
      <c r="BP339" s="88">
        <v>784.4285697087912</v>
      </c>
      <c r="BQ339" s="88">
        <v>784.39904930954572</v>
      </c>
      <c r="BR339" s="88">
        <v>784.36906716709484</v>
      </c>
      <c r="BS339" s="88">
        <v>784.33959042316485</v>
      </c>
      <c r="BT339" s="88">
        <v>784.31013529351856</v>
      </c>
      <c r="BU339" s="88">
        <v>77.192982456138637</v>
      </c>
      <c r="BV339" s="88">
        <v>77.164701713503803</v>
      </c>
      <c r="BW339" s="88">
        <v>704.00000000000068</v>
      </c>
      <c r="BX339" s="88">
        <v>704.00000000000068</v>
      </c>
      <c r="BY339" s="88">
        <v>704.00000000000068</v>
      </c>
      <c r="BZ339" s="88">
        <v>704.00000000000068</v>
      </c>
      <c r="CA339" s="88">
        <v>704.00000000000068</v>
      </c>
      <c r="CB339" s="88">
        <v>704.00000000000068</v>
      </c>
      <c r="CC339" s="88">
        <v>704.00000000000068</v>
      </c>
      <c r="CD339" s="88">
        <v>704.00000000000068</v>
      </c>
      <c r="CE339" s="88">
        <v>704.00000000000068</v>
      </c>
      <c r="CF339" s="88">
        <v>704.00000000000068</v>
      </c>
      <c r="CG339" s="88">
        <v>0</v>
      </c>
      <c r="CH339" s="88">
        <v>0</v>
      </c>
      <c r="CI339" s="88">
        <v>17600</v>
      </c>
      <c r="CJ339" s="88">
        <v>17600</v>
      </c>
      <c r="CK339" s="88">
        <v>17600</v>
      </c>
      <c r="CL339" s="88">
        <v>17600</v>
      </c>
      <c r="CM339" s="88">
        <v>17600</v>
      </c>
      <c r="CN339" s="88">
        <v>17600</v>
      </c>
      <c r="CO339" s="88">
        <v>17600</v>
      </c>
      <c r="CP339" s="88">
        <v>17600</v>
      </c>
      <c r="CQ339" s="88">
        <v>17600</v>
      </c>
      <c r="CR339" s="88">
        <v>17600</v>
      </c>
      <c r="CS339" s="88">
        <v>17600</v>
      </c>
      <c r="CT339" s="88">
        <v>17600</v>
      </c>
      <c r="CU339" s="88">
        <v>77.475532614137421</v>
      </c>
      <c r="CV339" s="88">
        <v>77.44797820268623</v>
      </c>
      <c r="CW339" s="88">
        <v>77.420443383890714</v>
      </c>
      <c r="CX339" s="88">
        <v>77.391995759344212</v>
      </c>
      <c r="CY339" s="88">
        <v>77.363569032896251</v>
      </c>
      <c r="CZ339" s="88">
        <v>77.335163181528799</v>
      </c>
      <c r="DA339" s="88">
        <v>77.306778182255087</v>
      </c>
      <c r="DB339" s="88">
        <v>77.277949199129381</v>
      </c>
      <c r="DC339" s="88">
        <v>77.249606176120977</v>
      </c>
      <c r="DD339" s="88">
        <v>77.221283936074059</v>
      </c>
      <c r="DE339" s="88">
        <v>77.192982456138637</v>
      </c>
      <c r="DF339" s="88">
        <v>77.164701713503803</v>
      </c>
      <c r="DG339" s="93">
        <v>46327</v>
      </c>
      <c r="DH339" s="91">
        <v>0.04</v>
      </c>
      <c r="DI339" t="s">
        <v>301</v>
      </c>
      <c r="DJ339" s="93"/>
      <c r="DK339" s="91"/>
      <c r="DM339" s="93"/>
      <c r="DN339" s="91"/>
      <c r="DP339" s="93"/>
      <c r="DQ339" s="91"/>
    </row>
    <row r="340" spans="1:121" x14ac:dyDescent="0.3">
      <c r="A340" t="s">
        <v>32</v>
      </c>
      <c r="B340" t="s">
        <v>45</v>
      </c>
      <c r="C340" t="s">
        <v>48</v>
      </c>
      <c r="D340" t="s">
        <v>347</v>
      </c>
      <c r="E340" t="s">
        <v>703</v>
      </c>
      <c r="F340" s="86">
        <v>14400</v>
      </c>
      <c r="G340" s="87">
        <v>6</v>
      </c>
      <c r="H340" s="88">
        <v>1.05</v>
      </c>
      <c r="I340" s="88">
        <v>1.0619395161290319</v>
      </c>
      <c r="J340" s="89">
        <v>0.9301403314009663</v>
      </c>
      <c r="K340" s="88">
        <v>0.98875687744199026</v>
      </c>
      <c r="L340" s="88">
        <v>0.98909806288509927</v>
      </c>
      <c r="M340" s="88">
        <v>1.02</v>
      </c>
      <c r="N340" s="90">
        <v>0.58799999999999997</v>
      </c>
      <c r="O340" s="90">
        <v>0.58655179268240099</v>
      </c>
      <c r="P340" s="90">
        <v>0.56510500613678705</v>
      </c>
      <c r="Q340" s="91">
        <v>0</v>
      </c>
      <c r="R340" s="88">
        <v>0.97087378640776689</v>
      </c>
      <c r="S340" s="88">
        <v>0.97048512124998465</v>
      </c>
      <c r="T340" s="91">
        <v>1.137096774193558E-2</v>
      </c>
      <c r="U340" s="91">
        <v>1.8419583765250099E-2</v>
      </c>
      <c r="V340" s="87">
        <v>0</v>
      </c>
      <c r="W340" s="91">
        <v>0</v>
      </c>
      <c r="X340" s="87">
        <v>1</v>
      </c>
      <c r="Y340" s="90">
        <v>0.58655179268240099</v>
      </c>
      <c r="Z340" s="90">
        <v>0.56510500613678705</v>
      </c>
      <c r="AA340" s="92">
        <v>0</v>
      </c>
      <c r="AB340" s="88">
        <v>0</v>
      </c>
      <c r="AC340" s="87">
        <v>1</v>
      </c>
      <c r="AD340" s="87">
        <v>1</v>
      </c>
      <c r="AE340" s="88">
        <v>1.0313709677419349</v>
      </c>
      <c r="AF340" s="88">
        <v>1.0428710116489071</v>
      </c>
      <c r="AG340" s="88">
        <v>1.0755736459458449</v>
      </c>
      <c r="AH340" s="88">
        <v>15120</v>
      </c>
      <c r="AI340" s="88">
        <v>15291.929032258069</v>
      </c>
      <c r="AJ340" s="88">
        <v>13394.020772173921</v>
      </c>
      <c r="AK340" s="88">
        <v>14238.09903516466</v>
      </c>
      <c r="AL340" s="88">
        <v>14243.012105545429</v>
      </c>
      <c r="AM340" s="88">
        <v>14688</v>
      </c>
      <c r="AN340" s="88">
        <v>8467.1999999999989</v>
      </c>
      <c r="AO340" s="88">
        <v>8446.3458146265748</v>
      </c>
      <c r="AP340" s="88">
        <v>8137.5120883697336</v>
      </c>
      <c r="AQ340" s="88">
        <v>0</v>
      </c>
      <c r="AR340" s="88">
        <v>13980.58252427184</v>
      </c>
      <c r="AS340" s="88">
        <v>13974.98574599978</v>
      </c>
      <c r="AT340" s="88">
        <v>8446.3458146265748</v>
      </c>
      <c r="AU340" s="88">
        <v>8137.5120883697336</v>
      </c>
      <c r="AV340" s="88">
        <v>13248</v>
      </c>
      <c r="AW340" s="88">
        <v>13104</v>
      </c>
      <c r="AX340" s="88">
        <v>13392</v>
      </c>
      <c r="AY340" s="88">
        <v>14400</v>
      </c>
      <c r="AZ340" s="88">
        <v>14400</v>
      </c>
      <c r="BA340" s="88">
        <v>14400</v>
      </c>
      <c r="BB340" s="88">
        <v>14400</v>
      </c>
      <c r="BC340" s="88">
        <v>14400</v>
      </c>
      <c r="BD340" s="88">
        <v>14400</v>
      </c>
      <c r="BE340" s="88">
        <v>14400</v>
      </c>
      <c r="BF340" s="88">
        <v>14400</v>
      </c>
      <c r="BG340" s="88">
        <v>14400</v>
      </c>
      <c r="BH340" s="88">
        <v>14400</v>
      </c>
      <c r="BI340" s="88">
        <v>14400</v>
      </c>
      <c r="BJ340" s="88">
        <v>14400</v>
      </c>
      <c r="BK340" s="88">
        <v>1371.2342103641649</v>
      </c>
      <c r="BL340" s="88">
        <v>1314.1060903732809</v>
      </c>
      <c r="BM340" s="88">
        <v>1570.5381537896869</v>
      </c>
      <c r="BN340" s="88">
        <v>753.49000487566968</v>
      </c>
      <c r="BO340" s="88">
        <v>945.73852465727271</v>
      </c>
      <c r="BP340" s="88">
        <v>1092.898845735031</v>
      </c>
      <c r="BQ340" s="88">
        <v>1035.936225664519</v>
      </c>
      <c r="BR340" s="88">
        <v>978.46741848315662</v>
      </c>
      <c r="BS340" s="88">
        <v>1083.2262120473879</v>
      </c>
      <c r="BT340" s="88">
        <v>1026.923571276305</v>
      </c>
      <c r="BU340" s="88">
        <v>971.02892065573735</v>
      </c>
      <c r="BV340" s="88">
        <v>915.53784151979687</v>
      </c>
      <c r="BW340" s="88">
        <v>720.00000000000068</v>
      </c>
      <c r="BX340" s="88">
        <v>720.00000000000068</v>
      </c>
      <c r="BY340" s="88">
        <v>720.00000000000068</v>
      </c>
      <c r="BZ340" s="88">
        <v>0</v>
      </c>
      <c r="CA340" s="88">
        <v>236.90322580645039</v>
      </c>
      <c r="CB340" s="88">
        <v>432.0000000000004</v>
      </c>
      <c r="CC340" s="88">
        <v>432.0000000000004</v>
      </c>
      <c r="CD340" s="88">
        <v>432.0000000000004</v>
      </c>
      <c r="CE340" s="88">
        <v>432.0000000000004</v>
      </c>
      <c r="CF340" s="88">
        <v>432.0000000000004</v>
      </c>
      <c r="CG340" s="88">
        <v>432.0000000000004</v>
      </c>
      <c r="CH340" s="88">
        <v>432.0000000000004</v>
      </c>
      <c r="CI340" s="88">
        <v>14400</v>
      </c>
      <c r="CJ340" s="88">
        <v>14400</v>
      </c>
      <c r="CK340" s="88">
        <v>14400</v>
      </c>
      <c r="CL340" s="88">
        <v>14400</v>
      </c>
      <c r="CM340" s="88">
        <v>14400</v>
      </c>
      <c r="CN340" s="88">
        <v>14400</v>
      </c>
      <c r="CO340" s="88">
        <v>14400</v>
      </c>
      <c r="CP340" s="88">
        <v>14400</v>
      </c>
      <c r="CQ340" s="88">
        <v>14400</v>
      </c>
      <c r="CR340" s="88">
        <v>14400</v>
      </c>
      <c r="CS340" s="88">
        <v>14400</v>
      </c>
      <c r="CT340" s="88">
        <v>14400</v>
      </c>
      <c r="CU340" s="88">
        <v>620.22305748967983</v>
      </c>
      <c r="CV340" s="88">
        <v>565.81532416502898</v>
      </c>
      <c r="CW340" s="88">
        <v>810.03633694255757</v>
      </c>
      <c r="CX340" s="88">
        <v>753.49000487566968</v>
      </c>
      <c r="CY340" s="88">
        <v>697.36255996113846</v>
      </c>
      <c r="CZ340" s="88">
        <v>641.64936479129005</v>
      </c>
      <c r="DA340" s="88">
        <v>586.34585015972573</v>
      </c>
      <c r="DB340" s="88">
        <v>530.55089173122099</v>
      </c>
      <c r="DC340" s="88">
        <v>632.25845829843342</v>
      </c>
      <c r="DD340" s="88">
        <v>577.59570026825634</v>
      </c>
      <c r="DE340" s="88">
        <v>523.32904918032739</v>
      </c>
      <c r="DF340" s="88">
        <v>469.45421506776228</v>
      </c>
      <c r="DG340" s="93">
        <v>46113</v>
      </c>
      <c r="DH340" s="91">
        <v>0.05</v>
      </c>
      <c r="DI340" t="s">
        <v>301</v>
      </c>
      <c r="DJ340" s="93">
        <v>46522</v>
      </c>
      <c r="DK340" s="91">
        <v>0.03</v>
      </c>
      <c r="DL340" t="s">
        <v>302</v>
      </c>
      <c r="DM340" s="93"/>
      <c r="DN340" s="91"/>
      <c r="DP340" s="93"/>
      <c r="DQ340" s="91"/>
    </row>
    <row r="341" spans="1:121" x14ac:dyDescent="0.3">
      <c r="A341" t="s">
        <v>32</v>
      </c>
      <c r="B341" t="s">
        <v>45</v>
      </c>
      <c r="C341" t="s">
        <v>50</v>
      </c>
      <c r="D341" t="s">
        <v>349</v>
      </c>
      <c r="E341" t="s">
        <v>704</v>
      </c>
      <c r="F341" s="86">
        <v>11200</v>
      </c>
      <c r="G341" s="87">
        <v>6</v>
      </c>
      <c r="H341" s="88">
        <v>1.08</v>
      </c>
      <c r="I341" s="88">
        <v>1.10524</v>
      </c>
      <c r="J341" s="89">
        <v>0.90999999999999981</v>
      </c>
      <c r="K341" s="88">
        <v>0.97716333104122188</v>
      </c>
      <c r="L341" s="88">
        <v>1.0109890109890109</v>
      </c>
      <c r="M341" s="88">
        <v>1</v>
      </c>
      <c r="N341" s="90">
        <v>0.57199999999999995</v>
      </c>
      <c r="O341" s="90">
        <v>0.56507959486498094</v>
      </c>
      <c r="P341" s="90">
        <v>0.55179934569247557</v>
      </c>
      <c r="Q341" s="91">
        <v>0</v>
      </c>
      <c r="R341" s="88">
        <v>0.95419847328244267</v>
      </c>
      <c r="S341" s="88">
        <v>1.0109890109890109</v>
      </c>
      <c r="T341" s="91">
        <v>2.337037037037026E-2</v>
      </c>
      <c r="U341" s="91">
        <v>2.4067170931200591E-2</v>
      </c>
      <c r="V341" s="87">
        <v>0</v>
      </c>
      <c r="W341" s="91">
        <v>0</v>
      </c>
      <c r="X341" s="87">
        <v>1</v>
      </c>
      <c r="Y341" s="90">
        <v>0.56507959486498094</v>
      </c>
      <c r="Z341" s="90">
        <v>0.55179934569247557</v>
      </c>
      <c r="AA341" s="92">
        <v>0</v>
      </c>
      <c r="AB341" s="88">
        <v>0</v>
      </c>
      <c r="AC341" s="87">
        <v>1</v>
      </c>
      <c r="AD341" s="87">
        <v>1</v>
      </c>
      <c r="AE341" s="88">
        <v>1.1022400000000001</v>
      </c>
      <c r="AF341" s="88">
        <v>1</v>
      </c>
      <c r="AG341" s="88">
        <v>1.1022400000000001</v>
      </c>
      <c r="AH341" s="88">
        <v>12096</v>
      </c>
      <c r="AI341" s="88">
        <v>12378.688</v>
      </c>
      <c r="AJ341" s="88">
        <v>10192</v>
      </c>
      <c r="AK341" s="88">
        <v>10944.229307661681</v>
      </c>
      <c r="AL341" s="88">
        <v>11323.076923076929</v>
      </c>
      <c r="AM341" s="88">
        <v>11200</v>
      </c>
      <c r="AN341" s="88">
        <v>6406.4</v>
      </c>
      <c r="AO341" s="88">
        <v>6328.8914624877862</v>
      </c>
      <c r="AP341" s="88">
        <v>6180.1526717557263</v>
      </c>
      <c r="AQ341" s="88">
        <v>0</v>
      </c>
      <c r="AR341" s="88">
        <v>10687.022900763361</v>
      </c>
      <c r="AS341" s="88">
        <v>11323.076923076929</v>
      </c>
      <c r="AT341" s="88">
        <v>6328.8914624877862</v>
      </c>
      <c r="AU341" s="88">
        <v>6180.1526717557263</v>
      </c>
      <c r="AV341" s="88">
        <v>10304</v>
      </c>
      <c r="AW341" s="88">
        <v>10192</v>
      </c>
      <c r="AX341" s="88">
        <v>10192</v>
      </c>
      <c r="AY341" s="88">
        <v>11200</v>
      </c>
      <c r="AZ341" s="88">
        <v>11200</v>
      </c>
      <c r="BA341" s="88">
        <v>11200</v>
      </c>
      <c r="BB341" s="88">
        <v>11200</v>
      </c>
      <c r="BC341" s="88">
        <v>11200</v>
      </c>
      <c r="BD341" s="88">
        <v>11200</v>
      </c>
      <c r="BE341" s="88">
        <v>11200</v>
      </c>
      <c r="BF341" s="88">
        <v>11200</v>
      </c>
      <c r="BG341" s="88">
        <v>11200</v>
      </c>
      <c r="BH341" s="88">
        <v>11200</v>
      </c>
      <c r="BI341" s="88">
        <v>11200</v>
      </c>
      <c r="BJ341" s="88">
        <v>11200</v>
      </c>
      <c r="BK341" s="88">
        <v>896.0000000000008</v>
      </c>
      <c r="BL341" s="88">
        <v>896.0000000000008</v>
      </c>
      <c r="BM341" s="88">
        <v>1476.608000000002</v>
      </c>
      <c r="BN341" s="88">
        <v>1476.608000000002</v>
      </c>
      <c r="BO341" s="88">
        <v>1476.608000000002</v>
      </c>
      <c r="BP341" s="88">
        <v>1476.608000000002</v>
      </c>
      <c r="BQ341" s="88">
        <v>1476.608000000002</v>
      </c>
      <c r="BR341" s="88">
        <v>1476.608000000002</v>
      </c>
      <c r="BS341" s="88">
        <v>1476.608000000002</v>
      </c>
      <c r="BT341" s="88">
        <v>537.60000000000048</v>
      </c>
      <c r="BU341" s="88">
        <v>537.60000000000048</v>
      </c>
      <c r="BV341" s="88">
        <v>537.60000000000048</v>
      </c>
      <c r="BW341" s="88">
        <v>896.0000000000008</v>
      </c>
      <c r="BX341" s="88">
        <v>896.0000000000008</v>
      </c>
      <c r="BY341" s="88">
        <v>1476.608000000002</v>
      </c>
      <c r="BZ341" s="88">
        <v>1476.608000000002</v>
      </c>
      <c r="CA341" s="88">
        <v>1476.608000000002</v>
      </c>
      <c r="CB341" s="88">
        <v>1476.608000000002</v>
      </c>
      <c r="CC341" s="88">
        <v>1476.608000000002</v>
      </c>
      <c r="CD341" s="88">
        <v>1476.608000000002</v>
      </c>
      <c r="CE341" s="88">
        <v>1476.608000000002</v>
      </c>
      <c r="CF341" s="88">
        <v>537.60000000000048</v>
      </c>
      <c r="CG341" s="88">
        <v>537.60000000000048</v>
      </c>
      <c r="CH341" s="88">
        <v>537.60000000000048</v>
      </c>
      <c r="CI341" s="88">
        <v>11200</v>
      </c>
      <c r="CJ341" s="88">
        <v>11200</v>
      </c>
      <c r="CK341" s="88">
        <v>11200</v>
      </c>
      <c r="CL341" s="88">
        <v>11200</v>
      </c>
      <c r="CM341" s="88">
        <v>11200</v>
      </c>
      <c r="CN341" s="88">
        <v>11200</v>
      </c>
      <c r="CO341" s="88">
        <v>11200</v>
      </c>
      <c r="CP341" s="88">
        <v>11200</v>
      </c>
      <c r="CQ341" s="88">
        <v>11200</v>
      </c>
      <c r="CR341" s="88">
        <v>11200</v>
      </c>
      <c r="CS341" s="88">
        <v>11200</v>
      </c>
      <c r="CT341" s="88">
        <v>11200</v>
      </c>
      <c r="CU341" s="88">
        <v>0</v>
      </c>
      <c r="CV341" s="88">
        <v>0</v>
      </c>
      <c r="CW341" s="88">
        <v>0</v>
      </c>
      <c r="CX341" s="88">
        <v>0</v>
      </c>
      <c r="CY341" s="88">
        <v>0</v>
      </c>
      <c r="CZ341" s="88">
        <v>0</v>
      </c>
      <c r="DA341" s="88">
        <v>0</v>
      </c>
      <c r="DB341" s="88">
        <v>0</v>
      </c>
      <c r="DC341" s="88">
        <v>0</v>
      </c>
      <c r="DD341" s="88">
        <v>0</v>
      </c>
      <c r="DE341" s="88">
        <v>0</v>
      </c>
      <c r="DF341" s="88">
        <v>0</v>
      </c>
      <c r="DG341" s="93">
        <v>46296</v>
      </c>
      <c r="DH341" s="91">
        <v>0.08</v>
      </c>
      <c r="DI341" t="s">
        <v>301</v>
      </c>
      <c r="DJ341" s="93">
        <v>46447</v>
      </c>
      <c r="DK341" s="91">
        <v>4.8000000000000001E-2</v>
      </c>
      <c r="DL341" t="s">
        <v>302</v>
      </c>
      <c r="DM341" s="93"/>
      <c r="DN341" s="91"/>
      <c r="DP341" s="93"/>
      <c r="DQ341" s="91"/>
    </row>
    <row r="342" spans="1:121" x14ac:dyDescent="0.3">
      <c r="A342" t="s">
        <v>32</v>
      </c>
      <c r="B342" t="s">
        <v>45</v>
      </c>
      <c r="C342" t="s">
        <v>57</v>
      </c>
      <c r="D342" t="s">
        <v>351</v>
      </c>
      <c r="E342" t="s">
        <v>705</v>
      </c>
      <c r="F342" s="86">
        <v>8000</v>
      </c>
      <c r="G342" s="87">
        <v>6</v>
      </c>
      <c r="H342" s="88">
        <v>1.02</v>
      </c>
      <c r="I342" s="88">
        <v>1.0336000000000001</v>
      </c>
      <c r="J342" s="89">
        <v>0.91598878555798668</v>
      </c>
      <c r="K342" s="88">
        <v>0.98684210526315785</v>
      </c>
      <c r="L342" s="88">
        <v>1.0043791086804299</v>
      </c>
      <c r="M342" s="88">
        <v>1</v>
      </c>
      <c r="N342" s="90">
        <v>0.6</v>
      </c>
      <c r="O342" s="90">
        <v>0.5946981564555176</v>
      </c>
      <c r="P342" s="90">
        <v>0.5741209078944205</v>
      </c>
      <c r="Q342" s="91">
        <v>0</v>
      </c>
      <c r="R342" s="88">
        <v>0.96153846153846134</v>
      </c>
      <c r="S342" s="88">
        <v>0.99514290701699581</v>
      </c>
      <c r="T342" s="91">
        <v>1.3333333333333419E-2</v>
      </c>
      <c r="U342" s="91">
        <v>2.6315789473684289E-2</v>
      </c>
      <c r="V342" s="87">
        <v>0</v>
      </c>
      <c r="W342" s="91">
        <v>0</v>
      </c>
      <c r="X342" s="87">
        <v>1</v>
      </c>
      <c r="Y342" s="90">
        <v>0.5946981564555176</v>
      </c>
      <c r="Z342" s="90">
        <v>0.5741209078944205</v>
      </c>
      <c r="AA342" s="92">
        <v>0</v>
      </c>
      <c r="AB342" s="88">
        <v>0</v>
      </c>
      <c r="AC342" s="87">
        <v>1</v>
      </c>
      <c r="AD342" s="87">
        <v>1</v>
      </c>
      <c r="AE342" s="88">
        <v>1.0249999999999999</v>
      </c>
      <c r="AF342" s="88">
        <v>1.0132088564102011</v>
      </c>
      <c r="AG342" s="88">
        <v>1.0385383607792269</v>
      </c>
      <c r="AH342" s="88">
        <v>8160</v>
      </c>
      <c r="AI342" s="88">
        <v>8268.8000000000011</v>
      </c>
      <c r="AJ342" s="88">
        <v>7327.9102844638937</v>
      </c>
      <c r="AK342" s="88">
        <v>7894.7368421052624</v>
      </c>
      <c r="AL342" s="88">
        <v>8035.0328694434393</v>
      </c>
      <c r="AM342" s="88">
        <v>8000</v>
      </c>
      <c r="AN342" s="88">
        <v>4800</v>
      </c>
      <c r="AO342" s="88">
        <v>4757.585251644141</v>
      </c>
      <c r="AP342" s="88">
        <v>4592.967263155364</v>
      </c>
      <c r="AQ342" s="88">
        <v>0</v>
      </c>
      <c r="AR342" s="88">
        <v>7692.3076923076906</v>
      </c>
      <c r="AS342" s="88">
        <v>7961.1432561359661</v>
      </c>
      <c r="AT342" s="88">
        <v>4757.585251644141</v>
      </c>
      <c r="AU342" s="88">
        <v>4592.967263155364</v>
      </c>
      <c r="AV342" s="88">
        <v>7360</v>
      </c>
      <c r="AW342" s="88">
        <v>7280</v>
      </c>
      <c r="AX342" s="88">
        <v>7400</v>
      </c>
      <c r="AY342" s="88">
        <v>8000</v>
      </c>
      <c r="AZ342" s="88">
        <v>8000</v>
      </c>
      <c r="BA342" s="88">
        <v>8000</v>
      </c>
      <c r="BB342" s="88">
        <v>8000</v>
      </c>
      <c r="BC342" s="88">
        <v>8000</v>
      </c>
      <c r="BD342" s="88">
        <v>8000</v>
      </c>
      <c r="BE342" s="88">
        <v>8000</v>
      </c>
      <c r="BF342" s="88">
        <v>8000</v>
      </c>
      <c r="BG342" s="88">
        <v>8000</v>
      </c>
      <c r="BH342" s="88">
        <v>8000</v>
      </c>
      <c r="BI342" s="88">
        <v>8000</v>
      </c>
      <c r="BJ342" s="88">
        <v>8000</v>
      </c>
      <c r="BK342" s="88">
        <v>268.43491926724641</v>
      </c>
      <c r="BL342" s="88">
        <v>106.19469026548779</v>
      </c>
      <c r="BM342" s="88">
        <v>106.08088061662539</v>
      </c>
      <c r="BN342" s="88">
        <v>105.9634692149523</v>
      </c>
      <c r="BO342" s="88">
        <v>105.8463174302062</v>
      </c>
      <c r="BP342" s="88">
        <v>429.95860137834359</v>
      </c>
      <c r="BQ342" s="88">
        <v>429.83730084574739</v>
      </c>
      <c r="BR342" s="88">
        <v>429.71428571428658</v>
      </c>
      <c r="BS342" s="88">
        <v>429.59352331917881</v>
      </c>
      <c r="BT342" s="88">
        <v>429.47302647785079</v>
      </c>
      <c r="BU342" s="88">
        <v>429.35279431534389</v>
      </c>
      <c r="BV342" s="88">
        <v>429.2328259605398</v>
      </c>
      <c r="BW342" s="88">
        <v>160.00000000000011</v>
      </c>
      <c r="BX342" s="88">
        <v>0</v>
      </c>
      <c r="BY342" s="88">
        <v>0</v>
      </c>
      <c r="BZ342" s="88">
        <v>0</v>
      </c>
      <c r="CA342" s="88">
        <v>0</v>
      </c>
      <c r="CB342" s="88">
        <v>320.00000000000028</v>
      </c>
      <c r="CC342" s="88">
        <v>320.00000000000028</v>
      </c>
      <c r="CD342" s="88">
        <v>320.00000000000028</v>
      </c>
      <c r="CE342" s="88">
        <v>320.00000000000028</v>
      </c>
      <c r="CF342" s="88">
        <v>320.00000000000028</v>
      </c>
      <c r="CG342" s="88">
        <v>320.00000000000028</v>
      </c>
      <c r="CH342" s="88">
        <v>320.00000000000028</v>
      </c>
      <c r="CI342" s="88">
        <v>8000</v>
      </c>
      <c r="CJ342" s="88">
        <v>8000</v>
      </c>
      <c r="CK342" s="88">
        <v>8000</v>
      </c>
      <c r="CL342" s="88">
        <v>8000</v>
      </c>
      <c r="CM342" s="88">
        <v>8000</v>
      </c>
      <c r="CN342" s="88">
        <v>8000</v>
      </c>
      <c r="CO342" s="88">
        <v>8000</v>
      </c>
      <c r="CP342" s="88">
        <v>8000</v>
      </c>
      <c r="CQ342" s="88">
        <v>8000</v>
      </c>
      <c r="CR342" s="88">
        <v>8000</v>
      </c>
      <c r="CS342" s="88">
        <v>8000</v>
      </c>
      <c r="CT342" s="88">
        <v>8000</v>
      </c>
      <c r="CU342" s="88">
        <v>106.30874437965331</v>
      </c>
      <c r="CV342" s="88">
        <v>106.19469026548779</v>
      </c>
      <c r="CW342" s="88">
        <v>106.08088061662539</v>
      </c>
      <c r="CX342" s="88">
        <v>105.9634692149523</v>
      </c>
      <c r="CY342" s="88">
        <v>105.8463174302062</v>
      </c>
      <c r="CZ342" s="88">
        <v>105.729424402254</v>
      </c>
      <c r="DA342" s="88">
        <v>105.61278927475649</v>
      </c>
      <c r="DB342" s="88">
        <v>105.4945054945069</v>
      </c>
      <c r="DC342" s="88">
        <v>105.37838780690301</v>
      </c>
      <c r="DD342" s="88">
        <v>105.26252545947121</v>
      </c>
      <c r="DE342" s="88">
        <v>105.14691761090771</v>
      </c>
      <c r="DF342" s="88">
        <v>105.0315634235961</v>
      </c>
      <c r="DG342" s="93">
        <v>46054</v>
      </c>
      <c r="DH342" s="91">
        <v>0.02</v>
      </c>
      <c r="DI342" t="s">
        <v>301</v>
      </c>
      <c r="DJ342" s="93">
        <v>46539</v>
      </c>
      <c r="DK342" s="91">
        <v>0.04</v>
      </c>
      <c r="DL342" t="s">
        <v>302</v>
      </c>
      <c r="DM342" s="93"/>
      <c r="DN342" s="91"/>
      <c r="DP342" s="93"/>
      <c r="DQ342" s="91"/>
    </row>
    <row r="343" spans="1:121" x14ac:dyDescent="0.3">
      <c r="A343" t="s">
        <v>32</v>
      </c>
      <c r="B343" t="s">
        <v>45</v>
      </c>
      <c r="C343" t="s">
        <v>58</v>
      </c>
      <c r="D343" t="s">
        <v>353</v>
      </c>
      <c r="E343" t="s">
        <v>706</v>
      </c>
      <c r="F343" s="86">
        <v>18400</v>
      </c>
      <c r="G343" s="87">
        <v>6</v>
      </c>
      <c r="H343" s="88">
        <v>1</v>
      </c>
      <c r="I343" s="88">
        <v>1</v>
      </c>
      <c r="J343" s="89">
        <v>0.9080037381473377</v>
      </c>
      <c r="K343" s="88">
        <v>1</v>
      </c>
      <c r="L343" s="88">
        <v>1.0132116877372539</v>
      </c>
      <c r="M343" s="88">
        <v>1</v>
      </c>
      <c r="N343" s="90">
        <v>0.58399999999999996</v>
      </c>
      <c r="O343" s="90">
        <v>0.59171562563855651</v>
      </c>
      <c r="P343" s="90">
        <v>0.59356813237840422</v>
      </c>
      <c r="Q343" s="91">
        <v>0</v>
      </c>
      <c r="R343" s="88">
        <v>1</v>
      </c>
      <c r="S343" s="88">
        <v>1.0163837883191851</v>
      </c>
      <c r="T343" s="91">
        <v>0</v>
      </c>
      <c r="U343" s="91">
        <v>0</v>
      </c>
      <c r="V343" s="87">
        <v>0</v>
      </c>
      <c r="W343" s="91">
        <v>0</v>
      </c>
      <c r="X343" s="87">
        <v>1</v>
      </c>
      <c r="Y343" s="90">
        <v>0.59171562563855651</v>
      </c>
      <c r="Z343" s="90">
        <v>0.59356813237840422</v>
      </c>
      <c r="AA343" s="92">
        <v>0</v>
      </c>
      <c r="AB343" s="88">
        <v>0</v>
      </c>
      <c r="AC343" s="87">
        <v>0</v>
      </c>
      <c r="AD343" s="87">
        <v>0</v>
      </c>
      <c r="AE343" s="88">
        <v>1</v>
      </c>
      <c r="AF343" s="88">
        <v>0.99561641381999111</v>
      </c>
      <c r="AG343" s="88">
        <v>0.99561641381999111</v>
      </c>
      <c r="AH343" s="88">
        <v>18400</v>
      </c>
      <c r="AI343" s="88">
        <v>18400</v>
      </c>
      <c r="AJ343" s="88">
        <v>16707.268781911011</v>
      </c>
      <c r="AK343" s="88">
        <v>18400</v>
      </c>
      <c r="AL343" s="88">
        <v>18643.09505436548</v>
      </c>
      <c r="AM343" s="88">
        <v>18400</v>
      </c>
      <c r="AN343" s="88">
        <v>10745.6</v>
      </c>
      <c r="AO343" s="88">
        <v>10887.567511749439</v>
      </c>
      <c r="AP343" s="88">
        <v>10921.653635762639</v>
      </c>
      <c r="AQ343" s="88">
        <v>0</v>
      </c>
      <c r="AR343" s="88">
        <v>18400</v>
      </c>
      <c r="AS343" s="88">
        <v>18701.461705073008</v>
      </c>
      <c r="AT343" s="88">
        <v>10887.567511749439</v>
      </c>
      <c r="AU343" s="88">
        <v>10921.653635762639</v>
      </c>
      <c r="AV343" s="88">
        <v>16928</v>
      </c>
      <c r="AW343" s="88">
        <v>16744</v>
      </c>
      <c r="AX343" s="88">
        <v>16652</v>
      </c>
      <c r="AY343" s="88">
        <v>18400</v>
      </c>
      <c r="AZ343" s="88">
        <v>18400</v>
      </c>
      <c r="BA343" s="88">
        <v>18400</v>
      </c>
      <c r="BB343" s="88">
        <v>18400</v>
      </c>
      <c r="BC343" s="88">
        <v>18400</v>
      </c>
      <c r="BD343" s="88">
        <v>18400</v>
      </c>
      <c r="BE343" s="88">
        <v>18400</v>
      </c>
      <c r="BF343" s="88">
        <v>18400</v>
      </c>
      <c r="BG343" s="88">
        <v>18400</v>
      </c>
      <c r="BH343" s="88">
        <v>18400</v>
      </c>
      <c r="BI343" s="88">
        <v>18400</v>
      </c>
      <c r="BJ343" s="88">
        <v>18400</v>
      </c>
      <c r="BK343" s="88">
        <v>-80.497174328640142</v>
      </c>
      <c r="BL343" s="88">
        <v>-80.525646866981319</v>
      </c>
      <c r="BM343" s="88">
        <v>-80.554139554408891</v>
      </c>
      <c r="BN343" s="88">
        <v>-80.583619303591547</v>
      </c>
      <c r="BO343" s="88">
        <v>-80.613120637606968</v>
      </c>
      <c r="BP343" s="88">
        <v>-80.642643580168112</v>
      </c>
      <c r="BQ343" s="88">
        <v>-80.672188155026703</v>
      </c>
      <c r="BR343" s="88">
        <v>-80.70223925882712</v>
      </c>
      <c r="BS343" s="88">
        <v>-80.731827525274994</v>
      </c>
      <c r="BT343" s="88">
        <v>-80.761437495865977</v>
      </c>
      <c r="BU343" s="88">
        <v>-80.79106919449481</v>
      </c>
      <c r="BV343" s="88">
        <v>-80.820722645084857</v>
      </c>
      <c r="BW343" s="88">
        <v>0</v>
      </c>
      <c r="BX343" s="88">
        <v>0</v>
      </c>
      <c r="BY343" s="88">
        <v>0</v>
      </c>
      <c r="BZ343" s="88">
        <v>0</v>
      </c>
      <c r="CA343" s="88">
        <v>0</v>
      </c>
      <c r="CB343" s="88">
        <v>0</v>
      </c>
      <c r="CC343" s="88">
        <v>0</v>
      </c>
      <c r="CD343" s="88">
        <v>0</v>
      </c>
      <c r="CE343" s="88">
        <v>0</v>
      </c>
      <c r="CF343" s="88">
        <v>0</v>
      </c>
      <c r="CG343" s="88">
        <v>0</v>
      </c>
      <c r="CH343" s="88">
        <v>0</v>
      </c>
      <c r="CI343" s="88">
        <v>18400</v>
      </c>
      <c r="CJ343" s="88">
        <v>18400</v>
      </c>
      <c r="CK343" s="88">
        <v>18400</v>
      </c>
      <c r="CL343" s="88">
        <v>18400</v>
      </c>
      <c r="CM343" s="88">
        <v>18400</v>
      </c>
      <c r="CN343" s="88">
        <v>18400</v>
      </c>
      <c r="CO343" s="88">
        <v>18400</v>
      </c>
      <c r="CP343" s="88">
        <v>18400</v>
      </c>
      <c r="CQ343" s="88">
        <v>18400</v>
      </c>
      <c r="CR343" s="88">
        <v>18400</v>
      </c>
      <c r="CS343" s="88">
        <v>18400</v>
      </c>
      <c r="CT343" s="88">
        <v>18400</v>
      </c>
      <c r="CU343" s="88">
        <v>-80.497174328640142</v>
      </c>
      <c r="CV343" s="88">
        <v>-80.525646866981319</v>
      </c>
      <c r="CW343" s="88">
        <v>-80.554139554408891</v>
      </c>
      <c r="CX343" s="88">
        <v>-80.583619303591547</v>
      </c>
      <c r="CY343" s="88">
        <v>-80.613120637606968</v>
      </c>
      <c r="CZ343" s="88">
        <v>-80.642643580168112</v>
      </c>
      <c r="DA343" s="88">
        <v>-80.672188155026703</v>
      </c>
      <c r="DB343" s="88">
        <v>-80.70223925882712</v>
      </c>
      <c r="DC343" s="88">
        <v>-80.731827525274994</v>
      </c>
      <c r="DD343" s="88">
        <v>-80.761437495865977</v>
      </c>
      <c r="DE343" s="88">
        <v>-80.79106919449481</v>
      </c>
      <c r="DF343" s="88">
        <v>-80.820722645084857</v>
      </c>
      <c r="DG343" s="93"/>
      <c r="DH343" s="91"/>
      <c r="DJ343" s="93"/>
      <c r="DK343" s="91"/>
      <c r="DM343" s="93"/>
      <c r="DN343" s="91"/>
      <c r="DP343" s="93"/>
      <c r="DQ343" s="91"/>
    </row>
    <row r="344" spans="1:121" x14ac:dyDescent="0.3">
      <c r="A344" t="s">
        <v>32</v>
      </c>
      <c r="B344" t="s">
        <v>45</v>
      </c>
      <c r="C344" t="s">
        <v>65</v>
      </c>
      <c r="D344" t="s">
        <v>355</v>
      </c>
      <c r="E344" t="s">
        <v>707</v>
      </c>
      <c r="F344" s="86">
        <v>15200</v>
      </c>
      <c r="G344" s="87">
        <v>6</v>
      </c>
      <c r="H344" s="88">
        <v>1.04</v>
      </c>
      <c r="I344" s="88">
        <v>1.04</v>
      </c>
      <c r="J344" s="89">
        <v>0.91399252370532447</v>
      </c>
      <c r="K344" s="88">
        <v>1</v>
      </c>
      <c r="L344" s="88">
        <v>1.006572784939554</v>
      </c>
      <c r="M344" s="88">
        <v>1</v>
      </c>
      <c r="N344" s="90">
        <v>0.56799999999999995</v>
      </c>
      <c r="O344" s="90">
        <v>0.57173334184566693</v>
      </c>
      <c r="P344" s="90">
        <v>0.56820985244791078</v>
      </c>
      <c r="Q344" s="91">
        <v>0</v>
      </c>
      <c r="R344" s="88">
        <v>1</v>
      </c>
      <c r="S344" s="88">
        <v>1.000369458535054</v>
      </c>
      <c r="T344" s="91">
        <v>0</v>
      </c>
      <c r="U344" s="91">
        <v>0</v>
      </c>
      <c r="V344" s="87">
        <v>0</v>
      </c>
      <c r="W344" s="91">
        <v>0</v>
      </c>
      <c r="X344" s="87">
        <v>1</v>
      </c>
      <c r="Y344" s="90">
        <v>0.57173334184566693</v>
      </c>
      <c r="Z344" s="90">
        <v>0.56820985244791078</v>
      </c>
      <c r="AA344" s="92">
        <v>0</v>
      </c>
      <c r="AB344" s="88">
        <v>0</v>
      </c>
      <c r="AC344" s="87">
        <v>1</v>
      </c>
      <c r="AD344" s="87">
        <v>0</v>
      </c>
      <c r="AE344" s="88">
        <v>1.01</v>
      </c>
      <c r="AF344" s="88">
        <v>1.0087961468131059</v>
      </c>
      <c r="AG344" s="88">
        <v>1.018884398493223</v>
      </c>
      <c r="AH344" s="88">
        <v>15808</v>
      </c>
      <c r="AI344" s="88">
        <v>15808</v>
      </c>
      <c r="AJ344" s="88">
        <v>13892.686360320929</v>
      </c>
      <c r="AK344" s="88">
        <v>15200</v>
      </c>
      <c r="AL344" s="88">
        <v>15299.906331081231</v>
      </c>
      <c r="AM344" s="88">
        <v>15200</v>
      </c>
      <c r="AN344" s="88">
        <v>8633.5999999999985</v>
      </c>
      <c r="AO344" s="88">
        <v>8690.3467960541366</v>
      </c>
      <c r="AP344" s="88">
        <v>8636.7897572082438</v>
      </c>
      <c r="AQ344" s="88">
        <v>0</v>
      </c>
      <c r="AR344" s="88">
        <v>15200</v>
      </c>
      <c r="AS344" s="88">
        <v>15205.61576973282</v>
      </c>
      <c r="AT344" s="88">
        <v>8690.3467960541366</v>
      </c>
      <c r="AU344" s="88">
        <v>8636.7897572082438</v>
      </c>
      <c r="AV344" s="88">
        <v>13984</v>
      </c>
      <c r="AW344" s="88">
        <v>13832</v>
      </c>
      <c r="AX344" s="88">
        <v>13984</v>
      </c>
      <c r="AY344" s="88">
        <v>15200</v>
      </c>
      <c r="AZ344" s="88">
        <v>15200</v>
      </c>
      <c r="BA344" s="88">
        <v>15200</v>
      </c>
      <c r="BB344" s="88">
        <v>15200</v>
      </c>
      <c r="BC344" s="88">
        <v>15200</v>
      </c>
      <c r="BD344" s="88">
        <v>15200</v>
      </c>
      <c r="BE344" s="88">
        <v>15200</v>
      </c>
      <c r="BF344" s="88">
        <v>15200</v>
      </c>
      <c r="BG344" s="88">
        <v>15200</v>
      </c>
      <c r="BH344" s="88">
        <v>15200</v>
      </c>
      <c r="BI344" s="88">
        <v>15200</v>
      </c>
      <c r="BJ344" s="88">
        <v>15200</v>
      </c>
      <c r="BK344" s="88">
        <v>747.6077862059808</v>
      </c>
      <c r="BL344" s="88">
        <v>747.50820861239208</v>
      </c>
      <c r="BM344" s="88">
        <v>747.40877296833651</v>
      </c>
      <c r="BN344" s="88">
        <v>133.94818802964801</v>
      </c>
      <c r="BO344" s="88">
        <v>133.8496242415452</v>
      </c>
      <c r="BP344" s="88">
        <v>133.75120540019341</v>
      </c>
      <c r="BQ344" s="88">
        <v>133.652931186084</v>
      </c>
      <c r="BR344" s="88">
        <v>133.55319379415911</v>
      </c>
      <c r="BS344" s="88">
        <v>133.45521023765909</v>
      </c>
      <c r="BT344" s="88">
        <v>133.35737035034191</v>
      </c>
      <c r="BU344" s="88">
        <v>133.2596738164417</v>
      </c>
      <c r="BV344" s="88">
        <v>133.16212032114501</v>
      </c>
      <c r="BW344" s="88">
        <v>608.00000000000057</v>
      </c>
      <c r="BX344" s="88">
        <v>608.00000000000057</v>
      </c>
      <c r="BY344" s="88">
        <v>608.00000000000057</v>
      </c>
      <c r="BZ344" s="88">
        <v>0</v>
      </c>
      <c r="CA344" s="88">
        <v>0</v>
      </c>
      <c r="CB344" s="88">
        <v>0</v>
      </c>
      <c r="CC344" s="88">
        <v>0</v>
      </c>
      <c r="CD344" s="88">
        <v>0</v>
      </c>
      <c r="CE344" s="88">
        <v>0</v>
      </c>
      <c r="CF344" s="88">
        <v>0</v>
      </c>
      <c r="CG344" s="88">
        <v>0</v>
      </c>
      <c r="CH344" s="88">
        <v>0</v>
      </c>
      <c r="CI344" s="88">
        <v>15200</v>
      </c>
      <c r="CJ344" s="88">
        <v>15200</v>
      </c>
      <c r="CK344" s="88">
        <v>15200</v>
      </c>
      <c r="CL344" s="88">
        <v>15200</v>
      </c>
      <c r="CM344" s="88">
        <v>15200</v>
      </c>
      <c r="CN344" s="88">
        <v>15200</v>
      </c>
      <c r="CO344" s="88">
        <v>15200</v>
      </c>
      <c r="CP344" s="88">
        <v>15200</v>
      </c>
      <c r="CQ344" s="88">
        <v>15200</v>
      </c>
      <c r="CR344" s="88">
        <v>15200</v>
      </c>
      <c r="CS344" s="88">
        <v>15200</v>
      </c>
      <c r="CT344" s="88">
        <v>15200</v>
      </c>
      <c r="CU344" s="88">
        <v>134.2382559672881</v>
      </c>
      <c r="CV344" s="88">
        <v>134.14250828114689</v>
      </c>
      <c r="CW344" s="88">
        <v>134.04689708493851</v>
      </c>
      <c r="CX344" s="88">
        <v>133.94818802964801</v>
      </c>
      <c r="CY344" s="88">
        <v>133.8496242415452</v>
      </c>
      <c r="CZ344" s="88">
        <v>133.75120540019341</v>
      </c>
      <c r="DA344" s="88">
        <v>133.652931186084</v>
      </c>
      <c r="DB344" s="88">
        <v>133.55319379415911</v>
      </c>
      <c r="DC344" s="88">
        <v>133.45521023765909</v>
      </c>
      <c r="DD344" s="88">
        <v>133.35737035034191</v>
      </c>
      <c r="DE344" s="88">
        <v>133.2596738164417</v>
      </c>
      <c r="DF344" s="88">
        <v>133.16212032114501</v>
      </c>
      <c r="DG344" s="93">
        <v>46113</v>
      </c>
      <c r="DH344" s="91">
        <v>0.04</v>
      </c>
      <c r="DI344" t="s">
        <v>301</v>
      </c>
      <c r="DJ344" s="93"/>
      <c r="DK344" s="91"/>
      <c r="DM344" s="93"/>
      <c r="DN344" s="91"/>
      <c r="DP344" s="93"/>
      <c r="DQ344" s="91"/>
    </row>
    <row r="345" spans="1:121" x14ac:dyDescent="0.3">
      <c r="A345" t="s">
        <v>32</v>
      </c>
      <c r="B345" t="s">
        <v>45</v>
      </c>
      <c r="C345" t="s">
        <v>66</v>
      </c>
      <c r="D345" t="s">
        <v>357</v>
      </c>
      <c r="E345" t="s">
        <v>708</v>
      </c>
      <c r="F345" s="86">
        <v>12000</v>
      </c>
      <c r="G345" s="87">
        <v>6</v>
      </c>
      <c r="H345" s="88">
        <v>1.05</v>
      </c>
      <c r="I345" s="88">
        <v>1.05</v>
      </c>
      <c r="J345" s="89">
        <v>0.90600747629467537</v>
      </c>
      <c r="K345" s="88">
        <v>1</v>
      </c>
      <c r="L345" s="88">
        <v>1.0154441592055621</v>
      </c>
      <c r="M345" s="88">
        <v>1</v>
      </c>
      <c r="N345" s="90">
        <v>0.59599999999999997</v>
      </c>
      <c r="O345" s="90">
        <v>0.60520471888651506</v>
      </c>
      <c r="P345" s="90">
        <v>0.6090145236521588</v>
      </c>
      <c r="Q345" s="91">
        <v>0</v>
      </c>
      <c r="R345" s="88">
        <v>1</v>
      </c>
      <c r="S345" s="88">
        <v>1.021836449080803</v>
      </c>
      <c r="T345" s="91">
        <v>0</v>
      </c>
      <c r="U345" s="91">
        <v>0</v>
      </c>
      <c r="V345" s="87">
        <v>0</v>
      </c>
      <c r="W345" s="91">
        <v>0</v>
      </c>
      <c r="X345" s="87">
        <v>1</v>
      </c>
      <c r="Y345" s="90">
        <v>0.60520471888651506</v>
      </c>
      <c r="Z345" s="90">
        <v>0.6090145236521588</v>
      </c>
      <c r="AA345" s="92">
        <v>0</v>
      </c>
      <c r="AB345" s="88">
        <v>0</v>
      </c>
      <c r="AC345" s="87">
        <v>1</v>
      </c>
      <c r="AD345" s="87">
        <v>0</v>
      </c>
      <c r="AE345" s="88">
        <v>1.0166666666666671</v>
      </c>
      <c r="AF345" s="88">
        <v>0.99124238763980388</v>
      </c>
      <c r="AG345" s="88">
        <v>1.0077635199237309</v>
      </c>
      <c r="AH345" s="88">
        <v>12600</v>
      </c>
      <c r="AI345" s="88">
        <v>12600</v>
      </c>
      <c r="AJ345" s="88">
        <v>10872.089715536111</v>
      </c>
      <c r="AK345" s="88">
        <v>12000</v>
      </c>
      <c r="AL345" s="88">
        <v>12185.329910466749</v>
      </c>
      <c r="AM345" s="88">
        <v>12000</v>
      </c>
      <c r="AN345" s="88">
        <v>7152</v>
      </c>
      <c r="AO345" s="88">
        <v>7262.4566266381808</v>
      </c>
      <c r="AP345" s="88">
        <v>7308.1742838259061</v>
      </c>
      <c r="AQ345" s="88">
        <v>0</v>
      </c>
      <c r="AR345" s="88">
        <v>12000</v>
      </c>
      <c r="AS345" s="88">
        <v>12262.03738896964</v>
      </c>
      <c r="AT345" s="88">
        <v>7262.4566266381808</v>
      </c>
      <c r="AU345" s="88">
        <v>7308.1742838259061</v>
      </c>
      <c r="AV345" s="88">
        <v>11040</v>
      </c>
      <c r="AW345" s="88">
        <v>10920</v>
      </c>
      <c r="AX345" s="88">
        <v>10800</v>
      </c>
      <c r="AY345" s="88">
        <v>12000</v>
      </c>
      <c r="AZ345" s="88">
        <v>12000</v>
      </c>
      <c r="BA345" s="88">
        <v>12000</v>
      </c>
      <c r="BB345" s="88">
        <v>12000</v>
      </c>
      <c r="BC345" s="88">
        <v>12000</v>
      </c>
      <c r="BD345" s="88">
        <v>12000</v>
      </c>
      <c r="BE345" s="88">
        <v>12000</v>
      </c>
      <c r="BF345" s="88">
        <v>12000</v>
      </c>
      <c r="BG345" s="88">
        <v>12000</v>
      </c>
      <c r="BH345" s="88">
        <v>12000</v>
      </c>
      <c r="BI345" s="88">
        <v>12000</v>
      </c>
      <c r="BJ345" s="88">
        <v>12000</v>
      </c>
      <c r="BK345" s="88">
        <v>490.09308272293953</v>
      </c>
      <c r="BL345" s="88">
        <v>490.01554466100839</v>
      </c>
      <c r="BM345" s="88">
        <v>489.93789711742153</v>
      </c>
      <c r="BN345" s="88">
        <v>489.85750209555778</v>
      </c>
      <c r="BO345" s="88">
        <v>-104.9742956775992</v>
      </c>
      <c r="BP345" s="88">
        <v>-105.0510864872636</v>
      </c>
      <c r="BQ345" s="88">
        <v>-105.12798972721841</v>
      </c>
      <c r="BR345" s="88">
        <v>-105.20626914069631</v>
      </c>
      <c r="BS345" s="88">
        <v>-105.28339983654659</v>
      </c>
      <c r="BT345" s="88">
        <v>-105.3606437102346</v>
      </c>
      <c r="BU345" s="88">
        <v>-105.4380010110489</v>
      </c>
      <c r="BV345" s="88">
        <v>-105.51547198901631</v>
      </c>
      <c r="BW345" s="88">
        <v>600.00000000000057</v>
      </c>
      <c r="BX345" s="88">
        <v>600.00000000000057</v>
      </c>
      <c r="BY345" s="88">
        <v>600.00000000000057</v>
      </c>
      <c r="BZ345" s="88">
        <v>600.00000000000057</v>
      </c>
      <c r="CA345" s="88">
        <v>0</v>
      </c>
      <c r="CB345" s="88">
        <v>0</v>
      </c>
      <c r="CC345" s="88">
        <v>0</v>
      </c>
      <c r="CD345" s="88">
        <v>0</v>
      </c>
      <c r="CE345" s="88">
        <v>0</v>
      </c>
      <c r="CF345" s="88">
        <v>0</v>
      </c>
      <c r="CG345" s="88">
        <v>0</v>
      </c>
      <c r="CH345" s="88">
        <v>0</v>
      </c>
      <c r="CI345" s="88">
        <v>12000</v>
      </c>
      <c r="CJ345" s="88">
        <v>12000</v>
      </c>
      <c r="CK345" s="88">
        <v>12000</v>
      </c>
      <c r="CL345" s="88">
        <v>12000</v>
      </c>
      <c r="CM345" s="88">
        <v>12000</v>
      </c>
      <c r="CN345" s="88">
        <v>12000</v>
      </c>
      <c r="CO345" s="88">
        <v>12000</v>
      </c>
      <c r="CP345" s="88">
        <v>12000</v>
      </c>
      <c r="CQ345" s="88">
        <v>12000</v>
      </c>
      <c r="CR345" s="88">
        <v>12000</v>
      </c>
      <c r="CS345" s="88">
        <v>12000</v>
      </c>
      <c r="CT345" s="88">
        <v>12000</v>
      </c>
      <c r="CU345" s="88">
        <v>-104.6732545495814</v>
      </c>
      <c r="CV345" s="88">
        <v>-104.7471003228497</v>
      </c>
      <c r="CW345" s="88">
        <v>-104.8210503643601</v>
      </c>
      <c r="CX345" s="88">
        <v>-104.8976170518503</v>
      </c>
      <c r="CY345" s="88">
        <v>-104.9742956775992</v>
      </c>
      <c r="CZ345" s="88">
        <v>-105.0510864872636</v>
      </c>
      <c r="DA345" s="88">
        <v>-105.12798972721841</v>
      </c>
      <c r="DB345" s="88">
        <v>-105.20626914069631</v>
      </c>
      <c r="DC345" s="88">
        <v>-105.28339983654659</v>
      </c>
      <c r="DD345" s="88">
        <v>-105.3606437102346</v>
      </c>
      <c r="DE345" s="88">
        <v>-105.4380010110489</v>
      </c>
      <c r="DF345" s="88">
        <v>-105.51547198901631</v>
      </c>
      <c r="DG345" s="93">
        <v>46143</v>
      </c>
      <c r="DH345" s="91">
        <v>0.05</v>
      </c>
      <c r="DI345" t="s">
        <v>301</v>
      </c>
      <c r="DJ345" s="93"/>
      <c r="DK345" s="91"/>
      <c r="DM345" s="93"/>
      <c r="DN345" s="91"/>
      <c r="DP345" s="93"/>
      <c r="DQ345" s="91"/>
    </row>
    <row r="346" spans="1:121" x14ac:dyDescent="0.3">
      <c r="A346" t="s">
        <v>32</v>
      </c>
      <c r="B346" t="s">
        <v>45</v>
      </c>
      <c r="C346" t="s">
        <v>67</v>
      </c>
      <c r="D346" t="s">
        <v>359</v>
      </c>
      <c r="E346" t="s">
        <v>709</v>
      </c>
      <c r="F346" s="86">
        <v>8800</v>
      </c>
      <c r="G346" s="87">
        <v>6</v>
      </c>
      <c r="H346" s="88">
        <v>1</v>
      </c>
      <c r="I346" s="88">
        <v>1.0024999999999999</v>
      </c>
      <c r="J346" s="89">
        <v>0.91199626185266247</v>
      </c>
      <c r="K346" s="88">
        <v>0.99750623441396513</v>
      </c>
      <c r="L346" s="88">
        <v>1.008776064642062</v>
      </c>
      <c r="M346" s="88">
        <v>1</v>
      </c>
      <c r="N346" s="90">
        <v>0.57999999999999996</v>
      </c>
      <c r="O346" s="90">
        <v>0.58363103989266396</v>
      </c>
      <c r="P346" s="90">
        <v>0.56219536977999618</v>
      </c>
      <c r="Q346" s="91">
        <v>0</v>
      </c>
      <c r="R346" s="88">
        <v>0.96385542168674709</v>
      </c>
      <c r="S346" s="88">
        <v>1.00565120025301</v>
      </c>
      <c r="T346" s="91">
        <v>2.4999999999999471E-3</v>
      </c>
      <c r="U346" s="91">
        <v>3.4912718204488602E-2</v>
      </c>
      <c r="V346" s="87">
        <v>0</v>
      </c>
      <c r="W346" s="91">
        <v>0</v>
      </c>
      <c r="X346" s="87">
        <v>1</v>
      </c>
      <c r="Y346" s="90">
        <v>0.58363103989266396</v>
      </c>
      <c r="Z346" s="90">
        <v>0.56219536977999618</v>
      </c>
      <c r="AA346" s="92">
        <v>0</v>
      </c>
      <c r="AB346" s="88">
        <v>0</v>
      </c>
      <c r="AC346" s="87">
        <v>0</v>
      </c>
      <c r="AD346" s="87">
        <v>1</v>
      </c>
      <c r="AE346" s="88">
        <v>1.01</v>
      </c>
      <c r="AF346" s="88">
        <v>1.0043932196204439</v>
      </c>
      <c r="AG346" s="88">
        <v>1.014437079273494</v>
      </c>
      <c r="AH346" s="88">
        <v>8800</v>
      </c>
      <c r="AI346" s="88">
        <v>8822</v>
      </c>
      <c r="AJ346" s="88">
        <v>8025.5671043034299</v>
      </c>
      <c r="AK346" s="88">
        <v>8778.0548628428933</v>
      </c>
      <c r="AL346" s="88">
        <v>8877.2293688501413</v>
      </c>
      <c r="AM346" s="88">
        <v>8800</v>
      </c>
      <c r="AN346" s="88">
        <v>5104</v>
      </c>
      <c r="AO346" s="88">
        <v>5135.9531510554434</v>
      </c>
      <c r="AP346" s="88">
        <v>4947.3192540639666</v>
      </c>
      <c r="AQ346" s="88">
        <v>0</v>
      </c>
      <c r="AR346" s="88">
        <v>8481.9277108433744</v>
      </c>
      <c r="AS346" s="88">
        <v>8849.7305622264903</v>
      </c>
      <c r="AT346" s="88">
        <v>5135.9531510554434</v>
      </c>
      <c r="AU346" s="88">
        <v>4947.3192540639666</v>
      </c>
      <c r="AV346" s="88">
        <v>8096</v>
      </c>
      <c r="AW346" s="88">
        <v>8008</v>
      </c>
      <c r="AX346" s="88">
        <v>8052</v>
      </c>
      <c r="AY346" s="88">
        <v>8800</v>
      </c>
      <c r="AZ346" s="88">
        <v>8800</v>
      </c>
      <c r="BA346" s="88">
        <v>8800</v>
      </c>
      <c r="BB346" s="88">
        <v>8800</v>
      </c>
      <c r="BC346" s="88">
        <v>8800</v>
      </c>
      <c r="BD346" s="88">
        <v>8800</v>
      </c>
      <c r="BE346" s="88">
        <v>8800</v>
      </c>
      <c r="BF346" s="88">
        <v>8800</v>
      </c>
      <c r="BG346" s="88">
        <v>8800</v>
      </c>
      <c r="BH346" s="88">
        <v>8800</v>
      </c>
      <c r="BI346" s="88">
        <v>8800</v>
      </c>
      <c r="BJ346" s="88">
        <v>8800</v>
      </c>
      <c r="BK346" s="88">
        <v>38.737766307068711</v>
      </c>
      <c r="BL346" s="88">
        <v>38.723989101343108</v>
      </c>
      <c r="BM346" s="88">
        <v>38.710221691945357</v>
      </c>
      <c r="BN346" s="88">
        <v>38.695997879672113</v>
      </c>
      <c r="BO346" s="88">
        <v>38.681784516448133</v>
      </c>
      <c r="BP346" s="88">
        <v>38.667581590764399</v>
      </c>
      <c r="BQ346" s="88">
        <v>38.653389091127544</v>
      </c>
      <c r="BR346" s="88">
        <v>38.63897459956469</v>
      </c>
      <c r="BS346" s="88">
        <v>38.624803088060489</v>
      </c>
      <c r="BT346" s="88">
        <v>392.15506764675928</v>
      </c>
      <c r="BU346" s="88">
        <v>392.14035087719179</v>
      </c>
      <c r="BV346" s="88">
        <v>392.12564489102141</v>
      </c>
      <c r="BW346" s="88">
        <v>0</v>
      </c>
      <c r="BX346" s="88">
        <v>0</v>
      </c>
      <c r="BY346" s="88">
        <v>0</v>
      </c>
      <c r="BZ346" s="88">
        <v>0</v>
      </c>
      <c r="CA346" s="88">
        <v>0</v>
      </c>
      <c r="CB346" s="88">
        <v>0</v>
      </c>
      <c r="CC346" s="88">
        <v>0</v>
      </c>
      <c r="CD346" s="88">
        <v>0</v>
      </c>
      <c r="CE346" s="88">
        <v>0</v>
      </c>
      <c r="CF346" s="88">
        <v>352.00000000000028</v>
      </c>
      <c r="CG346" s="88">
        <v>352.00000000000028</v>
      </c>
      <c r="CH346" s="88">
        <v>352.00000000000028</v>
      </c>
      <c r="CI346" s="88">
        <v>8800</v>
      </c>
      <c r="CJ346" s="88">
        <v>8800</v>
      </c>
      <c r="CK346" s="88">
        <v>8800</v>
      </c>
      <c r="CL346" s="88">
        <v>8800</v>
      </c>
      <c r="CM346" s="88">
        <v>8800</v>
      </c>
      <c r="CN346" s="88">
        <v>8800</v>
      </c>
      <c r="CO346" s="88">
        <v>8800</v>
      </c>
      <c r="CP346" s="88">
        <v>8800</v>
      </c>
      <c r="CQ346" s="88">
        <v>8800</v>
      </c>
      <c r="CR346" s="88">
        <v>8800</v>
      </c>
      <c r="CS346" s="88">
        <v>8800</v>
      </c>
      <c r="CT346" s="88">
        <v>8800</v>
      </c>
      <c r="CU346" s="88">
        <v>38.737766307068711</v>
      </c>
      <c r="CV346" s="88">
        <v>38.723989101343108</v>
      </c>
      <c r="CW346" s="88">
        <v>38.710221691945357</v>
      </c>
      <c r="CX346" s="88">
        <v>38.695997879672113</v>
      </c>
      <c r="CY346" s="88">
        <v>38.681784516448133</v>
      </c>
      <c r="CZ346" s="88">
        <v>38.667581590764399</v>
      </c>
      <c r="DA346" s="88">
        <v>38.653389091127544</v>
      </c>
      <c r="DB346" s="88">
        <v>38.63897459956469</v>
      </c>
      <c r="DC346" s="88">
        <v>38.624803088060489</v>
      </c>
      <c r="DD346" s="88">
        <v>38.610641968037029</v>
      </c>
      <c r="DE346" s="88">
        <v>38.596491228069318</v>
      </c>
      <c r="DF346" s="88">
        <v>38.582350856751901</v>
      </c>
      <c r="DG346" s="93">
        <v>46661</v>
      </c>
      <c r="DH346" s="91">
        <v>0.04</v>
      </c>
      <c r="DI346" t="s">
        <v>302</v>
      </c>
      <c r="DJ346" s="93"/>
      <c r="DK346" s="91"/>
      <c r="DM346" s="93"/>
      <c r="DN346" s="91"/>
      <c r="DP346" s="93"/>
      <c r="DQ346" s="91"/>
    </row>
    <row r="347" spans="1:121" x14ac:dyDescent="0.3">
      <c r="A347" t="s">
        <v>32</v>
      </c>
      <c r="B347" t="s">
        <v>45</v>
      </c>
      <c r="C347" t="s">
        <v>73</v>
      </c>
      <c r="D347" t="s">
        <v>361</v>
      </c>
      <c r="E347" t="s">
        <v>710</v>
      </c>
      <c r="F347" s="86">
        <v>19200</v>
      </c>
      <c r="G347" s="87">
        <v>6</v>
      </c>
      <c r="H347" s="88">
        <v>1.02</v>
      </c>
      <c r="I347" s="88">
        <v>1.02</v>
      </c>
      <c r="J347" s="89">
        <v>0.91798504741064912</v>
      </c>
      <c r="K347" s="88">
        <v>0.99999999999999978</v>
      </c>
      <c r="L347" s="88">
        <v>1.002194973213381</v>
      </c>
      <c r="M347" s="88">
        <v>1</v>
      </c>
      <c r="N347" s="90">
        <v>0.56399999999999995</v>
      </c>
      <c r="O347" s="90">
        <v>0.5652379648923469</v>
      </c>
      <c r="P347" s="90">
        <v>0.55834346642527588</v>
      </c>
      <c r="Q347" s="91">
        <v>0</v>
      </c>
      <c r="R347" s="88">
        <v>0.99999999999999978</v>
      </c>
      <c r="S347" s="88">
        <v>0.98997068515119868</v>
      </c>
      <c r="T347" s="91">
        <v>0</v>
      </c>
      <c r="U347" s="91">
        <v>0</v>
      </c>
      <c r="V347" s="87">
        <v>0</v>
      </c>
      <c r="W347" s="91">
        <v>0</v>
      </c>
      <c r="X347" s="87">
        <v>1</v>
      </c>
      <c r="Y347" s="90">
        <v>0.5652379648923469</v>
      </c>
      <c r="Z347" s="90">
        <v>0.55834346642527588</v>
      </c>
      <c r="AA347" s="92">
        <v>0</v>
      </c>
      <c r="AB347" s="88">
        <v>0</v>
      </c>
      <c r="AC347" s="87">
        <v>1</v>
      </c>
      <c r="AD347" s="87">
        <v>0</v>
      </c>
      <c r="AE347" s="88">
        <v>1.01</v>
      </c>
      <c r="AF347" s="88">
        <v>1.0176314239537809</v>
      </c>
      <c r="AG347" s="88">
        <v>1.0278085171090019</v>
      </c>
      <c r="AH347" s="88">
        <v>19584</v>
      </c>
      <c r="AI347" s="88">
        <v>19584</v>
      </c>
      <c r="AJ347" s="88">
        <v>17625.312910284461</v>
      </c>
      <c r="AK347" s="88">
        <v>19200</v>
      </c>
      <c r="AL347" s="88">
        <v>19242.143485696921</v>
      </c>
      <c r="AM347" s="88">
        <v>19200</v>
      </c>
      <c r="AN347" s="88">
        <v>10828.8</v>
      </c>
      <c r="AO347" s="88">
        <v>10852.568925933059</v>
      </c>
      <c r="AP347" s="88">
        <v>10720.1945553653</v>
      </c>
      <c r="AQ347" s="88">
        <v>0</v>
      </c>
      <c r="AR347" s="88">
        <v>19200</v>
      </c>
      <c r="AS347" s="88">
        <v>19007.437154903011</v>
      </c>
      <c r="AT347" s="88">
        <v>10852.568925933059</v>
      </c>
      <c r="AU347" s="88">
        <v>10720.1945553653</v>
      </c>
      <c r="AV347" s="88">
        <v>17664</v>
      </c>
      <c r="AW347" s="88">
        <v>17472</v>
      </c>
      <c r="AX347" s="88">
        <v>17856</v>
      </c>
      <c r="AY347" s="88">
        <v>19200</v>
      </c>
      <c r="AZ347" s="88">
        <v>19200</v>
      </c>
      <c r="BA347" s="88">
        <v>19200</v>
      </c>
      <c r="BB347" s="88">
        <v>19200</v>
      </c>
      <c r="BC347" s="88">
        <v>19200</v>
      </c>
      <c r="BD347" s="88">
        <v>19200</v>
      </c>
      <c r="BE347" s="88">
        <v>19200</v>
      </c>
      <c r="BF347" s="88">
        <v>19200</v>
      </c>
      <c r="BG347" s="88">
        <v>19200</v>
      </c>
      <c r="BH347" s="88">
        <v>19200</v>
      </c>
      <c r="BI347" s="88">
        <v>19200</v>
      </c>
      <c r="BJ347" s="88">
        <v>19200</v>
      </c>
      <c r="BK347" s="88">
        <v>732.07947019867697</v>
      </c>
      <c r="BL347" s="88">
        <v>731.58017067419087</v>
      </c>
      <c r="BM347" s="88">
        <v>731.0823015295</v>
      </c>
      <c r="BN347" s="88">
        <v>730.56905287144923</v>
      </c>
      <c r="BO347" s="88">
        <v>730.05731990704703</v>
      </c>
      <c r="BP347" s="88">
        <v>729.54709593213067</v>
      </c>
      <c r="BQ347" s="88">
        <v>338.27291596273739</v>
      </c>
      <c r="BR347" s="88">
        <v>337.76749566223288</v>
      </c>
      <c r="BS347" s="88">
        <v>337.27169911206261</v>
      </c>
      <c r="BT347" s="88">
        <v>336.7773559517488</v>
      </c>
      <c r="BU347" s="88">
        <v>336.28445979989579</v>
      </c>
      <c r="BV347" s="88">
        <v>335.79300431240711</v>
      </c>
      <c r="BW347" s="88">
        <v>384.00000000000028</v>
      </c>
      <c r="BX347" s="88">
        <v>384.00000000000028</v>
      </c>
      <c r="BY347" s="88">
        <v>384.00000000000028</v>
      </c>
      <c r="BZ347" s="88">
        <v>384.00000000000028</v>
      </c>
      <c r="CA347" s="88">
        <v>384.00000000000028</v>
      </c>
      <c r="CB347" s="88">
        <v>384.00000000000028</v>
      </c>
      <c r="CC347" s="88">
        <v>0</v>
      </c>
      <c r="CD347" s="88">
        <v>0</v>
      </c>
      <c r="CE347" s="88">
        <v>0</v>
      </c>
      <c r="CF347" s="88">
        <v>0</v>
      </c>
      <c r="CG347" s="88">
        <v>0</v>
      </c>
      <c r="CH347" s="88">
        <v>0</v>
      </c>
      <c r="CI347" s="88">
        <v>19200</v>
      </c>
      <c r="CJ347" s="88">
        <v>19200</v>
      </c>
      <c r="CK347" s="88">
        <v>19200</v>
      </c>
      <c r="CL347" s="88">
        <v>19200</v>
      </c>
      <c r="CM347" s="88">
        <v>19200</v>
      </c>
      <c r="CN347" s="88">
        <v>19200</v>
      </c>
      <c r="CO347" s="88">
        <v>19200</v>
      </c>
      <c r="CP347" s="88">
        <v>19200</v>
      </c>
      <c r="CQ347" s="88">
        <v>19200</v>
      </c>
      <c r="CR347" s="88">
        <v>19200</v>
      </c>
      <c r="CS347" s="88">
        <v>19200</v>
      </c>
      <c r="CT347" s="88">
        <v>19200</v>
      </c>
      <c r="CU347" s="88">
        <v>341.25438254772291</v>
      </c>
      <c r="CV347" s="88">
        <v>340.76487320998871</v>
      </c>
      <c r="CW347" s="88">
        <v>340.2767662053904</v>
      </c>
      <c r="CX347" s="88">
        <v>339.77358124651721</v>
      </c>
      <c r="CY347" s="88">
        <v>339.27188226181221</v>
      </c>
      <c r="CZ347" s="88">
        <v>338.77166267855762</v>
      </c>
      <c r="DA347" s="88">
        <v>338.27291596273739</v>
      </c>
      <c r="DB347" s="88">
        <v>337.76749566223288</v>
      </c>
      <c r="DC347" s="88">
        <v>337.27169911206261</v>
      </c>
      <c r="DD347" s="88">
        <v>336.7773559517488</v>
      </c>
      <c r="DE347" s="88">
        <v>336.28445979989579</v>
      </c>
      <c r="DF347" s="88">
        <v>335.79300431240711</v>
      </c>
      <c r="DG347" s="93">
        <v>46204</v>
      </c>
      <c r="DH347" s="91">
        <v>0.02</v>
      </c>
      <c r="DI347" t="s">
        <v>301</v>
      </c>
      <c r="DJ347" s="93"/>
      <c r="DK347" s="91"/>
      <c r="DM347" s="93"/>
      <c r="DN347" s="91"/>
      <c r="DP347" s="93"/>
      <c r="DQ347" s="91"/>
    </row>
    <row r="348" spans="1:121" x14ac:dyDescent="0.3">
      <c r="A348" t="s">
        <v>32</v>
      </c>
      <c r="B348" t="s">
        <v>45</v>
      </c>
      <c r="C348" t="s">
        <v>78</v>
      </c>
      <c r="D348" t="s">
        <v>363</v>
      </c>
      <c r="E348" t="s">
        <v>711</v>
      </c>
      <c r="F348" s="86">
        <v>16000</v>
      </c>
      <c r="G348" s="87">
        <v>6</v>
      </c>
      <c r="H348" s="88">
        <v>1.03</v>
      </c>
      <c r="I348" s="88">
        <v>1.0297916666666671</v>
      </c>
      <c r="J348" s="89">
        <v>0.90999999999999981</v>
      </c>
      <c r="K348" s="88">
        <v>1.000202306291726</v>
      </c>
      <c r="L348" s="88">
        <v>1.0109890109890109</v>
      </c>
      <c r="M348" s="88">
        <v>1</v>
      </c>
      <c r="N348" s="90">
        <v>0.59199999999999997</v>
      </c>
      <c r="O348" s="90">
        <v>0.59862657593266544</v>
      </c>
      <c r="P348" s="90">
        <v>0.59850549450549462</v>
      </c>
      <c r="Q348" s="91">
        <v>0</v>
      </c>
      <c r="R348" s="88">
        <v>1</v>
      </c>
      <c r="S348" s="88">
        <v>1.0109890109890109</v>
      </c>
      <c r="T348" s="91">
        <v>-2.022653721680534E-4</v>
      </c>
      <c r="U348" s="91">
        <v>2.023062917255736E-4</v>
      </c>
      <c r="V348" s="87">
        <v>0</v>
      </c>
      <c r="W348" s="91">
        <v>0</v>
      </c>
      <c r="X348" s="87">
        <v>1</v>
      </c>
      <c r="Y348" s="90">
        <v>0.59862657593266544</v>
      </c>
      <c r="Z348" s="90">
        <v>0.59850549450549462</v>
      </c>
      <c r="AA348" s="92">
        <v>0</v>
      </c>
      <c r="AB348" s="88">
        <v>0</v>
      </c>
      <c r="AC348" s="87">
        <v>1</v>
      </c>
      <c r="AD348" s="87">
        <v>0</v>
      </c>
      <c r="AE348" s="88">
        <v>1.0175000000000001</v>
      </c>
      <c r="AF348" s="88">
        <v>1</v>
      </c>
      <c r="AG348" s="88">
        <v>1.0175000000000001</v>
      </c>
      <c r="AH348" s="88">
        <v>16480</v>
      </c>
      <c r="AI348" s="88">
        <v>16476.666666666672</v>
      </c>
      <c r="AJ348" s="88">
        <v>14560</v>
      </c>
      <c r="AK348" s="88">
        <v>16003.236900667611</v>
      </c>
      <c r="AL348" s="88">
        <v>16175.82417582418</v>
      </c>
      <c r="AM348" s="88">
        <v>16000</v>
      </c>
      <c r="AN348" s="88">
        <v>9472</v>
      </c>
      <c r="AO348" s="88">
        <v>9578.0252149226471</v>
      </c>
      <c r="AP348" s="88">
        <v>9576.0879120879144</v>
      </c>
      <c r="AQ348" s="88">
        <v>0</v>
      </c>
      <c r="AR348" s="88">
        <v>16000</v>
      </c>
      <c r="AS348" s="88">
        <v>16175.82417582418</v>
      </c>
      <c r="AT348" s="88">
        <v>9578.0252149226471</v>
      </c>
      <c r="AU348" s="88">
        <v>9576.0879120879144</v>
      </c>
      <c r="AV348" s="88">
        <v>14720</v>
      </c>
      <c r="AW348" s="88">
        <v>14560</v>
      </c>
      <c r="AX348" s="88">
        <v>14560</v>
      </c>
      <c r="AY348" s="88">
        <v>16000</v>
      </c>
      <c r="AZ348" s="88">
        <v>16000</v>
      </c>
      <c r="BA348" s="88">
        <v>16000</v>
      </c>
      <c r="BB348" s="88">
        <v>16000</v>
      </c>
      <c r="BC348" s="88">
        <v>16000</v>
      </c>
      <c r="BD348" s="88">
        <v>16000</v>
      </c>
      <c r="BE348" s="88">
        <v>16000</v>
      </c>
      <c r="BF348" s="88">
        <v>16000</v>
      </c>
      <c r="BG348" s="88">
        <v>16000</v>
      </c>
      <c r="BH348" s="88">
        <v>16000</v>
      </c>
      <c r="BI348" s="88">
        <v>16000</v>
      </c>
      <c r="BJ348" s="88">
        <v>16000</v>
      </c>
      <c r="BK348" s="88">
        <v>480.00000000000051</v>
      </c>
      <c r="BL348" s="88">
        <v>480.00000000000051</v>
      </c>
      <c r="BM348" s="88">
        <v>480.00000000000051</v>
      </c>
      <c r="BN348" s="88">
        <v>480.00000000000051</v>
      </c>
      <c r="BO348" s="88">
        <v>480.00000000000051</v>
      </c>
      <c r="BP348" s="88">
        <v>480.00000000000051</v>
      </c>
      <c r="BQ348" s="88">
        <v>480.00000000000051</v>
      </c>
      <c r="BR348" s="88">
        <v>0</v>
      </c>
      <c r="BS348" s="88">
        <v>0</v>
      </c>
      <c r="BT348" s="88">
        <v>0</v>
      </c>
      <c r="BU348" s="88">
        <v>0</v>
      </c>
      <c r="BV348" s="88">
        <v>0</v>
      </c>
      <c r="BW348" s="88">
        <v>480.00000000000051</v>
      </c>
      <c r="BX348" s="88">
        <v>480.00000000000051</v>
      </c>
      <c r="BY348" s="88">
        <v>480.00000000000051</v>
      </c>
      <c r="BZ348" s="88">
        <v>480.00000000000051</v>
      </c>
      <c r="CA348" s="88">
        <v>480.00000000000051</v>
      </c>
      <c r="CB348" s="88">
        <v>480.00000000000051</v>
      </c>
      <c r="CC348" s="88">
        <v>480.00000000000051</v>
      </c>
      <c r="CD348" s="88">
        <v>0</v>
      </c>
      <c r="CE348" s="88">
        <v>0</v>
      </c>
      <c r="CF348" s="88">
        <v>0</v>
      </c>
      <c r="CG348" s="88">
        <v>0</v>
      </c>
      <c r="CH348" s="88">
        <v>0</v>
      </c>
      <c r="CI348" s="88">
        <v>16000</v>
      </c>
      <c r="CJ348" s="88">
        <v>16000</v>
      </c>
      <c r="CK348" s="88">
        <v>16000</v>
      </c>
      <c r="CL348" s="88">
        <v>16000</v>
      </c>
      <c r="CM348" s="88">
        <v>16000</v>
      </c>
      <c r="CN348" s="88">
        <v>16000</v>
      </c>
      <c r="CO348" s="88">
        <v>16000</v>
      </c>
      <c r="CP348" s="88">
        <v>16000</v>
      </c>
      <c r="CQ348" s="88">
        <v>16000</v>
      </c>
      <c r="CR348" s="88">
        <v>16000</v>
      </c>
      <c r="CS348" s="88">
        <v>16000</v>
      </c>
      <c r="CT348" s="88">
        <v>16000</v>
      </c>
      <c r="CU348" s="88">
        <v>0</v>
      </c>
      <c r="CV348" s="88">
        <v>0</v>
      </c>
      <c r="CW348" s="88">
        <v>0</v>
      </c>
      <c r="CX348" s="88">
        <v>0</v>
      </c>
      <c r="CY348" s="88">
        <v>0</v>
      </c>
      <c r="CZ348" s="88">
        <v>0</v>
      </c>
      <c r="DA348" s="88">
        <v>0</v>
      </c>
      <c r="DB348" s="88">
        <v>0</v>
      </c>
      <c r="DC348" s="88">
        <v>0</v>
      </c>
      <c r="DD348" s="88">
        <v>0</v>
      </c>
      <c r="DE348" s="88">
        <v>0</v>
      </c>
      <c r="DF348" s="88">
        <v>0</v>
      </c>
      <c r="DG348" s="93">
        <v>46235</v>
      </c>
      <c r="DH348" s="91">
        <v>0.03</v>
      </c>
      <c r="DI348" t="s">
        <v>301</v>
      </c>
      <c r="DJ348" s="93"/>
      <c r="DK348" s="91"/>
      <c r="DM348" s="93"/>
      <c r="DN348" s="91"/>
      <c r="DP348" s="93"/>
      <c r="DQ348" s="91"/>
    </row>
    <row r="349" spans="1:121" x14ac:dyDescent="0.3">
      <c r="A349" t="s">
        <v>32</v>
      </c>
      <c r="B349" t="s">
        <v>45</v>
      </c>
      <c r="C349" t="s">
        <v>80</v>
      </c>
      <c r="D349" t="s">
        <v>365</v>
      </c>
      <c r="E349" t="s">
        <v>712</v>
      </c>
      <c r="F349" s="86">
        <v>12800</v>
      </c>
      <c r="G349" s="87">
        <v>6</v>
      </c>
      <c r="H349" s="88">
        <v>1</v>
      </c>
      <c r="I349" s="88">
        <v>1</v>
      </c>
      <c r="J349" s="89">
        <v>0.91598878555798668</v>
      </c>
      <c r="K349" s="88">
        <v>1</v>
      </c>
      <c r="L349" s="88">
        <v>1.0043791086804299</v>
      </c>
      <c r="M349" s="88">
        <v>1</v>
      </c>
      <c r="N349" s="90">
        <v>0.57599999999999996</v>
      </c>
      <c r="O349" s="90">
        <v>0.57852236659992762</v>
      </c>
      <c r="P349" s="90">
        <v>0.5732023144417896</v>
      </c>
      <c r="Q349" s="91">
        <v>0</v>
      </c>
      <c r="R349" s="88">
        <v>1</v>
      </c>
      <c r="S349" s="88">
        <v>0.99514290701699581</v>
      </c>
      <c r="T349" s="91">
        <v>0</v>
      </c>
      <c r="U349" s="91">
        <v>0</v>
      </c>
      <c r="V349" s="87">
        <v>0</v>
      </c>
      <c r="W349" s="91">
        <v>0</v>
      </c>
      <c r="X349" s="87">
        <v>1</v>
      </c>
      <c r="Y349" s="90">
        <v>0.57852236659992762</v>
      </c>
      <c r="Z349" s="90">
        <v>0.5732023144417896</v>
      </c>
      <c r="AA349" s="92">
        <v>0</v>
      </c>
      <c r="AB349" s="88">
        <v>0</v>
      </c>
      <c r="AC349" s="87">
        <v>0</v>
      </c>
      <c r="AD349" s="87">
        <v>0</v>
      </c>
      <c r="AE349" s="88">
        <v>1</v>
      </c>
      <c r="AF349" s="88">
        <v>1.0132088564102011</v>
      </c>
      <c r="AG349" s="88">
        <v>1.0132088564102011</v>
      </c>
      <c r="AH349" s="88">
        <v>12800</v>
      </c>
      <c r="AI349" s="88">
        <v>12800</v>
      </c>
      <c r="AJ349" s="88">
        <v>11724.656455142231</v>
      </c>
      <c r="AK349" s="88">
        <v>12800</v>
      </c>
      <c r="AL349" s="88">
        <v>12856.052591109499</v>
      </c>
      <c r="AM349" s="88">
        <v>12800</v>
      </c>
      <c r="AN349" s="88">
        <v>7372.7999999999993</v>
      </c>
      <c r="AO349" s="88">
        <v>7405.0862924790736</v>
      </c>
      <c r="AP349" s="88">
        <v>7336.9896248549067</v>
      </c>
      <c r="AQ349" s="88">
        <v>0</v>
      </c>
      <c r="AR349" s="88">
        <v>12800</v>
      </c>
      <c r="AS349" s="88">
        <v>12737.82920981755</v>
      </c>
      <c r="AT349" s="88">
        <v>7405.0862924790736</v>
      </c>
      <c r="AU349" s="88">
        <v>7336.9896248549067</v>
      </c>
      <c r="AV349" s="88">
        <v>11776</v>
      </c>
      <c r="AW349" s="88">
        <v>11648</v>
      </c>
      <c r="AX349" s="88">
        <v>11840</v>
      </c>
      <c r="AY349" s="88">
        <v>12800</v>
      </c>
      <c r="AZ349" s="88">
        <v>12800</v>
      </c>
      <c r="BA349" s="88">
        <v>12800</v>
      </c>
      <c r="BB349" s="88">
        <v>12800</v>
      </c>
      <c r="BC349" s="88">
        <v>12800</v>
      </c>
      <c r="BD349" s="88">
        <v>12800</v>
      </c>
      <c r="BE349" s="88">
        <v>12800</v>
      </c>
      <c r="BF349" s="88">
        <v>12800</v>
      </c>
      <c r="BG349" s="88">
        <v>12800</v>
      </c>
      <c r="BH349" s="88">
        <v>12800</v>
      </c>
      <c r="BI349" s="88">
        <v>12800</v>
      </c>
      <c r="BJ349" s="88">
        <v>12800</v>
      </c>
      <c r="BK349" s="88">
        <v>170.09399100744531</v>
      </c>
      <c r="BL349" s="88">
        <v>169.91150442478039</v>
      </c>
      <c r="BM349" s="88">
        <v>169.72940898660059</v>
      </c>
      <c r="BN349" s="88">
        <v>169.54155074392361</v>
      </c>
      <c r="BO349" s="88">
        <v>169.35410788832999</v>
      </c>
      <c r="BP349" s="88">
        <v>169.16707904360629</v>
      </c>
      <c r="BQ349" s="88">
        <v>168.9804628396104</v>
      </c>
      <c r="BR349" s="88">
        <v>168.79120879121101</v>
      </c>
      <c r="BS349" s="88">
        <v>168.60542049104481</v>
      </c>
      <c r="BT349" s="88">
        <v>168.420040735154</v>
      </c>
      <c r="BU349" s="88">
        <v>168.23506817745229</v>
      </c>
      <c r="BV349" s="88">
        <v>168.05050147775381</v>
      </c>
      <c r="BW349" s="88">
        <v>0</v>
      </c>
      <c r="BX349" s="88">
        <v>0</v>
      </c>
      <c r="BY349" s="88">
        <v>0</v>
      </c>
      <c r="BZ349" s="88">
        <v>0</v>
      </c>
      <c r="CA349" s="88">
        <v>0</v>
      </c>
      <c r="CB349" s="88">
        <v>0</v>
      </c>
      <c r="CC349" s="88">
        <v>0</v>
      </c>
      <c r="CD349" s="88">
        <v>0</v>
      </c>
      <c r="CE349" s="88">
        <v>0</v>
      </c>
      <c r="CF349" s="88">
        <v>0</v>
      </c>
      <c r="CG349" s="88">
        <v>0</v>
      </c>
      <c r="CH349" s="88">
        <v>0</v>
      </c>
      <c r="CI349" s="88">
        <v>12800</v>
      </c>
      <c r="CJ349" s="88">
        <v>12800</v>
      </c>
      <c r="CK349" s="88">
        <v>12800</v>
      </c>
      <c r="CL349" s="88">
        <v>12800</v>
      </c>
      <c r="CM349" s="88">
        <v>12800</v>
      </c>
      <c r="CN349" s="88">
        <v>12800</v>
      </c>
      <c r="CO349" s="88">
        <v>12800</v>
      </c>
      <c r="CP349" s="88">
        <v>12800</v>
      </c>
      <c r="CQ349" s="88">
        <v>12800</v>
      </c>
      <c r="CR349" s="88">
        <v>12800</v>
      </c>
      <c r="CS349" s="88">
        <v>12800</v>
      </c>
      <c r="CT349" s="88">
        <v>12800</v>
      </c>
      <c r="CU349" s="88">
        <v>170.09399100744531</v>
      </c>
      <c r="CV349" s="88">
        <v>169.91150442478039</v>
      </c>
      <c r="CW349" s="88">
        <v>169.72940898660059</v>
      </c>
      <c r="CX349" s="88">
        <v>169.54155074392361</v>
      </c>
      <c r="CY349" s="88">
        <v>169.35410788832999</v>
      </c>
      <c r="CZ349" s="88">
        <v>169.16707904360629</v>
      </c>
      <c r="DA349" s="88">
        <v>168.9804628396104</v>
      </c>
      <c r="DB349" s="88">
        <v>168.79120879121101</v>
      </c>
      <c r="DC349" s="88">
        <v>168.60542049104481</v>
      </c>
      <c r="DD349" s="88">
        <v>168.420040735154</v>
      </c>
      <c r="DE349" s="88">
        <v>168.23506817745229</v>
      </c>
      <c r="DF349" s="88">
        <v>168.05050147775381</v>
      </c>
      <c r="DG349" s="93"/>
      <c r="DH349" s="91"/>
      <c r="DJ349" s="93"/>
      <c r="DK349" s="91"/>
      <c r="DM349" s="93"/>
      <c r="DN349" s="91"/>
      <c r="DP349" s="93"/>
      <c r="DQ349" s="91"/>
    </row>
    <row r="350" spans="1:121" x14ac:dyDescent="0.3">
      <c r="A350" t="s">
        <v>32</v>
      </c>
      <c r="B350" t="s">
        <v>45</v>
      </c>
      <c r="C350" t="s">
        <v>82</v>
      </c>
      <c r="D350" t="s">
        <v>367</v>
      </c>
      <c r="E350" t="s">
        <v>713</v>
      </c>
      <c r="F350" s="86">
        <v>9600</v>
      </c>
      <c r="G350" s="87">
        <v>6</v>
      </c>
      <c r="H350" s="88">
        <v>1.05</v>
      </c>
      <c r="I350" s="88">
        <v>1.0678749999999999</v>
      </c>
      <c r="J350" s="89">
        <v>0.9080037381473377</v>
      </c>
      <c r="K350" s="88">
        <v>0.98326114947910559</v>
      </c>
      <c r="L350" s="88">
        <v>1.0132116877372539</v>
      </c>
      <c r="M350" s="88">
        <v>1</v>
      </c>
      <c r="N350" s="90">
        <v>0.56000000000000005</v>
      </c>
      <c r="O350" s="90">
        <v>0.55790094570011051</v>
      </c>
      <c r="P350" s="90">
        <v>0.54728357832571517</v>
      </c>
      <c r="Q350" s="91">
        <v>0</v>
      </c>
      <c r="R350" s="88">
        <v>0.96153846153846134</v>
      </c>
      <c r="S350" s="88">
        <v>1.0163837883191851</v>
      </c>
      <c r="T350" s="91">
        <v>1.7023809523809549E-2</v>
      </c>
      <c r="U350" s="91">
        <v>2.2591595458270049E-2</v>
      </c>
      <c r="V350" s="87">
        <v>0</v>
      </c>
      <c r="W350" s="91">
        <v>0</v>
      </c>
      <c r="X350" s="87">
        <v>1</v>
      </c>
      <c r="Y350" s="90">
        <v>0.55790094570011051</v>
      </c>
      <c r="Z350" s="90">
        <v>0.54728357832571517</v>
      </c>
      <c r="AA350" s="92">
        <v>0</v>
      </c>
      <c r="AB350" s="88">
        <v>0</v>
      </c>
      <c r="AC350" s="87">
        <v>1</v>
      </c>
      <c r="AD350" s="87">
        <v>1</v>
      </c>
      <c r="AE350" s="88">
        <v>1.0685</v>
      </c>
      <c r="AF350" s="88">
        <v>0.99561641381999111</v>
      </c>
      <c r="AG350" s="88">
        <v>1.0638161566825399</v>
      </c>
      <c r="AH350" s="88">
        <v>10080</v>
      </c>
      <c r="AI350" s="88">
        <v>10251.6</v>
      </c>
      <c r="AJ350" s="88">
        <v>8716.8358862144414</v>
      </c>
      <c r="AK350" s="88">
        <v>9439.3070349994141</v>
      </c>
      <c r="AL350" s="88">
        <v>9726.832202277641</v>
      </c>
      <c r="AM350" s="88">
        <v>9600</v>
      </c>
      <c r="AN350" s="88">
        <v>5376.0000000000009</v>
      </c>
      <c r="AO350" s="88">
        <v>5355.8490787210612</v>
      </c>
      <c r="AP350" s="88">
        <v>5253.9223519268653</v>
      </c>
      <c r="AQ350" s="88">
        <v>0</v>
      </c>
      <c r="AR350" s="88">
        <v>9230.7692307692287</v>
      </c>
      <c r="AS350" s="88">
        <v>9757.2843678641784</v>
      </c>
      <c r="AT350" s="88">
        <v>5355.8490787210612</v>
      </c>
      <c r="AU350" s="88">
        <v>5253.9223519268653</v>
      </c>
      <c r="AV350" s="88">
        <v>8832</v>
      </c>
      <c r="AW350" s="88">
        <v>8736</v>
      </c>
      <c r="AX350" s="88">
        <v>8688</v>
      </c>
      <c r="AY350" s="88">
        <v>9600</v>
      </c>
      <c r="AZ350" s="88">
        <v>9600</v>
      </c>
      <c r="BA350" s="88">
        <v>9600</v>
      </c>
      <c r="BB350" s="88">
        <v>9600</v>
      </c>
      <c r="BC350" s="88">
        <v>9600</v>
      </c>
      <c r="BD350" s="88">
        <v>9600</v>
      </c>
      <c r="BE350" s="88">
        <v>9600</v>
      </c>
      <c r="BF350" s="88">
        <v>9600</v>
      </c>
      <c r="BG350" s="88">
        <v>9600</v>
      </c>
      <c r="BH350" s="88">
        <v>9600</v>
      </c>
      <c r="BI350" s="88">
        <v>9600</v>
      </c>
      <c r="BJ350" s="88">
        <v>9600</v>
      </c>
      <c r="BK350" s="88">
        <v>435.90154797648489</v>
      </c>
      <c r="BL350" s="88">
        <v>435.88594997721941</v>
      </c>
      <c r="BM350" s="88">
        <v>435.87034093975842</v>
      </c>
      <c r="BN350" s="88">
        <v>837.28835881068517</v>
      </c>
      <c r="BO350" s="88">
        <v>837.27155074629638</v>
      </c>
      <c r="BP350" s="88">
        <v>837.25473037067388</v>
      </c>
      <c r="BQ350" s="88">
        <v>837.23789767028404</v>
      </c>
      <c r="BR350" s="88">
        <v>837.22077638053702</v>
      </c>
      <c r="BS350" s="88">
        <v>837.20391878734051</v>
      </c>
      <c r="BT350" s="88">
        <v>340.178141741373</v>
      </c>
      <c r="BU350" s="88">
        <v>340.16206332403198</v>
      </c>
      <c r="BV350" s="88">
        <v>340.14597310388478</v>
      </c>
      <c r="BW350" s="88">
        <v>480.00000000000051</v>
      </c>
      <c r="BX350" s="88">
        <v>480.00000000000051</v>
      </c>
      <c r="BY350" s="88">
        <v>480.00000000000051</v>
      </c>
      <c r="BZ350" s="88">
        <v>883.20000000000073</v>
      </c>
      <c r="CA350" s="88">
        <v>883.20000000000073</v>
      </c>
      <c r="CB350" s="88">
        <v>883.20000000000073</v>
      </c>
      <c r="CC350" s="88">
        <v>883.20000000000073</v>
      </c>
      <c r="CD350" s="88">
        <v>883.20000000000073</v>
      </c>
      <c r="CE350" s="88">
        <v>883.20000000000073</v>
      </c>
      <c r="CF350" s="88">
        <v>384.00000000000028</v>
      </c>
      <c r="CG350" s="88">
        <v>384.00000000000028</v>
      </c>
      <c r="CH350" s="88">
        <v>384.00000000000028</v>
      </c>
      <c r="CI350" s="88">
        <v>9600</v>
      </c>
      <c r="CJ350" s="88">
        <v>9600</v>
      </c>
      <c r="CK350" s="88">
        <v>9600</v>
      </c>
      <c r="CL350" s="88">
        <v>9600</v>
      </c>
      <c r="CM350" s="88">
        <v>9600</v>
      </c>
      <c r="CN350" s="88">
        <v>9600</v>
      </c>
      <c r="CO350" s="88">
        <v>9600</v>
      </c>
      <c r="CP350" s="88">
        <v>9600</v>
      </c>
      <c r="CQ350" s="88">
        <v>9600</v>
      </c>
      <c r="CR350" s="88">
        <v>9600</v>
      </c>
      <c r="CS350" s="88">
        <v>9600</v>
      </c>
      <c r="CT350" s="88">
        <v>9600</v>
      </c>
      <c r="CU350" s="88">
        <v>-41.998525736681813</v>
      </c>
      <c r="CV350" s="88">
        <v>-42.013380974077208</v>
      </c>
      <c r="CW350" s="88">
        <v>-42.02824672403942</v>
      </c>
      <c r="CX350" s="88">
        <v>-42.043627462743423</v>
      </c>
      <c r="CY350" s="88">
        <v>-42.05901946309929</v>
      </c>
      <c r="CZ350" s="88">
        <v>-42.074422737479011</v>
      </c>
      <c r="DA350" s="88">
        <v>-42.089837298274801</v>
      </c>
      <c r="DB350" s="88">
        <v>-42.105516135040233</v>
      </c>
      <c r="DC350" s="88">
        <v>-42.120953491447821</v>
      </c>
      <c r="DD350" s="88">
        <v>-42.13640217175616</v>
      </c>
      <c r="DE350" s="88">
        <v>-42.151862188432077</v>
      </c>
      <c r="DF350" s="88">
        <v>-42.16733355395732</v>
      </c>
      <c r="DG350" s="93">
        <v>46296</v>
      </c>
      <c r="DH350" s="91">
        <v>0.05</v>
      </c>
      <c r="DI350" t="s">
        <v>301</v>
      </c>
      <c r="DJ350" s="93">
        <v>46478</v>
      </c>
      <c r="DK350" s="91">
        <v>0.04</v>
      </c>
      <c r="DL350" t="s">
        <v>302</v>
      </c>
      <c r="DM350" s="93"/>
      <c r="DN350" s="91"/>
      <c r="DP350" s="93"/>
      <c r="DQ350" s="91"/>
    </row>
    <row r="351" spans="1:121" x14ac:dyDescent="0.3">
      <c r="A351" t="s">
        <v>32</v>
      </c>
      <c r="B351" t="s">
        <v>45</v>
      </c>
      <c r="C351" t="s">
        <v>85</v>
      </c>
      <c r="D351" t="s">
        <v>369</v>
      </c>
      <c r="E351" t="s">
        <v>714</v>
      </c>
      <c r="F351" s="86">
        <v>6400</v>
      </c>
      <c r="G351" s="87">
        <v>6</v>
      </c>
      <c r="H351" s="88">
        <v>1.06</v>
      </c>
      <c r="I351" s="88">
        <v>1.053333333333333</v>
      </c>
      <c r="J351" s="89">
        <v>0.91399252370532447</v>
      </c>
      <c r="K351" s="88">
        <v>1.0063291139240511</v>
      </c>
      <c r="L351" s="88">
        <v>1.006572784939554</v>
      </c>
      <c r="M351" s="88">
        <v>1</v>
      </c>
      <c r="N351" s="90">
        <v>0.58799999999999997</v>
      </c>
      <c r="O351" s="90">
        <v>0.59561077727575185</v>
      </c>
      <c r="P351" s="90">
        <v>0.58821724161861155</v>
      </c>
      <c r="Q351" s="91">
        <v>0</v>
      </c>
      <c r="R351" s="88">
        <v>0.99999999999999978</v>
      </c>
      <c r="S351" s="88">
        <v>1.000369458535054</v>
      </c>
      <c r="T351" s="91">
        <v>-6.2893081761005174E-3</v>
      </c>
      <c r="U351" s="91">
        <v>6.3291139240508887E-3</v>
      </c>
      <c r="V351" s="87">
        <v>0</v>
      </c>
      <c r="W351" s="91">
        <v>0</v>
      </c>
      <c r="X351" s="87">
        <v>1</v>
      </c>
      <c r="Y351" s="90">
        <v>0.59561077727575185</v>
      </c>
      <c r="Z351" s="90">
        <v>0.58821724161861155</v>
      </c>
      <c r="AA351" s="92">
        <v>0</v>
      </c>
      <c r="AB351" s="88">
        <v>0</v>
      </c>
      <c r="AC351" s="87">
        <v>1</v>
      </c>
      <c r="AD351" s="87">
        <v>0</v>
      </c>
      <c r="AE351" s="88">
        <v>1.05</v>
      </c>
      <c r="AF351" s="88">
        <v>1.0087961468131059</v>
      </c>
      <c r="AG351" s="88">
        <v>1.059236276873821</v>
      </c>
      <c r="AH351" s="88">
        <v>6784</v>
      </c>
      <c r="AI351" s="88">
        <v>6741.3333333333339</v>
      </c>
      <c r="AJ351" s="88">
        <v>5849.5521517140769</v>
      </c>
      <c r="AK351" s="88">
        <v>6440.506329113924</v>
      </c>
      <c r="AL351" s="88">
        <v>6442.0658236131476</v>
      </c>
      <c r="AM351" s="88">
        <v>6400</v>
      </c>
      <c r="AN351" s="88">
        <v>3763.2</v>
      </c>
      <c r="AO351" s="88">
        <v>3811.9089745648121</v>
      </c>
      <c r="AP351" s="88">
        <v>3764.5903463591139</v>
      </c>
      <c r="AQ351" s="88">
        <v>0</v>
      </c>
      <c r="AR351" s="88">
        <v>6399.9999999999982</v>
      </c>
      <c r="AS351" s="88">
        <v>6402.3645346243457</v>
      </c>
      <c r="AT351" s="88">
        <v>3811.9089745648121</v>
      </c>
      <c r="AU351" s="88">
        <v>3764.5903463591139</v>
      </c>
      <c r="AV351" s="88">
        <v>5888</v>
      </c>
      <c r="AW351" s="88">
        <v>5824</v>
      </c>
      <c r="AX351" s="88">
        <v>5888</v>
      </c>
      <c r="AY351" s="88">
        <v>6400</v>
      </c>
      <c r="AZ351" s="88">
        <v>6400</v>
      </c>
      <c r="BA351" s="88">
        <v>6400</v>
      </c>
      <c r="BB351" s="88">
        <v>6400</v>
      </c>
      <c r="BC351" s="88">
        <v>6400</v>
      </c>
      <c r="BD351" s="88">
        <v>6400</v>
      </c>
      <c r="BE351" s="88">
        <v>6400</v>
      </c>
      <c r="BF351" s="88">
        <v>6400</v>
      </c>
      <c r="BG351" s="88">
        <v>6400</v>
      </c>
      <c r="BH351" s="88">
        <v>6400</v>
      </c>
      <c r="BI351" s="88">
        <v>6400</v>
      </c>
      <c r="BJ351" s="88">
        <v>6400</v>
      </c>
      <c r="BK351" s="88">
        <v>443.91265318961081</v>
      </c>
      <c r="BL351" s="88">
        <v>443.86991948548058</v>
      </c>
      <c r="BM351" s="88">
        <v>443.82724669896311</v>
      </c>
      <c r="BN351" s="88">
        <v>443.78319128902177</v>
      </c>
      <c r="BO351" s="88">
        <v>443.7392007141213</v>
      </c>
      <c r="BP351" s="88">
        <v>443.695274831245</v>
      </c>
      <c r="BQ351" s="88">
        <v>443.6514134977898</v>
      </c>
      <c r="BR351" s="88">
        <v>443.60689912497259</v>
      </c>
      <c r="BS351" s="88">
        <v>443.5631675165979</v>
      </c>
      <c r="BT351" s="88">
        <v>443.51950003004822</v>
      </c>
      <c r="BU351" s="88">
        <v>56.109336343764937</v>
      </c>
      <c r="BV351" s="88">
        <v>56.06826118785051</v>
      </c>
      <c r="BW351" s="88">
        <v>384.00000000000028</v>
      </c>
      <c r="BX351" s="88">
        <v>384.00000000000028</v>
      </c>
      <c r="BY351" s="88">
        <v>384.00000000000028</v>
      </c>
      <c r="BZ351" s="88">
        <v>384.00000000000028</v>
      </c>
      <c r="CA351" s="88">
        <v>384.00000000000028</v>
      </c>
      <c r="CB351" s="88">
        <v>384.00000000000028</v>
      </c>
      <c r="CC351" s="88">
        <v>384.00000000000028</v>
      </c>
      <c r="CD351" s="88">
        <v>384.00000000000028</v>
      </c>
      <c r="CE351" s="88">
        <v>384.00000000000028</v>
      </c>
      <c r="CF351" s="88">
        <v>384.00000000000028</v>
      </c>
      <c r="CG351" s="88">
        <v>0</v>
      </c>
      <c r="CH351" s="88">
        <v>0</v>
      </c>
      <c r="CI351" s="88">
        <v>6400</v>
      </c>
      <c r="CJ351" s="88">
        <v>6400</v>
      </c>
      <c r="CK351" s="88">
        <v>6400</v>
      </c>
      <c r="CL351" s="88">
        <v>6400</v>
      </c>
      <c r="CM351" s="88">
        <v>6400</v>
      </c>
      <c r="CN351" s="88">
        <v>6400</v>
      </c>
      <c r="CO351" s="88">
        <v>6400</v>
      </c>
      <c r="CP351" s="88">
        <v>6400</v>
      </c>
      <c r="CQ351" s="88">
        <v>6400</v>
      </c>
      <c r="CR351" s="88">
        <v>6400</v>
      </c>
      <c r="CS351" s="88">
        <v>6400</v>
      </c>
      <c r="CT351" s="88">
        <v>6400</v>
      </c>
      <c r="CU351" s="88">
        <v>56.521370933594987</v>
      </c>
      <c r="CV351" s="88">
        <v>56.481056118377637</v>
      </c>
      <c r="CW351" s="88">
        <v>56.44079877260566</v>
      </c>
      <c r="CX351" s="88">
        <v>56.39923706511496</v>
      </c>
      <c r="CY351" s="88">
        <v>56.357736522755893</v>
      </c>
      <c r="CZ351" s="88">
        <v>56.316297010607741</v>
      </c>
      <c r="DA351" s="88">
        <v>56.274918394140627</v>
      </c>
      <c r="DB351" s="88">
        <v>56.232923702803816</v>
      </c>
      <c r="DC351" s="88">
        <v>56.191667468488049</v>
      </c>
      <c r="DD351" s="88">
        <v>56.150471726459728</v>
      </c>
      <c r="DE351" s="88">
        <v>56.109336343764937</v>
      </c>
      <c r="DF351" s="88">
        <v>56.06826118785051</v>
      </c>
      <c r="DG351" s="93">
        <v>46327</v>
      </c>
      <c r="DH351" s="91">
        <v>0.06</v>
      </c>
      <c r="DI351" t="s">
        <v>301</v>
      </c>
      <c r="DJ351" s="93"/>
      <c r="DK351" s="91"/>
      <c r="DM351" s="93"/>
      <c r="DN351" s="91"/>
      <c r="DP351" s="93"/>
      <c r="DQ351" s="91"/>
    </row>
    <row r="352" spans="1:121" x14ac:dyDescent="0.3">
      <c r="A352" t="s">
        <v>32</v>
      </c>
      <c r="B352" t="s">
        <v>45</v>
      </c>
      <c r="C352" t="s">
        <v>87</v>
      </c>
      <c r="D352" t="s">
        <v>371</v>
      </c>
      <c r="E352" t="s">
        <v>715</v>
      </c>
      <c r="F352" s="86">
        <v>16800</v>
      </c>
      <c r="G352" s="87">
        <v>6</v>
      </c>
      <c r="H352" s="88">
        <v>1</v>
      </c>
      <c r="I352" s="88">
        <v>1</v>
      </c>
      <c r="J352" s="89">
        <v>0.90600747629467537</v>
      </c>
      <c r="K352" s="88">
        <v>1</v>
      </c>
      <c r="L352" s="88">
        <v>1.0154441592055621</v>
      </c>
      <c r="M352" s="88">
        <v>1</v>
      </c>
      <c r="N352" s="90">
        <v>0.57199999999999995</v>
      </c>
      <c r="O352" s="90">
        <v>0.58083405906558161</v>
      </c>
      <c r="P352" s="90">
        <v>0.58449044887421953</v>
      </c>
      <c r="Q352" s="91">
        <v>0</v>
      </c>
      <c r="R352" s="88">
        <v>1</v>
      </c>
      <c r="S352" s="88">
        <v>1.021836449080803</v>
      </c>
      <c r="T352" s="91">
        <v>0</v>
      </c>
      <c r="U352" s="91">
        <v>0</v>
      </c>
      <c r="V352" s="87">
        <v>0</v>
      </c>
      <c r="W352" s="91">
        <v>0</v>
      </c>
      <c r="X352" s="87">
        <v>1</v>
      </c>
      <c r="Y352" s="90">
        <v>0.58083405906558161</v>
      </c>
      <c r="Z352" s="90">
        <v>0.58449044887421953</v>
      </c>
      <c r="AA352" s="92">
        <v>0</v>
      </c>
      <c r="AB352" s="88">
        <v>0</v>
      </c>
      <c r="AC352" s="87">
        <v>0</v>
      </c>
      <c r="AD352" s="87">
        <v>0</v>
      </c>
      <c r="AE352" s="88">
        <v>1</v>
      </c>
      <c r="AF352" s="88">
        <v>0.99124238763980388</v>
      </c>
      <c r="AG352" s="88">
        <v>0.99124238763980388</v>
      </c>
      <c r="AH352" s="88">
        <v>16800</v>
      </c>
      <c r="AI352" s="88">
        <v>16800</v>
      </c>
      <c r="AJ352" s="88">
        <v>15220.92560175055</v>
      </c>
      <c r="AK352" s="88">
        <v>16800</v>
      </c>
      <c r="AL352" s="88">
        <v>17059.461874653451</v>
      </c>
      <c r="AM352" s="88">
        <v>16800</v>
      </c>
      <c r="AN352" s="88">
        <v>9609.5999999999985</v>
      </c>
      <c r="AO352" s="88">
        <v>9758.0121923017705</v>
      </c>
      <c r="AP352" s="88">
        <v>9819.4395410868874</v>
      </c>
      <c r="AQ352" s="88">
        <v>0</v>
      </c>
      <c r="AR352" s="88">
        <v>16800</v>
      </c>
      <c r="AS352" s="88">
        <v>17166.852344557501</v>
      </c>
      <c r="AT352" s="88">
        <v>9758.0121923017705</v>
      </c>
      <c r="AU352" s="88">
        <v>9819.4395410868874</v>
      </c>
      <c r="AV352" s="88">
        <v>15456</v>
      </c>
      <c r="AW352" s="88">
        <v>15288</v>
      </c>
      <c r="AX352" s="88">
        <v>15120</v>
      </c>
      <c r="AY352" s="88">
        <v>16800</v>
      </c>
      <c r="AZ352" s="88">
        <v>16800</v>
      </c>
      <c r="BA352" s="88">
        <v>16800</v>
      </c>
      <c r="BB352" s="88">
        <v>16800</v>
      </c>
      <c r="BC352" s="88">
        <v>16800</v>
      </c>
      <c r="BD352" s="88">
        <v>16800</v>
      </c>
      <c r="BE352" s="88">
        <v>16800</v>
      </c>
      <c r="BF352" s="88">
        <v>16800</v>
      </c>
      <c r="BG352" s="88">
        <v>16800</v>
      </c>
      <c r="BH352" s="88">
        <v>16800</v>
      </c>
      <c r="BI352" s="88">
        <v>16800</v>
      </c>
      <c r="BJ352" s="88">
        <v>16800</v>
      </c>
      <c r="BK352" s="88">
        <v>-146.542556369414</v>
      </c>
      <c r="BL352" s="88">
        <v>-146.64594045198959</v>
      </c>
      <c r="BM352" s="88">
        <v>-146.74947051010409</v>
      </c>
      <c r="BN352" s="88">
        <v>-146.85666387259039</v>
      </c>
      <c r="BO352" s="88">
        <v>-146.96401394863889</v>
      </c>
      <c r="BP352" s="88">
        <v>-147.071521082169</v>
      </c>
      <c r="BQ352" s="88">
        <v>-147.17918561810569</v>
      </c>
      <c r="BR352" s="88">
        <v>-147.28877679697479</v>
      </c>
      <c r="BS352" s="88">
        <v>-147.39675977116519</v>
      </c>
      <c r="BT352" s="88">
        <v>-147.5049011943284</v>
      </c>
      <c r="BU352" s="88">
        <v>-147.6132014154685</v>
      </c>
      <c r="BV352" s="88">
        <v>-147.72166078462291</v>
      </c>
      <c r="BW352" s="88">
        <v>0</v>
      </c>
      <c r="BX352" s="88">
        <v>0</v>
      </c>
      <c r="BY352" s="88">
        <v>0</v>
      </c>
      <c r="BZ352" s="88">
        <v>0</v>
      </c>
      <c r="CA352" s="88">
        <v>0</v>
      </c>
      <c r="CB352" s="88">
        <v>0</v>
      </c>
      <c r="CC352" s="88">
        <v>0</v>
      </c>
      <c r="CD352" s="88">
        <v>0</v>
      </c>
      <c r="CE352" s="88">
        <v>0</v>
      </c>
      <c r="CF352" s="88">
        <v>0</v>
      </c>
      <c r="CG352" s="88">
        <v>0</v>
      </c>
      <c r="CH352" s="88">
        <v>0</v>
      </c>
      <c r="CI352" s="88">
        <v>16800</v>
      </c>
      <c r="CJ352" s="88">
        <v>16800</v>
      </c>
      <c r="CK352" s="88">
        <v>16800</v>
      </c>
      <c r="CL352" s="88">
        <v>16800</v>
      </c>
      <c r="CM352" s="88">
        <v>16800</v>
      </c>
      <c r="CN352" s="88">
        <v>16800</v>
      </c>
      <c r="CO352" s="88">
        <v>16800</v>
      </c>
      <c r="CP352" s="88">
        <v>16800</v>
      </c>
      <c r="CQ352" s="88">
        <v>16800</v>
      </c>
      <c r="CR352" s="88">
        <v>16800</v>
      </c>
      <c r="CS352" s="88">
        <v>16800</v>
      </c>
      <c r="CT352" s="88">
        <v>16800</v>
      </c>
      <c r="CU352" s="88">
        <v>-146.542556369414</v>
      </c>
      <c r="CV352" s="88">
        <v>-146.64594045198959</v>
      </c>
      <c r="CW352" s="88">
        <v>-146.74947051010409</v>
      </c>
      <c r="CX352" s="88">
        <v>-146.85666387259039</v>
      </c>
      <c r="CY352" s="88">
        <v>-146.96401394863889</v>
      </c>
      <c r="CZ352" s="88">
        <v>-147.071521082169</v>
      </c>
      <c r="DA352" s="88">
        <v>-147.17918561810569</v>
      </c>
      <c r="DB352" s="88">
        <v>-147.28877679697479</v>
      </c>
      <c r="DC352" s="88">
        <v>-147.39675977116519</v>
      </c>
      <c r="DD352" s="88">
        <v>-147.5049011943284</v>
      </c>
      <c r="DE352" s="88">
        <v>-147.6132014154685</v>
      </c>
      <c r="DF352" s="88">
        <v>-147.72166078462291</v>
      </c>
      <c r="DG352" s="93"/>
      <c r="DH352" s="91"/>
      <c r="DJ352" s="93"/>
      <c r="DK352" s="91"/>
      <c r="DM352" s="93"/>
      <c r="DN352" s="91"/>
      <c r="DP352" s="93"/>
      <c r="DQ352" s="91"/>
    </row>
    <row r="353" spans="1:121" x14ac:dyDescent="0.3">
      <c r="A353" t="s">
        <v>32</v>
      </c>
      <c r="B353" t="s">
        <v>45</v>
      </c>
      <c r="C353" t="s">
        <v>89</v>
      </c>
      <c r="D353" t="s">
        <v>373</v>
      </c>
      <c r="E353" t="s">
        <v>716</v>
      </c>
      <c r="F353" s="86">
        <v>13600</v>
      </c>
      <c r="G353" s="87">
        <v>6</v>
      </c>
      <c r="H353" s="88">
        <v>1.03</v>
      </c>
      <c r="I353" s="88">
        <v>1.03</v>
      </c>
      <c r="J353" s="89">
        <v>0.91199626185266247</v>
      </c>
      <c r="K353" s="88">
        <v>1</v>
      </c>
      <c r="L353" s="88">
        <v>1.008776064642062</v>
      </c>
      <c r="M353" s="88">
        <v>1</v>
      </c>
      <c r="N353" s="90">
        <v>0.6</v>
      </c>
      <c r="O353" s="90">
        <v>0.60526563878523698</v>
      </c>
      <c r="P353" s="90">
        <v>0.60339072015180617</v>
      </c>
      <c r="Q353" s="91">
        <v>0</v>
      </c>
      <c r="R353" s="88">
        <v>1</v>
      </c>
      <c r="S353" s="88">
        <v>1.00565120025301</v>
      </c>
      <c r="T353" s="91">
        <v>0</v>
      </c>
      <c r="U353" s="91">
        <v>0</v>
      </c>
      <c r="V353" s="87">
        <v>0</v>
      </c>
      <c r="W353" s="91">
        <v>0</v>
      </c>
      <c r="X353" s="87">
        <v>1</v>
      </c>
      <c r="Y353" s="90">
        <v>0.60526563878523698</v>
      </c>
      <c r="Z353" s="90">
        <v>0.60339072015180617</v>
      </c>
      <c r="AA353" s="92">
        <v>0</v>
      </c>
      <c r="AB353" s="88">
        <v>0</v>
      </c>
      <c r="AC353" s="87">
        <v>1</v>
      </c>
      <c r="AD353" s="87">
        <v>0</v>
      </c>
      <c r="AE353" s="88">
        <v>1</v>
      </c>
      <c r="AF353" s="88">
        <v>1.0043932196204439</v>
      </c>
      <c r="AG353" s="88">
        <v>1.0043932196204439</v>
      </c>
      <c r="AH353" s="88">
        <v>14008</v>
      </c>
      <c r="AI353" s="88">
        <v>14008</v>
      </c>
      <c r="AJ353" s="88">
        <v>12403.14916119621</v>
      </c>
      <c r="AK353" s="88">
        <v>13600</v>
      </c>
      <c r="AL353" s="88">
        <v>13719.35447913204</v>
      </c>
      <c r="AM353" s="88">
        <v>13600</v>
      </c>
      <c r="AN353" s="88">
        <v>8160</v>
      </c>
      <c r="AO353" s="88">
        <v>8231.6126874792226</v>
      </c>
      <c r="AP353" s="88">
        <v>8206.113794064564</v>
      </c>
      <c r="AQ353" s="88">
        <v>0</v>
      </c>
      <c r="AR353" s="88">
        <v>13600</v>
      </c>
      <c r="AS353" s="88">
        <v>13676.856323440939</v>
      </c>
      <c r="AT353" s="88">
        <v>8231.6126874792226</v>
      </c>
      <c r="AU353" s="88">
        <v>8206.113794064564</v>
      </c>
      <c r="AV353" s="88">
        <v>12512</v>
      </c>
      <c r="AW353" s="88">
        <v>12376</v>
      </c>
      <c r="AX353" s="88">
        <v>12444</v>
      </c>
      <c r="AY353" s="88">
        <v>13600</v>
      </c>
      <c r="AZ353" s="88">
        <v>13600</v>
      </c>
      <c r="BA353" s="88">
        <v>13600</v>
      </c>
      <c r="BB353" s="88">
        <v>13600</v>
      </c>
      <c r="BC353" s="88">
        <v>13600</v>
      </c>
      <c r="BD353" s="88">
        <v>13600</v>
      </c>
      <c r="BE353" s="88">
        <v>13600</v>
      </c>
      <c r="BF353" s="88">
        <v>13600</v>
      </c>
      <c r="BG353" s="88">
        <v>13600</v>
      </c>
      <c r="BH353" s="88">
        <v>13600</v>
      </c>
      <c r="BI353" s="88">
        <v>13600</v>
      </c>
      <c r="BJ353" s="88">
        <v>13600</v>
      </c>
      <c r="BK353" s="88">
        <v>59.86745702001528</v>
      </c>
      <c r="BL353" s="88">
        <v>59.846164974803003</v>
      </c>
      <c r="BM353" s="88">
        <v>59.824888069370097</v>
      </c>
      <c r="BN353" s="88">
        <v>59.802905814038709</v>
      </c>
      <c r="BO353" s="88">
        <v>59.780939707238012</v>
      </c>
      <c r="BP353" s="88">
        <v>59.758989731181337</v>
      </c>
      <c r="BQ353" s="88">
        <v>59.737055868106196</v>
      </c>
      <c r="BR353" s="88">
        <v>59.714778926599983</v>
      </c>
      <c r="BS353" s="88">
        <v>59.692877499729853</v>
      </c>
      <c r="BT353" s="88">
        <v>59.670992132420857</v>
      </c>
      <c r="BU353" s="88">
        <v>59.649122807016219</v>
      </c>
      <c r="BV353" s="88">
        <v>59.627269505889302</v>
      </c>
      <c r="BW353" s="88">
        <v>0</v>
      </c>
      <c r="BX353" s="88">
        <v>0</v>
      </c>
      <c r="BY353" s="88">
        <v>0</v>
      </c>
      <c r="BZ353" s="88">
        <v>0</v>
      </c>
      <c r="CA353" s="88">
        <v>0</v>
      </c>
      <c r="CB353" s="88">
        <v>0</v>
      </c>
      <c r="CC353" s="88">
        <v>0</v>
      </c>
      <c r="CD353" s="88">
        <v>0</v>
      </c>
      <c r="CE353" s="88">
        <v>0</v>
      </c>
      <c r="CF353" s="88">
        <v>0</v>
      </c>
      <c r="CG353" s="88">
        <v>0</v>
      </c>
      <c r="CH353" s="88">
        <v>0</v>
      </c>
      <c r="CI353" s="88">
        <v>13600</v>
      </c>
      <c r="CJ353" s="88">
        <v>13600</v>
      </c>
      <c r="CK353" s="88">
        <v>13600</v>
      </c>
      <c r="CL353" s="88">
        <v>13600</v>
      </c>
      <c r="CM353" s="88">
        <v>13600</v>
      </c>
      <c r="CN353" s="88">
        <v>13600</v>
      </c>
      <c r="CO353" s="88">
        <v>13600</v>
      </c>
      <c r="CP353" s="88">
        <v>13600</v>
      </c>
      <c r="CQ353" s="88">
        <v>13600</v>
      </c>
      <c r="CR353" s="88">
        <v>13600</v>
      </c>
      <c r="CS353" s="88">
        <v>13600</v>
      </c>
      <c r="CT353" s="88">
        <v>13600</v>
      </c>
      <c r="CU353" s="88">
        <v>59.86745702001528</v>
      </c>
      <c r="CV353" s="88">
        <v>59.846164974803003</v>
      </c>
      <c r="CW353" s="88">
        <v>59.824888069370097</v>
      </c>
      <c r="CX353" s="88">
        <v>59.802905814038709</v>
      </c>
      <c r="CY353" s="88">
        <v>59.780939707238012</v>
      </c>
      <c r="CZ353" s="88">
        <v>59.758989731181337</v>
      </c>
      <c r="DA353" s="88">
        <v>59.737055868106196</v>
      </c>
      <c r="DB353" s="88">
        <v>59.714778926599983</v>
      </c>
      <c r="DC353" s="88">
        <v>59.692877499729853</v>
      </c>
      <c r="DD353" s="88">
        <v>59.670992132420857</v>
      </c>
      <c r="DE353" s="88">
        <v>59.649122807016219</v>
      </c>
      <c r="DF353" s="88">
        <v>59.627269505889302</v>
      </c>
      <c r="DG353" s="93">
        <v>46023</v>
      </c>
      <c r="DH353" s="91">
        <v>0.03</v>
      </c>
      <c r="DI353" t="s">
        <v>301</v>
      </c>
      <c r="DJ353" s="93"/>
      <c r="DK353" s="91"/>
      <c r="DM353" s="93"/>
      <c r="DN353" s="91"/>
      <c r="DP353" s="93"/>
      <c r="DQ353" s="91"/>
    </row>
    <row r="354" spans="1:121" x14ac:dyDescent="0.3">
      <c r="A354" t="s">
        <v>32</v>
      </c>
      <c r="B354" t="s">
        <v>45</v>
      </c>
      <c r="C354" t="s">
        <v>91</v>
      </c>
      <c r="D354" t="s">
        <v>375</v>
      </c>
      <c r="E354" t="s">
        <v>717</v>
      </c>
      <c r="F354" s="86">
        <v>10400</v>
      </c>
      <c r="G354" s="87">
        <v>6</v>
      </c>
      <c r="H354" s="88">
        <v>1.04</v>
      </c>
      <c r="I354" s="88">
        <v>1.0472222222222221</v>
      </c>
      <c r="J354" s="89">
        <v>0.91798504741064912</v>
      </c>
      <c r="K354" s="88">
        <v>0.99310344827586206</v>
      </c>
      <c r="L354" s="88">
        <v>1.002194973213381</v>
      </c>
      <c r="M354" s="88">
        <v>1</v>
      </c>
      <c r="N354" s="90">
        <v>0.58399999999999996</v>
      </c>
      <c r="O354" s="90">
        <v>0.58124543770587933</v>
      </c>
      <c r="P354" s="90">
        <v>0.55605513450758215</v>
      </c>
      <c r="Q354" s="91">
        <v>0</v>
      </c>
      <c r="R354" s="88">
        <v>0.96179535132246863</v>
      </c>
      <c r="S354" s="88">
        <v>0.98997068515119868</v>
      </c>
      <c r="T354" s="91">
        <v>6.9444444444444198E-3</v>
      </c>
      <c r="U354" s="91">
        <v>3.2551724137930949E-2</v>
      </c>
      <c r="V354" s="87">
        <v>0</v>
      </c>
      <c r="W354" s="91">
        <v>0</v>
      </c>
      <c r="X354" s="87">
        <v>1</v>
      </c>
      <c r="Y354" s="90">
        <v>0.58124543770587933</v>
      </c>
      <c r="Z354" s="90">
        <v>0.55605513450758215</v>
      </c>
      <c r="AA354" s="92">
        <v>0</v>
      </c>
      <c r="AB354" s="88">
        <v>0</v>
      </c>
      <c r="AC354" s="87">
        <v>1</v>
      </c>
      <c r="AD354" s="87">
        <v>1</v>
      </c>
      <c r="AE354" s="88">
        <v>1.02</v>
      </c>
      <c r="AF354" s="88">
        <v>1.0176314239537809</v>
      </c>
      <c r="AG354" s="88">
        <v>1.037983012217216</v>
      </c>
      <c r="AH354" s="88">
        <v>10816</v>
      </c>
      <c r="AI354" s="88">
        <v>10891.111111111109</v>
      </c>
      <c r="AJ354" s="88">
        <v>9547.0444930707508</v>
      </c>
      <c r="AK354" s="88">
        <v>10328.275862068969</v>
      </c>
      <c r="AL354" s="88">
        <v>10422.827721419169</v>
      </c>
      <c r="AM354" s="88">
        <v>10400</v>
      </c>
      <c r="AN354" s="88">
        <v>6073.5999999999995</v>
      </c>
      <c r="AO354" s="88">
        <v>6044.9525521411451</v>
      </c>
      <c r="AP354" s="88">
        <v>5782.9733988788539</v>
      </c>
      <c r="AQ354" s="88">
        <v>0</v>
      </c>
      <c r="AR354" s="88">
        <v>10002.67165375367</v>
      </c>
      <c r="AS354" s="88">
        <v>10295.695125572471</v>
      </c>
      <c r="AT354" s="88">
        <v>6044.9525521411451</v>
      </c>
      <c r="AU354" s="88">
        <v>5782.9733988788539</v>
      </c>
      <c r="AV354" s="88">
        <v>9568</v>
      </c>
      <c r="AW354" s="88">
        <v>9464</v>
      </c>
      <c r="AX354" s="88">
        <v>9672</v>
      </c>
      <c r="AY354" s="88">
        <v>10400</v>
      </c>
      <c r="AZ354" s="88">
        <v>10400</v>
      </c>
      <c r="BA354" s="88">
        <v>10400</v>
      </c>
      <c r="BB354" s="88">
        <v>10400</v>
      </c>
      <c r="BC354" s="88">
        <v>10400</v>
      </c>
      <c r="BD354" s="88">
        <v>10400</v>
      </c>
      <c r="BE354" s="88">
        <v>10400</v>
      </c>
      <c r="BF354" s="88">
        <v>10400</v>
      </c>
      <c r="BG354" s="88">
        <v>10400</v>
      </c>
      <c r="BH354" s="88">
        <v>10400</v>
      </c>
      <c r="BI354" s="88">
        <v>10400</v>
      </c>
      <c r="BJ354" s="88">
        <v>10400</v>
      </c>
      <c r="BK354" s="88">
        <v>608.23996883521681</v>
      </c>
      <c r="BL354" s="88">
        <v>184.58097298874381</v>
      </c>
      <c r="BM354" s="88">
        <v>184.31658169458649</v>
      </c>
      <c r="BN354" s="88">
        <v>184.0440231751968</v>
      </c>
      <c r="BO354" s="88">
        <v>183.77226955848161</v>
      </c>
      <c r="BP354" s="88">
        <v>183.50131728421869</v>
      </c>
      <c r="BQ354" s="88">
        <v>183.23116281314941</v>
      </c>
      <c r="BR354" s="88">
        <v>606.27568922305795</v>
      </c>
      <c r="BS354" s="88">
        <v>605.99639049979555</v>
      </c>
      <c r="BT354" s="88">
        <v>605.71791051948514</v>
      </c>
      <c r="BU354" s="88">
        <v>605.44024568727491</v>
      </c>
      <c r="BV354" s="88">
        <v>605.16339242932258</v>
      </c>
      <c r="BW354" s="88">
        <v>416.00000000000028</v>
      </c>
      <c r="BX354" s="88">
        <v>0</v>
      </c>
      <c r="BY354" s="88">
        <v>0</v>
      </c>
      <c r="BZ354" s="88">
        <v>0</v>
      </c>
      <c r="CA354" s="88">
        <v>0</v>
      </c>
      <c r="CB354" s="88">
        <v>0</v>
      </c>
      <c r="CC354" s="88">
        <v>0</v>
      </c>
      <c r="CD354" s="88">
        <v>416.00000000000028</v>
      </c>
      <c r="CE354" s="88">
        <v>416.00000000000028</v>
      </c>
      <c r="CF354" s="88">
        <v>416.00000000000028</v>
      </c>
      <c r="CG354" s="88">
        <v>416.00000000000028</v>
      </c>
      <c r="CH354" s="88">
        <v>416.00000000000028</v>
      </c>
      <c r="CI354" s="88">
        <v>10400</v>
      </c>
      <c r="CJ354" s="88">
        <v>10400</v>
      </c>
      <c r="CK354" s="88">
        <v>10400</v>
      </c>
      <c r="CL354" s="88">
        <v>10400</v>
      </c>
      <c r="CM354" s="88">
        <v>10400</v>
      </c>
      <c r="CN354" s="88">
        <v>10400</v>
      </c>
      <c r="CO354" s="88">
        <v>10400</v>
      </c>
      <c r="CP354" s="88">
        <v>10400</v>
      </c>
      <c r="CQ354" s="88">
        <v>10400</v>
      </c>
      <c r="CR354" s="88">
        <v>10400</v>
      </c>
      <c r="CS354" s="88">
        <v>10400</v>
      </c>
      <c r="CT354" s="88">
        <v>10400</v>
      </c>
      <c r="CU354" s="88">
        <v>184.84612388001659</v>
      </c>
      <c r="CV354" s="88">
        <v>184.58097298874381</v>
      </c>
      <c r="CW354" s="88">
        <v>184.31658169458649</v>
      </c>
      <c r="CX354" s="88">
        <v>184.0440231751968</v>
      </c>
      <c r="CY354" s="88">
        <v>183.77226955848161</v>
      </c>
      <c r="CZ354" s="88">
        <v>183.50131728421869</v>
      </c>
      <c r="DA354" s="88">
        <v>183.23116281314941</v>
      </c>
      <c r="DB354" s="88">
        <v>182.9573934837095</v>
      </c>
      <c r="DC354" s="88">
        <v>182.68883701903391</v>
      </c>
      <c r="DD354" s="88">
        <v>182.42106780719729</v>
      </c>
      <c r="DE354" s="88">
        <v>182.15408239161019</v>
      </c>
      <c r="DF354" s="88">
        <v>181.8878773358872</v>
      </c>
      <c r="DG354" s="93">
        <v>46054</v>
      </c>
      <c r="DH354" s="91">
        <v>0.04</v>
      </c>
      <c r="DI354" t="s">
        <v>301</v>
      </c>
      <c r="DJ354" s="93">
        <v>46600</v>
      </c>
      <c r="DK354" s="91">
        <v>0.04</v>
      </c>
      <c r="DL354" t="s">
        <v>302</v>
      </c>
      <c r="DM354" s="93"/>
      <c r="DN354" s="91"/>
      <c r="DP354" s="93"/>
      <c r="DQ354" s="91"/>
    </row>
    <row r="355" spans="1:121" x14ac:dyDescent="0.3">
      <c r="A355" t="s">
        <v>32</v>
      </c>
      <c r="B355" t="s">
        <v>45</v>
      </c>
      <c r="C355" t="s">
        <v>92</v>
      </c>
      <c r="D355" t="s">
        <v>377</v>
      </c>
      <c r="E355" t="s">
        <v>718</v>
      </c>
      <c r="F355" s="86">
        <v>7200</v>
      </c>
      <c r="G355" s="87">
        <v>6</v>
      </c>
      <c r="H355" s="88">
        <v>1</v>
      </c>
      <c r="I355" s="88">
        <v>1</v>
      </c>
      <c r="J355" s="89">
        <v>0.90999999999999981</v>
      </c>
      <c r="K355" s="88">
        <v>1</v>
      </c>
      <c r="L355" s="88">
        <v>1.0109890109890109</v>
      </c>
      <c r="M355" s="88">
        <v>1</v>
      </c>
      <c r="N355" s="90">
        <v>0.56799999999999995</v>
      </c>
      <c r="O355" s="90">
        <v>0.57424175824175827</v>
      </c>
      <c r="P355" s="90">
        <v>0.57424175824175827</v>
      </c>
      <c r="Q355" s="91">
        <v>0</v>
      </c>
      <c r="R355" s="88">
        <v>1</v>
      </c>
      <c r="S355" s="88">
        <v>1.0109890109890109</v>
      </c>
      <c r="T355" s="91">
        <v>0</v>
      </c>
      <c r="U355" s="91">
        <v>0</v>
      </c>
      <c r="V355" s="87">
        <v>0</v>
      </c>
      <c r="W355" s="91">
        <v>0</v>
      </c>
      <c r="X355" s="87">
        <v>1</v>
      </c>
      <c r="Y355" s="90">
        <v>0.57424175824175827</v>
      </c>
      <c r="Z355" s="90">
        <v>0.57424175824175827</v>
      </c>
      <c r="AA355" s="92">
        <v>0</v>
      </c>
      <c r="AB355" s="88">
        <v>0</v>
      </c>
      <c r="AC355" s="87">
        <v>0</v>
      </c>
      <c r="AD355" s="87">
        <v>0</v>
      </c>
      <c r="AE355" s="88">
        <v>1</v>
      </c>
      <c r="AF355" s="88">
        <v>1</v>
      </c>
      <c r="AG355" s="88">
        <v>1</v>
      </c>
      <c r="AH355" s="88">
        <v>7200</v>
      </c>
      <c r="AI355" s="88">
        <v>7200</v>
      </c>
      <c r="AJ355" s="88">
        <v>6551.9999999999982</v>
      </c>
      <c r="AK355" s="88">
        <v>7200</v>
      </c>
      <c r="AL355" s="88">
        <v>7279.1208791208801</v>
      </c>
      <c r="AM355" s="88">
        <v>7200</v>
      </c>
      <c r="AN355" s="88">
        <v>4089.599999999999</v>
      </c>
      <c r="AO355" s="88">
        <v>4134.5406593406597</v>
      </c>
      <c r="AP355" s="88">
        <v>4134.5406593406597</v>
      </c>
      <c r="AQ355" s="88">
        <v>0</v>
      </c>
      <c r="AR355" s="88">
        <v>7200</v>
      </c>
      <c r="AS355" s="88">
        <v>7279.1208791208801</v>
      </c>
      <c r="AT355" s="88">
        <v>4134.5406593406597</v>
      </c>
      <c r="AU355" s="88">
        <v>4134.5406593406597</v>
      </c>
      <c r="AV355" s="88">
        <v>6624</v>
      </c>
      <c r="AW355" s="88">
        <v>6552</v>
      </c>
      <c r="AX355" s="88">
        <v>6552</v>
      </c>
      <c r="AY355" s="88">
        <v>7200</v>
      </c>
      <c r="AZ355" s="88">
        <v>7200</v>
      </c>
      <c r="BA355" s="88">
        <v>7200</v>
      </c>
      <c r="BB355" s="88">
        <v>7200</v>
      </c>
      <c r="BC355" s="88">
        <v>7200</v>
      </c>
      <c r="BD355" s="88">
        <v>7200</v>
      </c>
      <c r="BE355" s="88">
        <v>7200</v>
      </c>
      <c r="BF355" s="88">
        <v>7200</v>
      </c>
      <c r="BG355" s="88">
        <v>7200</v>
      </c>
      <c r="BH355" s="88">
        <v>7200</v>
      </c>
      <c r="BI355" s="88">
        <v>7200</v>
      </c>
      <c r="BJ355" s="88">
        <v>7200</v>
      </c>
      <c r="BK355" s="88">
        <v>0</v>
      </c>
      <c r="BL355" s="88">
        <v>0</v>
      </c>
      <c r="BM355" s="88">
        <v>0</v>
      </c>
      <c r="BN355" s="88">
        <v>0</v>
      </c>
      <c r="BO355" s="88">
        <v>0</v>
      </c>
      <c r="BP355" s="88">
        <v>0</v>
      </c>
      <c r="BQ355" s="88">
        <v>0</v>
      </c>
      <c r="BR355" s="88">
        <v>0</v>
      </c>
      <c r="BS355" s="88">
        <v>0</v>
      </c>
      <c r="BT355" s="88">
        <v>0</v>
      </c>
      <c r="BU355" s="88">
        <v>0</v>
      </c>
      <c r="BV355" s="88">
        <v>0</v>
      </c>
      <c r="BW355" s="88">
        <v>0</v>
      </c>
      <c r="BX355" s="88">
        <v>0</v>
      </c>
      <c r="BY355" s="88">
        <v>0</v>
      </c>
      <c r="BZ355" s="88">
        <v>0</v>
      </c>
      <c r="CA355" s="88">
        <v>0</v>
      </c>
      <c r="CB355" s="88">
        <v>0</v>
      </c>
      <c r="CC355" s="88">
        <v>0</v>
      </c>
      <c r="CD355" s="88">
        <v>0</v>
      </c>
      <c r="CE355" s="88">
        <v>0</v>
      </c>
      <c r="CF355" s="88">
        <v>0</v>
      </c>
      <c r="CG355" s="88">
        <v>0</v>
      </c>
      <c r="CH355" s="88">
        <v>0</v>
      </c>
      <c r="CI355" s="88">
        <v>7200</v>
      </c>
      <c r="CJ355" s="88">
        <v>7200</v>
      </c>
      <c r="CK355" s="88">
        <v>7200</v>
      </c>
      <c r="CL355" s="88">
        <v>7200</v>
      </c>
      <c r="CM355" s="88">
        <v>7200</v>
      </c>
      <c r="CN355" s="88">
        <v>7200</v>
      </c>
      <c r="CO355" s="88">
        <v>7200</v>
      </c>
      <c r="CP355" s="88">
        <v>7200</v>
      </c>
      <c r="CQ355" s="88">
        <v>7200</v>
      </c>
      <c r="CR355" s="88">
        <v>7200</v>
      </c>
      <c r="CS355" s="88">
        <v>7200</v>
      </c>
      <c r="CT355" s="88">
        <v>7200</v>
      </c>
      <c r="CU355" s="88">
        <v>0</v>
      </c>
      <c r="CV355" s="88">
        <v>0</v>
      </c>
      <c r="CW355" s="88">
        <v>0</v>
      </c>
      <c r="CX355" s="88">
        <v>0</v>
      </c>
      <c r="CY355" s="88">
        <v>0</v>
      </c>
      <c r="CZ355" s="88">
        <v>0</v>
      </c>
      <c r="DA355" s="88">
        <v>0</v>
      </c>
      <c r="DB355" s="88">
        <v>0</v>
      </c>
      <c r="DC355" s="88">
        <v>0</v>
      </c>
      <c r="DD355" s="88">
        <v>0</v>
      </c>
      <c r="DE355" s="88">
        <v>0</v>
      </c>
      <c r="DF355" s="88">
        <v>0</v>
      </c>
      <c r="DG355" s="93"/>
      <c r="DH355" s="91"/>
      <c r="DJ355" s="93"/>
      <c r="DK355" s="91"/>
      <c r="DM355" s="93"/>
      <c r="DN355" s="91"/>
      <c r="DP355" s="93"/>
      <c r="DQ355" s="91"/>
    </row>
    <row r="356" spans="1:121" x14ac:dyDescent="0.3">
      <c r="A356" t="s">
        <v>32</v>
      </c>
      <c r="B356" t="s">
        <v>45</v>
      </c>
      <c r="C356" t="s">
        <v>94</v>
      </c>
      <c r="D356" t="s">
        <v>379</v>
      </c>
      <c r="E356" t="s">
        <v>719</v>
      </c>
      <c r="F356" s="86">
        <v>17600</v>
      </c>
      <c r="G356" s="87">
        <v>6</v>
      </c>
      <c r="H356" s="88">
        <v>1.06</v>
      </c>
      <c r="I356" s="88">
        <v>1.06</v>
      </c>
      <c r="J356" s="89">
        <v>0.91598878555798668</v>
      </c>
      <c r="K356" s="88">
        <v>0.99999999999999978</v>
      </c>
      <c r="L356" s="88">
        <v>1.0043791086804299</v>
      </c>
      <c r="M356" s="88">
        <v>1</v>
      </c>
      <c r="N356" s="90">
        <v>0.59599999999999997</v>
      </c>
      <c r="O356" s="90">
        <v>0.59860994877353613</v>
      </c>
      <c r="P356" s="90">
        <v>0.59310517258212936</v>
      </c>
      <c r="Q356" s="91">
        <v>0</v>
      </c>
      <c r="R356" s="88">
        <v>0.99999999999999978</v>
      </c>
      <c r="S356" s="88">
        <v>0.99514290701699581</v>
      </c>
      <c r="T356" s="91">
        <v>0</v>
      </c>
      <c r="U356" s="91">
        <v>0</v>
      </c>
      <c r="V356" s="87">
        <v>0</v>
      </c>
      <c r="W356" s="91">
        <v>0</v>
      </c>
      <c r="X356" s="87">
        <v>1</v>
      </c>
      <c r="Y356" s="90">
        <v>0.59860994877353613</v>
      </c>
      <c r="Z356" s="90">
        <v>0.59310517258212936</v>
      </c>
      <c r="AA356" s="92">
        <v>0</v>
      </c>
      <c r="AB356" s="88">
        <v>0</v>
      </c>
      <c r="AC356" s="87">
        <v>1</v>
      </c>
      <c r="AD356" s="87">
        <v>0</v>
      </c>
      <c r="AE356" s="88">
        <v>1.0149999999999999</v>
      </c>
      <c r="AF356" s="88">
        <v>1.0132088564102011</v>
      </c>
      <c r="AG356" s="88">
        <v>1.0284079716072401</v>
      </c>
      <c r="AH356" s="88">
        <v>18656</v>
      </c>
      <c r="AI356" s="88">
        <v>18656</v>
      </c>
      <c r="AJ356" s="88">
        <v>16121.402625820559</v>
      </c>
      <c r="AK356" s="88">
        <v>17600</v>
      </c>
      <c r="AL356" s="88">
        <v>17677.07231277557</v>
      </c>
      <c r="AM356" s="88">
        <v>17600</v>
      </c>
      <c r="AN356" s="88">
        <v>10489.6</v>
      </c>
      <c r="AO356" s="88">
        <v>10535.535098414241</v>
      </c>
      <c r="AP356" s="88">
        <v>10438.651037445479</v>
      </c>
      <c r="AQ356" s="88">
        <v>0</v>
      </c>
      <c r="AR356" s="88">
        <v>17600</v>
      </c>
      <c r="AS356" s="88">
        <v>17514.515163499131</v>
      </c>
      <c r="AT356" s="88">
        <v>10535.535098414241</v>
      </c>
      <c r="AU356" s="88">
        <v>10438.651037445479</v>
      </c>
      <c r="AV356" s="88">
        <v>16192</v>
      </c>
      <c r="AW356" s="88">
        <v>16016</v>
      </c>
      <c r="AX356" s="88">
        <v>16280</v>
      </c>
      <c r="AY356" s="88">
        <v>17600</v>
      </c>
      <c r="AZ356" s="88">
        <v>17600</v>
      </c>
      <c r="BA356" s="88">
        <v>17600</v>
      </c>
      <c r="BB356" s="88">
        <v>17600</v>
      </c>
      <c r="BC356" s="88">
        <v>17600</v>
      </c>
      <c r="BD356" s="88">
        <v>17600</v>
      </c>
      <c r="BE356" s="88">
        <v>17600</v>
      </c>
      <c r="BF356" s="88">
        <v>17600</v>
      </c>
      <c r="BG356" s="88">
        <v>17600</v>
      </c>
      <c r="BH356" s="88">
        <v>17600</v>
      </c>
      <c r="BI356" s="88">
        <v>17600</v>
      </c>
      <c r="BJ356" s="88">
        <v>17600</v>
      </c>
      <c r="BK356" s="88">
        <v>1303.911991893352</v>
      </c>
      <c r="BL356" s="88">
        <v>1303.6460176991191</v>
      </c>
      <c r="BM356" s="88">
        <v>1303.3806135979701</v>
      </c>
      <c r="BN356" s="88">
        <v>233.11963227289499</v>
      </c>
      <c r="BO356" s="88">
        <v>232.8618983464537</v>
      </c>
      <c r="BP356" s="88">
        <v>232.60473368495869</v>
      </c>
      <c r="BQ356" s="88">
        <v>232.34813640446421</v>
      </c>
      <c r="BR356" s="88">
        <v>232.08791208791521</v>
      </c>
      <c r="BS356" s="88">
        <v>231.8324531751866</v>
      </c>
      <c r="BT356" s="88">
        <v>231.5775560108367</v>
      </c>
      <c r="BU356" s="88">
        <v>231.32321874399679</v>
      </c>
      <c r="BV356" s="88">
        <v>231.0694395319114</v>
      </c>
      <c r="BW356" s="88">
        <v>1056.0000000000009</v>
      </c>
      <c r="BX356" s="88">
        <v>1056.0000000000009</v>
      </c>
      <c r="BY356" s="88">
        <v>1056.0000000000009</v>
      </c>
      <c r="BZ356" s="88">
        <v>0</v>
      </c>
      <c r="CA356" s="88">
        <v>0</v>
      </c>
      <c r="CB356" s="88">
        <v>0</v>
      </c>
      <c r="CC356" s="88">
        <v>0</v>
      </c>
      <c r="CD356" s="88">
        <v>0</v>
      </c>
      <c r="CE356" s="88">
        <v>0</v>
      </c>
      <c r="CF356" s="88">
        <v>0</v>
      </c>
      <c r="CG356" s="88">
        <v>0</v>
      </c>
      <c r="CH356" s="88">
        <v>0</v>
      </c>
      <c r="CI356" s="88">
        <v>17600</v>
      </c>
      <c r="CJ356" s="88">
        <v>17600</v>
      </c>
      <c r="CK356" s="88">
        <v>17600</v>
      </c>
      <c r="CL356" s="88">
        <v>17600</v>
      </c>
      <c r="CM356" s="88">
        <v>17600</v>
      </c>
      <c r="CN356" s="88">
        <v>17600</v>
      </c>
      <c r="CO356" s="88">
        <v>17600</v>
      </c>
      <c r="CP356" s="88">
        <v>17600</v>
      </c>
      <c r="CQ356" s="88">
        <v>17600</v>
      </c>
      <c r="CR356" s="88">
        <v>17600</v>
      </c>
      <c r="CS356" s="88">
        <v>17600</v>
      </c>
      <c r="CT356" s="88">
        <v>17600</v>
      </c>
      <c r="CU356" s="88">
        <v>233.8792376352373</v>
      </c>
      <c r="CV356" s="88">
        <v>233.6283185840731</v>
      </c>
      <c r="CW356" s="88">
        <v>233.37793735657581</v>
      </c>
      <c r="CX356" s="88">
        <v>233.11963227289499</v>
      </c>
      <c r="CY356" s="88">
        <v>232.8618983464537</v>
      </c>
      <c r="CZ356" s="88">
        <v>232.60473368495869</v>
      </c>
      <c r="DA356" s="88">
        <v>232.34813640446421</v>
      </c>
      <c r="DB356" s="88">
        <v>232.08791208791521</v>
      </c>
      <c r="DC356" s="88">
        <v>231.8324531751866</v>
      </c>
      <c r="DD356" s="88">
        <v>231.5775560108367</v>
      </c>
      <c r="DE356" s="88">
        <v>231.32321874399679</v>
      </c>
      <c r="DF356" s="88">
        <v>231.0694395319114</v>
      </c>
      <c r="DG356" s="93">
        <v>46113</v>
      </c>
      <c r="DH356" s="91">
        <v>0.06</v>
      </c>
      <c r="DI356" t="s">
        <v>301</v>
      </c>
      <c r="DJ356" s="93"/>
      <c r="DK356" s="91"/>
      <c r="DM356" s="93"/>
      <c r="DN356" s="91"/>
      <c r="DP356" s="93"/>
      <c r="DQ356" s="91"/>
    </row>
    <row r="357" spans="1:121" x14ac:dyDescent="0.3">
      <c r="A357" t="s">
        <v>32</v>
      </c>
      <c r="B357" t="s">
        <v>45</v>
      </c>
      <c r="C357" t="s">
        <v>95</v>
      </c>
      <c r="D357" t="s">
        <v>381</v>
      </c>
      <c r="E357" t="s">
        <v>720</v>
      </c>
      <c r="F357" s="86">
        <v>14400</v>
      </c>
      <c r="G357" s="87">
        <v>6</v>
      </c>
      <c r="H357" s="88">
        <v>1.02</v>
      </c>
      <c r="I357" s="88">
        <v>1.02</v>
      </c>
      <c r="J357" s="89">
        <v>0.9080037381473377</v>
      </c>
      <c r="K357" s="88">
        <v>0.99999999999999978</v>
      </c>
      <c r="L357" s="88">
        <v>1.0132116877372539</v>
      </c>
      <c r="M357" s="88">
        <v>1</v>
      </c>
      <c r="N357" s="90">
        <v>0.57999999999999996</v>
      </c>
      <c r="O357" s="90">
        <v>0.58766277888760732</v>
      </c>
      <c r="P357" s="90">
        <v>0.58950259722512732</v>
      </c>
      <c r="Q357" s="91">
        <v>0</v>
      </c>
      <c r="R357" s="88">
        <v>0.99999999999999978</v>
      </c>
      <c r="S357" s="88">
        <v>1.0163837883191851</v>
      </c>
      <c r="T357" s="91">
        <v>0</v>
      </c>
      <c r="U357" s="91">
        <v>0</v>
      </c>
      <c r="V357" s="87">
        <v>0</v>
      </c>
      <c r="W357" s="91">
        <v>0</v>
      </c>
      <c r="X357" s="87">
        <v>1</v>
      </c>
      <c r="Y357" s="90">
        <v>0.58766277888760732</v>
      </c>
      <c r="Z357" s="90">
        <v>0.58950259722512732</v>
      </c>
      <c r="AA357" s="92">
        <v>0</v>
      </c>
      <c r="AB357" s="88">
        <v>0</v>
      </c>
      <c r="AC357" s="87">
        <v>1</v>
      </c>
      <c r="AD357" s="87">
        <v>0</v>
      </c>
      <c r="AE357" s="88">
        <v>1.006666666666667</v>
      </c>
      <c r="AF357" s="88">
        <v>0.99561641381999111</v>
      </c>
      <c r="AG357" s="88">
        <v>1.0022538992746961</v>
      </c>
      <c r="AH357" s="88">
        <v>14688</v>
      </c>
      <c r="AI357" s="88">
        <v>14688</v>
      </c>
      <c r="AJ357" s="88">
        <v>13075.25382932166</v>
      </c>
      <c r="AK357" s="88">
        <v>14400</v>
      </c>
      <c r="AL357" s="88">
        <v>14590.24830341646</v>
      </c>
      <c r="AM357" s="88">
        <v>14400</v>
      </c>
      <c r="AN357" s="88">
        <v>8352</v>
      </c>
      <c r="AO357" s="88">
        <v>8462.3440159815455</v>
      </c>
      <c r="AP357" s="88">
        <v>8488.8374000418335</v>
      </c>
      <c r="AQ357" s="88">
        <v>0</v>
      </c>
      <c r="AR357" s="88">
        <v>14400</v>
      </c>
      <c r="AS357" s="88">
        <v>14635.92655179627</v>
      </c>
      <c r="AT357" s="88">
        <v>8462.3440159815455</v>
      </c>
      <c r="AU357" s="88">
        <v>8488.8374000418335</v>
      </c>
      <c r="AV357" s="88">
        <v>13248</v>
      </c>
      <c r="AW357" s="88">
        <v>13104</v>
      </c>
      <c r="AX357" s="88">
        <v>13032</v>
      </c>
      <c r="AY357" s="88">
        <v>14400</v>
      </c>
      <c r="AZ357" s="88">
        <v>14400</v>
      </c>
      <c r="BA357" s="88">
        <v>14400</v>
      </c>
      <c r="BB357" s="88">
        <v>14400</v>
      </c>
      <c r="BC357" s="88">
        <v>14400</v>
      </c>
      <c r="BD357" s="88">
        <v>14400</v>
      </c>
      <c r="BE357" s="88">
        <v>14400</v>
      </c>
      <c r="BF357" s="88">
        <v>14400</v>
      </c>
      <c r="BG357" s="88">
        <v>14400</v>
      </c>
      <c r="BH357" s="88">
        <v>14400</v>
      </c>
      <c r="BI357" s="88">
        <v>14400</v>
      </c>
      <c r="BJ357" s="88">
        <v>14400</v>
      </c>
      <c r="BK357" s="88">
        <v>223.74225562287859</v>
      </c>
      <c r="BL357" s="88">
        <v>223.71952710966309</v>
      </c>
      <c r="BM357" s="88">
        <v>223.6967825122193</v>
      </c>
      <c r="BN357" s="88">
        <v>223.6732499820036</v>
      </c>
      <c r="BO357" s="88">
        <v>-63.088529194648928</v>
      </c>
      <c r="BP357" s="88">
        <v>-63.111634106218517</v>
      </c>
      <c r="BQ357" s="88">
        <v>-63.134755947412202</v>
      </c>
      <c r="BR357" s="88">
        <v>-63.158274202560349</v>
      </c>
      <c r="BS357" s="88">
        <v>-63.181430237171732</v>
      </c>
      <c r="BT357" s="88">
        <v>-63.20460325763424</v>
      </c>
      <c r="BU357" s="88">
        <v>-63.227793282648108</v>
      </c>
      <c r="BV357" s="88">
        <v>-63.25100033093598</v>
      </c>
      <c r="BW357" s="88">
        <v>288.00000000000023</v>
      </c>
      <c r="BX357" s="88">
        <v>288.00000000000023</v>
      </c>
      <c r="BY357" s="88">
        <v>288.00000000000023</v>
      </c>
      <c r="BZ357" s="88">
        <v>288.00000000000023</v>
      </c>
      <c r="CA357" s="88">
        <v>0</v>
      </c>
      <c r="CB357" s="88">
        <v>0</v>
      </c>
      <c r="CC357" s="88">
        <v>0</v>
      </c>
      <c r="CD357" s="88">
        <v>0</v>
      </c>
      <c r="CE357" s="88">
        <v>0</v>
      </c>
      <c r="CF357" s="88">
        <v>0</v>
      </c>
      <c r="CG357" s="88">
        <v>0</v>
      </c>
      <c r="CH357" s="88">
        <v>0</v>
      </c>
      <c r="CI357" s="88">
        <v>14400</v>
      </c>
      <c r="CJ357" s="88">
        <v>14400</v>
      </c>
      <c r="CK357" s="88">
        <v>14400</v>
      </c>
      <c r="CL357" s="88">
        <v>14400</v>
      </c>
      <c r="CM357" s="88">
        <v>14400</v>
      </c>
      <c r="CN357" s="88">
        <v>14400</v>
      </c>
      <c r="CO357" s="88">
        <v>14400</v>
      </c>
      <c r="CP357" s="88">
        <v>14400</v>
      </c>
      <c r="CQ357" s="88">
        <v>14400</v>
      </c>
      <c r="CR357" s="88">
        <v>14400</v>
      </c>
      <c r="CS357" s="88">
        <v>14400</v>
      </c>
      <c r="CT357" s="88">
        <v>14400</v>
      </c>
      <c r="CU357" s="88">
        <v>-62.99778860502272</v>
      </c>
      <c r="CV357" s="88">
        <v>-63.020071461115812</v>
      </c>
      <c r="CW357" s="88">
        <v>-63.04237008605913</v>
      </c>
      <c r="CX357" s="88">
        <v>-63.065441194115117</v>
      </c>
      <c r="CY357" s="88">
        <v>-63.088529194648928</v>
      </c>
      <c r="CZ357" s="88">
        <v>-63.111634106218517</v>
      </c>
      <c r="DA357" s="88">
        <v>-63.134755947412202</v>
      </c>
      <c r="DB357" s="88">
        <v>-63.158274202560349</v>
      </c>
      <c r="DC357" s="88">
        <v>-63.181430237171732</v>
      </c>
      <c r="DD357" s="88">
        <v>-63.20460325763424</v>
      </c>
      <c r="DE357" s="88">
        <v>-63.227793282648108</v>
      </c>
      <c r="DF357" s="88">
        <v>-63.25100033093598</v>
      </c>
      <c r="DG357" s="93">
        <v>46143</v>
      </c>
      <c r="DH357" s="91">
        <v>0.02</v>
      </c>
      <c r="DI357" t="s">
        <v>301</v>
      </c>
      <c r="DJ357" s="93"/>
      <c r="DK357" s="91"/>
      <c r="DM357" s="93"/>
      <c r="DN357" s="91"/>
      <c r="DP357" s="93"/>
      <c r="DQ357" s="91"/>
    </row>
    <row r="358" spans="1:121" x14ac:dyDescent="0.3">
      <c r="A358" t="s">
        <v>32</v>
      </c>
      <c r="B358" t="s">
        <v>45</v>
      </c>
      <c r="C358" t="s">
        <v>96</v>
      </c>
      <c r="D358" t="s">
        <v>383</v>
      </c>
      <c r="E358" t="s">
        <v>721</v>
      </c>
      <c r="F358" s="86">
        <v>11200</v>
      </c>
      <c r="G358" s="87">
        <v>6</v>
      </c>
      <c r="H358" s="88">
        <v>1</v>
      </c>
      <c r="I358" s="88">
        <v>1.0266666666666671</v>
      </c>
      <c r="J358" s="89">
        <v>0.91399252370532447</v>
      </c>
      <c r="K358" s="88">
        <v>0.97402597402597413</v>
      </c>
      <c r="L358" s="88">
        <v>1.006572784939554</v>
      </c>
      <c r="M358" s="88">
        <v>1</v>
      </c>
      <c r="N358" s="90">
        <v>0.56399999999999995</v>
      </c>
      <c r="O358" s="90">
        <v>0.55296141302523572</v>
      </c>
      <c r="P358" s="90">
        <v>0.54250805251324086</v>
      </c>
      <c r="Q358" s="91">
        <v>0</v>
      </c>
      <c r="R358" s="88">
        <v>0.96153846153846168</v>
      </c>
      <c r="S358" s="88">
        <v>1.000369458535054</v>
      </c>
      <c r="T358" s="91">
        <v>2.666666666666662E-2</v>
      </c>
      <c r="U358" s="91">
        <v>1.298701298701288E-2</v>
      </c>
      <c r="V358" s="87">
        <v>0</v>
      </c>
      <c r="W358" s="91">
        <v>0</v>
      </c>
      <c r="X358" s="87">
        <v>1</v>
      </c>
      <c r="Y358" s="90">
        <v>0.55296141302523572</v>
      </c>
      <c r="Z358" s="90">
        <v>0.54250805251324086</v>
      </c>
      <c r="AA358" s="92">
        <v>0</v>
      </c>
      <c r="AB358" s="88">
        <v>0</v>
      </c>
      <c r="AC358" s="87">
        <v>0</v>
      </c>
      <c r="AD358" s="87">
        <v>1</v>
      </c>
      <c r="AE358" s="88">
        <v>1.036666666666666</v>
      </c>
      <c r="AF358" s="88">
        <v>1.0087961468131059</v>
      </c>
      <c r="AG358" s="88">
        <v>1.045785221138269</v>
      </c>
      <c r="AH358" s="88">
        <v>11200</v>
      </c>
      <c r="AI358" s="88">
        <v>11498.66666666667</v>
      </c>
      <c r="AJ358" s="88">
        <v>10236.71626549963</v>
      </c>
      <c r="AK358" s="88">
        <v>10909.09090909091</v>
      </c>
      <c r="AL358" s="88">
        <v>11273.61519132301</v>
      </c>
      <c r="AM358" s="88">
        <v>11200</v>
      </c>
      <c r="AN358" s="88">
        <v>6316.7999999999993</v>
      </c>
      <c r="AO358" s="88">
        <v>6193.1678258826396</v>
      </c>
      <c r="AP358" s="88">
        <v>6076.0901881482978</v>
      </c>
      <c r="AQ358" s="88">
        <v>0</v>
      </c>
      <c r="AR358" s="88">
        <v>10769.23076923077</v>
      </c>
      <c r="AS358" s="88">
        <v>11204.137935592609</v>
      </c>
      <c r="AT358" s="88">
        <v>6193.1678258826396</v>
      </c>
      <c r="AU358" s="88">
        <v>6076.0901881482978</v>
      </c>
      <c r="AV358" s="88">
        <v>10304</v>
      </c>
      <c r="AW358" s="88">
        <v>10192</v>
      </c>
      <c r="AX358" s="88">
        <v>10304</v>
      </c>
      <c r="AY358" s="88">
        <v>11200</v>
      </c>
      <c r="AZ358" s="88">
        <v>11200</v>
      </c>
      <c r="BA358" s="88">
        <v>11200</v>
      </c>
      <c r="BB358" s="88">
        <v>11200</v>
      </c>
      <c r="BC358" s="88">
        <v>11200</v>
      </c>
      <c r="BD358" s="88">
        <v>11200</v>
      </c>
      <c r="BE358" s="88">
        <v>11200</v>
      </c>
      <c r="BF358" s="88">
        <v>11200</v>
      </c>
      <c r="BG358" s="88">
        <v>11200</v>
      </c>
      <c r="BH358" s="88">
        <v>11200</v>
      </c>
      <c r="BI358" s="88">
        <v>11200</v>
      </c>
      <c r="BJ358" s="88">
        <v>11200</v>
      </c>
      <c r="BK358" s="88">
        <v>98.91239913379124</v>
      </c>
      <c r="BL358" s="88">
        <v>550.79552213544684</v>
      </c>
      <c r="BM358" s="88">
        <v>550.72225376614267</v>
      </c>
      <c r="BN358" s="88">
        <v>550.64661145850914</v>
      </c>
      <c r="BO358" s="88">
        <v>550.57108047141662</v>
      </c>
      <c r="BP358" s="88">
        <v>550.4956605593062</v>
      </c>
      <c r="BQ358" s="88">
        <v>550.42035147733509</v>
      </c>
      <c r="BR358" s="88">
        <v>550.3439211391036</v>
      </c>
      <c r="BS358" s="88">
        <v>550.26883479264973</v>
      </c>
      <c r="BT358" s="88">
        <v>550.19385854215773</v>
      </c>
      <c r="BU358" s="88">
        <v>550.11899214565221</v>
      </c>
      <c r="BV358" s="88">
        <v>550.04423536188904</v>
      </c>
      <c r="BW358" s="88">
        <v>0</v>
      </c>
      <c r="BX358" s="88">
        <v>448.0000000000004</v>
      </c>
      <c r="BY358" s="88">
        <v>448.0000000000004</v>
      </c>
      <c r="BZ358" s="88">
        <v>448.0000000000004</v>
      </c>
      <c r="CA358" s="88">
        <v>448.0000000000004</v>
      </c>
      <c r="CB358" s="88">
        <v>448.0000000000004</v>
      </c>
      <c r="CC358" s="88">
        <v>448.0000000000004</v>
      </c>
      <c r="CD358" s="88">
        <v>448.0000000000004</v>
      </c>
      <c r="CE358" s="88">
        <v>448.0000000000004</v>
      </c>
      <c r="CF358" s="88">
        <v>448.0000000000004</v>
      </c>
      <c r="CG358" s="88">
        <v>448.0000000000004</v>
      </c>
      <c r="CH358" s="88">
        <v>448.0000000000004</v>
      </c>
      <c r="CI358" s="88">
        <v>11200</v>
      </c>
      <c r="CJ358" s="88">
        <v>11200</v>
      </c>
      <c r="CK358" s="88">
        <v>11200</v>
      </c>
      <c r="CL358" s="88">
        <v>11200</v>
      </c>
      <c r="CM358" s="88">
        <v>11200</v>
      </c>
      <c r="CN358" s="88">
        <v>11200</v>
      </c>
      <c r="CO358" s="88">
        <v>11200</v>
      </c>
      <c r="CP358" s="88">
        <v>11200</v>
      </c>
      <c r="CQ358" s="88">
        <v>11200</v>
      </c>
      <c r="CR358" s="88">
        <v>11200</v>
      </c>
      <c r="CS358" s="88">
        <v>11200</v>
      </c>
      <c r="CT358" s="88">
        <v>11200</v>
      </c>
      <c r="CU358" s="88">
        <v>98.91239913379124</v>
      </c>
      <c r="CV358" s="88">
        <v>98.841848207160865</v>
      </c>
      <c r="CW358" s="88">
        <v>98.771397852059906</v>
      </c>
      <c r="CX358" s="88">
        <v>98.69866486395118</v>
      </c>
      <c r="CY358" s="88">
        <v>98.6260389148228</v>
      </c>
      <c r="CZ358" s="88">
        <v>98.553519768563547</v>
      </c>
      <c r="DA358" s="88">
        <v>98.481107189746098</v>
      </c>
      <c r="DB358" s="88">
        <v>98.407616479906679</v>
      </c>
      <c r="DC358" s="88">
        <v>98.335418069854086</v>
      </c>
      <c r="DD358" s="88">
        <v>98.263325521304523</v>
      </c>
      <c r="DE358" s="88">
        <v>98.19133860158864</v>
      </c>
      <c r="DF358" s="88">
        <v>98.119457078738392</v>
      </c>
      <c r="DG358" s="93">
        <v>46419</v>
      </c>
      <c r="DH358" s="91">
        <v>0.04</v>
      </c>
      <c r="DI358" t="s">
        <v>302</v>
      </c>
      <c r="DJ358" s="93"/>
      <c r="DK358" s="91"/>
      <c r="DM358" s="93"/>
      <c r="DN358" s="91"/>
      <c r="DP358" s="93"/>
      <c r="DQ358" s="91"/>
    </row>
    <row r="359" spans="1:121" x14ac:dyDescent="0.3">
      <c r="A359" t="s">
        <v>32</v>
      </c>
      <c r="B359" t="s">
        <v>47</v>
      </c>
      <c r="C359" t="s">
        <v>43</v>
      </c>
      <c r="D359" t="s">
        <v>385</v>
      </c>
      <c r="E359" t="s">
        <v>722</v>
      </c>
      <c r="F359" s="86">
        <v>8000</v>
      </c>
      <c r="G359" s="87">
        <v>6</v>
      </c>
      <c r="H359" s="88">
        <v>1.04</v>
      </c>
      <c r="I359" s="88">
        <v>1.04</v>
      </c>
      <c r="J359" s="89">
        <v>0.90600747629467537</v>
      </c>
      <c r="K359" s="88">
        <v>1</v>
      </c>
      <c r="L359" s="88">
        <v>1.0154441592055621</v>
      </c>
      <c r="M359" s="88">
        <v>1</v>
      </c>
      <c r="N359" s="90">
        <v>0.59199999999999997</v>
      </c>
      <c r="O359" s="90">
        <v>0.601142942249693</v>
      </c>
      <c r="P359" s="90">
        <v>0.60492717785583572</v>
      </c>
      <c r="Q359" s="91">
        <v>0</v>
      </c>
      <c r="R359" s="88">
        <v>1</v>
      </c>
      <c r="S359" s="88">
        <v>1.021836449080803</v>
      </c>
      <c r="T359" s="91">
        <v>0</v>
      </c>
      <c r="U359" s="91">
        <v>0</v>
      </c>
      <c r="V359" s="87">
        <v>0</v>
      </c>
      <c r="W359" s="91">
        <v>0</v>
      </c>
      <c r="X359" s="87">
        <v>1</v>
      </c>
      <c r="Y359" s="90">
        <v>0.601142942249693</v>
      </c>
      <c r="Z359" s="90">
        <v>0.60492717785583572</v>
      </c>
      <c r="AA359" s="92">
        <v>0</v>
      </c>
      <c r="AB359" s="88">
        <v>0</v>
      </c>
      <c r="AC359" s="87">
        <v>1</v>
      </c>
      <c r="AD359" s="87">
        <v>0</v>
      </c>
      <c r="AE359" s="88">
        <v>1.02</v>
      </c>
      <c r="AF359" s="88">
        <v>0.99124238763980388</v>
      </c>
      <c r="AG359" s="88">
        <v>1.011067619749678</v>
      </c>
      <c r="AH359" s="88">
        <v>8320</v>
      </c>
      <c r="AI359" s="88">
        <v>8319.9999999999982</v>
      </c>
      <c r="AJ359" s="88">
        <v>7248.059810357403</v>
      </c>
      <c r="AK359" s="88">
        <v>8000.0000000000018</v>
      </c>
      <c r="AL359" s="88">
        <v>8123.5532736444984</v>
      </c>
      <c r="AM359" s="88">
        <v>8000</v>
      </c>
      <c r="AN359" s="88">
        <v>4736</v>
      </c>
      <c r="AO359" s="88">
        <v>4809.1435379975437</v>
      </c>
      <c r="AP359" s="88">
        <v>4839.4174228466854</v>
      </c>
      <c r="AQ359" s="88">
        <v>0</v>
      </c>
      <c r="AR359" s="88">
        <v>8000.0000000000018</v>
      </c>
      <c r="AS359" s="88">
        <v>8174.6915926464271</v>
      </c>
      <c r="AT359" s="88">
        <v>4809.1435379975437</v>
      </c>
      <c r="AU359" s="88">
        <v>4839.4174228466854</v>
      </c>
      <c r="AV359" s="88">
        <v>7360</v>
      </c>
      <c r="AW359" s="88">
        <v>7280</v>
      </c>
      <c r="AX359" s="88">
        <v>7200</v>
      </c>
      <c r="AY359" s="88">
        <v>8000</v>
      </c>
      <c r="AZ359" s="88">
        <v>8000</v>
      </c>
      <c r="BA359" s="88">
        <v>8000</v>
      </c>
      <c r="BB359" s="88">
        <v>8000</v>
      </c>
      <c r="BC359" s="88">
        <v>8000</v>
      </c>
      <c r="BD359" s="88">
        <v>8000</v>
      </c>
      <c r="BE359" s="88">
        <v>8000</v>
      </c>
      <c r="BF359" s="88">
        <v>8000</v>
      </c>
      <c r="BG359" s="88">
        <v>8000</v>
      </c>
      <c r="BH359" s="88">
        <v>8000</v>
      </c>
      <c r="BI359" s="88">
        <v>8000</v>
      </c>
      <c r="BJ359" s="88">
        <v>8000</v>
      </c>
      <c r="BK359" s="88">
        <v>247.42654351229021</v>
      </c>
      <c r="BL359" s="88">
        <v>247.37534377615759</v>
      </c>
      <c r="BM359" s="88">
        <v>247.32407174737679</v>
      </c>
      <c r="BN359" s="88">
        <v>247.27098551071691</v>
      </c>
      <c r="BO359" s="88">
        <v>247.217821663531</v>
      </c>
      <c r="BP359" s="88">
        <v>247.1645800354967</v>
      </c>
      <c r="BQ359" s="88">
        <v>-70.085326484812242</v>
      </c>
      <c r="BR359" s="88">
        <v>-70.137512760464205</v>
      </c>
      <c r="BS359" s="88">
        <v>-70.188933224364376</v>
      </c>
      <c r="BT359" s="88">
        <v>-70.24042914015638</v>
      </c>
      <c r="BU359" s="88">
        <v>-70.292000674032636</v>
      </c>
      <c r="BV359" s="88">
        <v>-70.34364799267756</v>
      </c>
      <c r="BW359" s="88">
        <v>320.00000000000028</v>
      </c>
      <c r="BX359" s="88">
        <v>320.00000000000028</v>
      </c>
      <c r="BY359" s="88">
        <v>320.00000000000028</v>
      </c>
      <c r="BZ359" s="88">
        <v>320.00000000000028</v>
      </c>
      <c r="CA359" s="88">
        <v>320.00000000000028</v>
      </c>
      <c r="CB359" s="88">
        <v>320.00000000000028</v>
      </c>
      <c r="CC359" s="88">
        <v>0</v>
      </c>
      <c r="CD359" s="88">
        <v>0</v>
      </c>
      <c r="CE359" s="88">
        <v>0</v>
      </c>
      <c r="CF359" s="88">
        <v>0</v>
      </c>
      <c r="CG359" s="88">
        <v>0</v>
      </c>
      <c r="CH359" s="88">
        <v>0</v>
      </c>
      <c r="CI359" s="88">
        <v>8000</v>
      </c>
      <c r="CJ359" s="88">
        <v>8000</v>
      </c>
      <c r="CK359" s="88">
        <v>8000</v>
      </c>
      <c r="CL359" s="88">
        <v>8000</v>
      </c>
      <c r="CM359" s="88">
        <v>8000</v>
      </c>
      <c r="CN359" s="88">
        <v>8000</v>
      </c>
      <c r="CO359" s="88">
        <v>8000</v>
      </c>
      <c r="CP359" s="88">
        <v>8000</v>
      </c>
      <c r="CQ359" s="88">
        <v>8000</v>
      </c>
      <c r="CR359" s="88">
        <v>8000</v>
      </c>
      <c r="CS359" s="88">
        <v>8000</v>
      </c>
      <c r="CT359" s="88">
        <v>8000</v>
      </c>
      <c r="CU359" s="88">
        <v>-69.782169699720953</v>
      </c>
      <c r="CV359" s="88">
        <v>-69.831400215233145</v>
      </c>
      <c r="CW359" s="88">
        <v>-69.880700242906713</v>
      </c>
      <c r="CX359" s="88">
        <v>-69.931744701233526</v>
      </c>
      <c r="CY359" s="88">
        <v>-69.982863785066129</v>
      </c>
      <c r="CZ359" s="88">
        <v>-70.034057658175726</v>
      </c>
      <c r="DA359" s="88">
        <v>-70.085326484812242</v>
      </c>
      <c r="DB359" s="88">
        <v>-70.137512760464205</v>
      </c>
      <c r="DC359" s="88">
        <v>-70.188933224364376</v>
      </c>
      <c r="DD359" s="88">
        <v>-70.24042914015638</v>
      </c>
      <c r="DE359" s="88">
        <v>-70.292000674032636</v>
      </c>
      <c r="DF359" s="88">
        <v>-70.34364799267756</v>
      </c>
      <c r="DG359" s="93">
        <v>46204</v>
      </c>
      <c r="DH359" s="91">
        <v>0.04</v>
      </c>
      <c r="DI359" t="s">
        <v>301</v>
      </c>
      <c r="DJ359" s="93"/>
      <c r="DK359" s="91"/>
      <c r="DM359" s="93"/>
      <c r="DN359" s="91"/>
      <c r="DP359" s="93"/>
      <c r="DQ359" s="91"/>
    </row>
    <row r="360" spans="1:121" x14ac:dyDescent="0.3">
      <c r="A360" t="s">
        <v>32</v>
      </c>
      <c r="B360" t="s">
        <v>47</v>
      </c>
      <c r="C360" t="s">
        <v>46</v>
      </c>
      <c r="D360" t="s">
        <v>387</v>
      </c>
      <c r="E360" t="s">
        <v>723</v>
      </c>
      <c r="F360" s="86">
        <v>18400</v>
      </c>
      <c r="G360" s="87">
        <v>6</v>
      </c>
      <c r="H360" s="88">
        <v>1.05</v>
      </c>
      <c r="I360" s="88">
        <v>1.049652777777778</v>
      </c>
      <c r="J360" s="89">
        <v>0.91199626185266247</v>
      </c>
      <c r="K360" s="88">
        <v>1.0003307972213029</v>
      </c>
      <c r="L360" s="88">
        <v>1.008776064642062</v>
      </c>
      <c r="M360" s="88">
        <v>1</v>
      </c>
      <c r="N360" s="90">
        <v>0.57599999999999996</v>
      </c>
      <c r="O360" s="90">
        <v>0.58124722461762945</v>
      </c>
      <c r="P360" s="90">
        <v>0.57925509134573383</v>
      </c>
      <c r="Q360" s="91">
        <v>0</v>
      </c>
      <c r="R360" s="88">
        <v>1</v>
      </c>
      <c r="S360" s="88">
        <v>1.00565120025301</v>
      </c>
      <c r="T360" s="91">
        <v>-3.3068783068768148E-4</v>
      </c>
      <c r="U360" s="91">
        <v>3.3079722130313632E-4</v>
      </c>
      <c r="V360" s="87">
        <v>0</v>
      </c>
      <c r="W360" s="91">
        <v>0</v>
      </c>
      <c r="X360" s="87">
        <v>1</v>
      </c>
      <c r="Y360" s="90">
        <v>0.58124722461762945</v>
      </c>
      <c r="Z360" s="90">
        <v>0.57925509134573383</v>
      </c>
      <c r="AA360" s="92">
        <v>0</v>
      </c>
      <c r="AB360" s="88">
        <v>0</v>
      </c>
      <c r="AC360" s="87">
        <v>1</v>
      </c>
      <c r="AD360" s="87">
        <v>0</v>
      </c>
      <c r="AE360" s="88">
        <v>1.029166666666667</v>
      </c>
      <c r="AF360" s="88">
        <v>1.0043932196204439</v>
      </c>
      <c r="AG360" s="88">
        <v>1.033688139473748</v>
      </c>
      <c r="AH360" s="88">
        <v>19320</v>
      </c>
      <c r="AI360" s="88">
        <v>19313.61111111112</v>
      </c>
      <c r="AJ360" s="88">
        <v>16780.731218088989</v>
      </c>
      <c r="AK360" s="88">
        <v>18406.08666887198</v>
      </c>
      <c r="AL360" s="88">
        <v>18561.479589413939</v>
      </c>
      <c r="AM360" s="88">
        <v>18400</v>
      </c>
      <c r="AN360" s="88">
        <v>10598.4</v>
      </c>
      <c r="AO360" s="88">
        <v>10694.94893296438</v>
      </c>
      <c r="AP360" s="88">
        <v>10658.293680761501</v>
      </c>
      <c r="AQ360" s="88">
        <v>0</v>
      </c>
      <c r="AR360" s="88">
        <v>18400</v>
      </c>
      <c r="AS360" s="88">
        <v>18503.982084655388</v>
      </c>
      <c r="AT360" s="88">
        <v>10694.94893296438</v>
      </c>
      <c r="AU360" s="88">
        <v>10658.293680761501</v>
      </c>
      <c r="AV360" s="88">
        <v>16928</v>
      </c>
      <c r="AW360" s="88">
        <v>16744</v>
      </c>
      <c r="AX360" s="88">
        <v>16836</v>
      </c>
      <c r="AY360" s="88">
        <v>18400</v>
      </c>
      <c r="AZ360" s="88">
        <v>18400</v>
      </c>
      <c r="BA360" s="88">
        <v>18400</v>
      </c>
      <c r="BB360" s="88">
        <v>18400</v>
      </c>
      <c r="BC360" s="88">
        <v>18400</v>
      </c>
      <c r="BD360" s="88">
        <v>18400</v>
      </c>
      <c r="BE360" s="88">
        <v>18400</v>
      </c>
      <c r="BF360" s="88">
        <v>18400</v>
      </c>
      <c r="BG360" s="88">
        <v>18400</v>
      </c>
      <c r="BH360" s="88">
        <v>18400</v>
      </c>
      <c r="BI360" s="88">
        <v>18400</v>
      </c>
      <c r="BJ360" s="88">
        <v>18400</v>
      </c>
      <c r="BK360" s="88">
        <v>1005.047005119611</v>
      </c>
      <c r="BL360" s="88">
        <v>1005.016757890678</v>
      </c>
      <c r="BM360" s="88">
        <v>1004.986532169135</v>
      </c>
      <c r="BN360" s="88">
        <v>1004.955304435825</v>
      </c>
      <c r="BO360" s="88">
        <v>1004.924099642929</v>
      </c>
      <c r="BP360" s="88">
        <v>1004.89291776518</v>
      </c>
      <c r="BQ360" s="88">
        <v>1004.8617587773419</v>
      </c>
      <c r="BR360" s="88">
        <v>80.790583253635262</v>
      </c>
      <c r="BS360" s="88">
        <v>80.760951911399204</v>
      </c>
      <c r="BT360" s="88">
        <v>80.731342296804698</v>
      </c>
      <c r="BU360" s="88">
        <v>80.701754385963113</v>
      </c>
      <c r="BV360" s="88">
        <v>80.672188155026703</v>
      </c>
      <c r="BW360" s="88">
        <v>920.0000000000008</v>
      </c>
      <c r="BX360" s="88">
        <v>920.0000000000008</v>
      </c>
      <c r="BY360" s="88">
        <v>920.0000000000008</v>
      </c>
      <c r="BZ360" s="88">
        <v>920.0000000000008</v>
      </c>
      <c r="CA360" s="88">
        <v>920.0000000000008</v>
      </c>
      <c r="CB360" s="88">
        <v>920.0000000000008</v>
      </c>
      <c r="CC360" s="88">
        <v>920.0000000000008</v>
      </c>
      <c r="CD360" s="88">
        <v>0</v>
      </c>
      <c r="CE360" s="88">
        <v>0</v>
      </c>
      <c r="CF360" s="88">
        <v>0</v>
      </c>
      <c r="CG360" s="88">
        <v>0</v>
      </c>
      <c r="CH360" s="88">
        <v>0</v>
      </c>
      <c r="CI360" s="88">
        <v>18400</v>
      </c>
      <c r="CJ360" s="88">
        <v>18400</v>
      </c>
      <c r="CK360" s="88">
        <v>18400</v>
      </c>
      <c r="CL360" s="88">
        <v>18400</v>
      </c>
      <c r="CM360" s="88">
        <v>18400</v>
      </c>
      <c r="CN360" s="88">
        <v>18400</v>
      </c>
      <c r="CO360" s="88">
        <v>18400</v>
      </c>
      <c r="CP360" s="88">
        <v>18400</v>
      </c>
      <c r="CQ360" s="88">
        <v>18400</v>
      </c>
      <c r="CR360" s="88">
        <v>18400</v>
      </c>
      <c r="CS360" s="88">
        <v>18400</v>
      </c>
      <c r="CT360" s="88">
        <v>18400</v>
      </c>
      <c r="CU360" s="88">
        <v>80.997147732961849</v>
      </c>
      <c r="CV360" s="88">
        <v>80.968340848262869</v>
      </c>
      <c r="CW360" s="88">
        <v>80.93955444679483</v>
      </c>
      <c r="CX360" s="88">
        <v>80.909813748405313</v>
      </c>
      <c r="CY360" s="88">
        <v>80.880094898027892</v>
      </c>
      <c r="CZ360" s="88">
        <v>80.85039787159829</v>
      </c>
      <c r="DA360" s="88">
        <v>80.820722645084857</v>
      </c>
      <c r="DB360" s="88">
        <v>80.790583253635262</v>
      </c>
      <c r="DC360" s="88">
        <v>80.760951911399204</v>
      </c>
      <c r="DD360" s="88">
        <v>80.731342296804698</v>
      </c>
      <c r="DE360" s="88">
        <v>80.701754385963113</v>
      </c>
      <c r="DF360" s="88">
        <v>80.672188155026703</v>
      </c>
      <c r="DG360" s="93">
        <v>46235</v>
      </c>
      <c r="DH360" s="91">
        <v>0.05</v>
      </c>
      <c r="DI360" t="s">
        <v>301</v>
      </c>
      <c r="DJ360" s="93"/>
      <c r="DK360" s="91"/>
      <c r="DM360" s="93"/>
      <c r="DN360" s="91"/>
      <c r="DP360" s="93"/>
      <c r="DQ360" s="91"/>
    </row>
    <row r="361" spans="1:121" x14ac:dyDescent="0.3">
      <c r="A361" t="s">
        <v>32</v>
      </c>
      <c r="B361" t="s">
        <v>47</v>
      </c>
      <c r="C361" t="s">
        <v>48</v>
      </c>
      <c r="D361" t="s">
        <v>389</v>
      </c>
      <c r="E361" t="s">
        <v>724</v>
      </c>
      <c r="F361" s="86">
        <v>15200</v>
      </c>
      <c r="G361" s="87">
        <v>6</v>
      </c>
      <c r="H361" s="88">
        <v>1</v>
      </c>
      <c r="I361" s="88">
        <v>1</v>
      </c>
      <c r="J361" s="89">
        <v>0.91798504741064912</v>
      </c>
      <c r="K361" s="88">
        <v>1</v>
      </c>
      <c r="L361" s="88">
        <v>1.002194973213381</v>
      </c>
      <c r="M361" s="88">
        <v>1</v>
      </c>
      <c r="N361" s="90">
        <v>0.56000000000000005</v>
      </c>
      <c r="O361" s="90">
        <v>0.56122918499949359</v>
      </c>
      <c r="P361" s="90">
        <v>0.55438358368467133</v>
      </c>
      <c r="Q361" s="91">
        <v>0</v>
      </c>
      <c r="R361" s="88">
        <v>1</v>
      </c>
      <c r="S361" s="88">
        <v>0.98997068515119868</v>
      </c>
      <c r="T361" s="91">
        <v>0</v>
      </c>
      <c r="U361" s="91">
        <v>0</v>
      </c>
      <c r="V361" s="87">
        <v>0</v>
      </c>
      <c r="W361" s="91">
        <v>0</v>
      </c>
      <c r="X361" s="87">
        <v>1</v>
      </c>
      <c r="Y361" s="90">
        <v>0.56122918499949359</v>
      </c>
      <c r="Z361" s="90">
        <v>0.55438358368467133</v>
      </c>
      <c r="AA361" s="92">
        <v>0</v>
      </c>
      <c r="AB361" s="88">
        <v>0</v>
      </c>
      <c r="AC361" s="87">
        <v>0</v>
      </c>
      <c r="AD361" s="87">
        <v>0</v>
      </c>
      <c r="AE361" s="88">
        <v>1</v>
      </c>
      <c r="AF361" s="88">
        <v>1.0176314239537809</v>
      </c>
      <c r="AG361" s="88">
        <v>1.0176314239537809</v>
      </c>
      <c r="AH361" s="88">
        <v>15200</v>
      </c>
      <c r="AI361" s="88">
        <v>15200</v>
      </c>
      <c r="AJ361" s="88">
        <v>13953.37272064187</v>
      </c>
      <c r="AK361" s="88">
        <v>15200</v>
      </c>
      <c r="AL361" s="88">
        <v>15233.363592843391</v>
      </c>
      <c r="AM361" s="88">
        <v>15200</v>
      </c>
      <c r="AN361" s="88">
        <v>8512</v>
      </c>
      <c r="AO361" s="88">
        <v>8530.6836119923028</v>
      </c>
      <c r="AP361" s="88">
        <v>8426.6304720070038</v>
      </c>
      <c r="AQ361" s="88">
        <v>0</v>
      </c>
      <c r="AR361" s="88">
        <v>15200</v>
      </c>
      <c r="AS361" s="88">
        <v>15047.55441429822</v>
      </c>
      <c r="AT361" s="88">
        <v>8530.6836119923028</v>
      </c>
      <c r="AU361" s="88">
        <v>8426.6304720070038</v>
      </c>
      <c r="AV361" s="88">
        <v>13984</v>
      </c>
      <c r="AW361" s="88">
        <v>13832</v>
      </c>
      <c r="AX361" s="88">
        <v>14136</v>
      </c>
      <c r="AY361" s="88">
        <v>15200</v>
      </c>
      <c r="AZ361" s="88">
        <v>15200</v>
      </c>
      <c r="BA361" s="88">
        <v>15200</v>
      </c>
      <c r="BB361" s="88">
        <v>15200</v>
      </c>
      <c r="BC361" s="88">
        <v>15200</v>
      </c>
      <c r="BD361" s="88">
        <v>15200</v>
      </c>
      <c r="BE361" s="88">
        <v>15200</v>
      </c>
      <c r="BF361" s="88">
        <v>15200</v>
      </c>
      <c r="BG361" s="88">
        <v>15200</v>
      </c>
      <c r="BH361" s="88">
        <v>15200</v>
      </c>
      <c r="BI361" s="88">
        <v>15200</v>
      </c>
      <c r="BJ361" s="88">
        <v>15200</v>
      </c>
      <c r="BK361" s="88">
        <v>270.15971951694729</v>
      </c>
      <c r="BL361" s="88">
        <v>269.77219129124097</v>
      </c>
      <c r="BM361" s="88">
        <v>269.38577324593399</v>
      </c>
      <c r="BN361" s="88">
        <v>268.98741848682607</v>
      </c>
      <c r="BO361" s="88">
        <v>268.59024012393462</v>
      </c>
      <c r="BP361" s="88">
        <v>268.19423295385809</v>
      </c>
      <c r="BQ361" s="88">
        <v>267.79939180383383</v>
      </c>
      <c r="BR361" s="88">
        <v>267.39926739926773</v>
      </c>
      <c r="BS361" s="88">
        <v>267.00676179704948</v>
      </c>
      <c r="BT361" s="88">
        <v>266.61540679513439</v>
      </c>
      <c r="BU361" s="88">
        <v>266.22519734158408</v>
      </c>
      <c r="BV361" s="88">
        <v>265.83612841398889</v>
      </c>
      <c r="BW361" s="88">
        <v>0</v>
      </c>
      <c r="BX361" s="88">
        <v>0</v>
      </c>
      <c r="BY361" s="88">
        <v>0</v>
      </c>
      <c r="BZ361" s="88">
        <v>0</v>
      </c>
      <c r="CA361" s="88">
        <v>0</v>
      </c>
      <c r="CB361" s="88">
        <v>0</v>
      </c>
      <c r="CC361" s="88">
        <v>0</v>
      </c>
      <c r="CD361" s="88">
        <v>0</v>
      </c>
      <c r="CE361" s="88">
        <v>0</v>
      </c>
      <c r="CF361" s="88">
        <v>0</v>
      </c>
      <c r="CG361" s="88">
        <v>0</v>
      </c>
      <c r="CH361" s="88">
        <v>0</v>
      </c>
      <c r="CI361" s="88">
        <v>15200</v>
      </c>
      <c r="CJ361" s="88">
        <v>15200</v>
      </c>
      <c r="CK361" s="88">
        <v>15200</v>
      </c>
      <c r="CL361" s="88">
        <v>15200</v>
      </c>
      <c r="CM361" s="88">
        <v>15200</v>
      </c>
      <c r="CN361" s="88">
        <v>15200</v>
      </c>
      <c r="CO361" s="88">
        <v>15200</v>
      </c>
      <c r="CP361" s="88">
        <v>15200</v>
      </c>
      <c r="CQ361" s="88">
        <v>15200</v>
      </c>
      <c r="CR361" s="88">
        <v>15200</v>
      </c>
      <c r="CS361" s="88">
        <v>15200</v>
      </c>
      <c r="CT361" s="88">
        <v>15200</v>
      </c>
      <c r="CU361" s="88">
        <v>270.15971951694729</v>
      </c>
      <c r="CV361" s="88">
        <v>269.77219129124097</v>
      </c>
      <c r="CW361" s="88">
        <v>269.38577324593399</v>
      </c>
      <c r="CX361" s="88">
        <v>268.98741848682607</v>
      </c>
      <c r="CY361" s="88">
        <v>268.59024012393462</v>
      </c>
      <c r="CZ361" s="88">
        <v>268.19423295385809</v>
      </c>
      <c r="DA361" s="88">
        <v>267.79939180383383</v>
      </c>
      <c r="DB361" s="88">
        <v>267.39926739926773</v>
      </c>
      <c r="DC361" s="88">
        <v>267.00676179704948</v>
      </c>
      <c r="DD361" s="88">
        <v>266.61540679513439</v>
      </c>
      <c r="DE361" s="88">
        <v>266.22519734158408</v>
      </c>
      <c r="DF361" s="88">
        <v>265.83612841398889</v>
      </c>
      <c r="DG361" s="93"/>
      <c r="DH361" s="91"/>
      <c r="DJ361" s="93"/>
      <c r="DK361" s="91"/>
      <c r="DM361" s="93"/>
      <c r="DN361" s="91"/>
      <c r="DP361" s="93"/>
      <c r="DQ361" s="91"/>
    </row>
    <row r="362" spans="1:121" x14ac:dyDescent="0.3">
      <c r="A362" t="s">
        <v>32</v>
      </c>
      <c r="B362" t="s">
        <v>47</v>
      </c>
      <c r="C362" t="s">
        <v>50</v>
      </c>
      <c r="D362" t="s">
        <v>391</v>
      </c>
      <c r="E362" t="s">
        <v>725</v>
      </c>
      <c r="F362" s="86">
        <v>12000</v>
      </c>
      <c r="G362" s="87">
        <v>6</v>
      </c>
      <c r="H362" s="88">
        <v>1.02</v>
      </c>
      <c r="I362" s="88">
        <v>1.0323500000000001</v>
      </c>
      <c r="J362" s="89">
        <v>0.90999999999999981</v>
      </c>
      <c r="K362" s="88">
        <v>0.98803700295442454</v>
      </c>
      <c r="L362" s="88">
        <v>1.0109890109890109</v>
      </c>
      <c r="M362" s="88">
        <v>1</v>
      </c>
      <c r="N362" s="90">
        <v>0.58799999999999997</v>
      </c>
      <c r="O362" s="90">
        <v>0.58734999683321487</v>
      </c>
      <c r="P362" s="90">
        <v>0.57159763313609468</v>
      </c>
      <c r="Q362" s="91">
        <v>0</v>
      </c>
      <c r="R362" s="88">
        <v>0.96153846153846134</v>
      </c>
      <c r="S362" s="88">
        <v>1.0109890109890109</v>
      </c>
      <c r="T362" s="91">
        <v>1.210784313725477E-2</v>
      </c>
      <c r="U362" s="91">
        <v>2.7558483072601669E-2</v>
      </c>
      <c r="V362" s="87">
        <v>0</v>
      </c>
      <c r="W362" s="91">
        <v>0</v>
      </c>
      <c r="X362" s="87">
        <v>1</v>
      </c>
      <c r="Y362" s="90">
        <v>0.58734999683321487</v>
      </c>
      <c r="Z362" s="90">
        <v>0.57159763313609468</v>
      </c>
      <c r="AA362" s="92">
        <v>0</v>
      </c>
      <c r="AB362" s="88">
        <v>0</v>
      </c>
      <c r="AC362" s="87">
        <v>1</v>
      </c>
      <c r="AD362" s="87">
        <v>1</v>
      </c>
      <c r="AE362" s="88">
        <v>1.0386</v>
      </c>
      <c r="AF362" s="88">
        <v>1</v>
      </c>
      <c r="AG362" s="88">
        <v>1.0386</v>
      </c>
      <c r="AH362" s="88">
        <v>12240</v>
      </c>
      <c r="AI362" s="88">
        <v>12388.2</v>
      </c>
      <c r="AJ362" s="88">
        <v>10920</v>
      </c>
      <c r="AK362" s="88">
        <v>11856.444035453091</v>
      </c>
      <c r="AL362" s="88">
        <v>12131.86813186813</v>
      </c>
      <c r="AM362" s="88">
        <v>12000</v>
      </c>
      <c r="AN362" s="88">
        <v>7056</v>
      </c>
      <c r="AO362" s="88">
        <v>7048.1999619985781</v>
      </c>
      <c r="AP362" s="88">
        <v>6859.1715976331361</v>
      </c>
      <c r="AQ362" s="88">
        <v>0</v>
      </c>
      <c r="AR362" s="88">
        <v>11538.461538461541</v>
      </c>
      <c r="AS362" s="88">
        <v>12131.86813186813</v>
      </c>
      <c r="AT362" s="88">
        <v>7048.1999619985781</v>
      </c>
      <c r="AU362" s="88">
        <v>6859.1715976331361</v>
      </c>
      <c r="AV362" s="88">
        <v>11040</v>
      </c>
      <c r="AW362" s="88">
        <v>10920</v>
      </c>
      <c r="AX362" s="88">
        <v>10920</v>
      </c>
      <c r="AY362" s="88">
        <v>12000</v>
      </c>
      <c r="AZ362" s="88">
        <v>12000</v>
      </c>
      <c r="BA362" s="88">
        <v>12000</v>
      </c>
      <c r="BB362" s="88">
        <v>12000</v>
      </c>
      <c r="BC362" s="88">
        <v>12000</v>
      </c>
      <c r="BD362" s="88">
        <v>12000</v>
      </c>
      <c r="BE362" s="88">
        <v>12000</v>
      </c>
      <c r="BF362" s="88">
        <v>12000</v>
      </c>
      <c r="BG362" s="88">
        <v>12000</v>
      </c>
      <c r="BH362" s="88">
        <v>12000</v>
      </c>
      <c r="BI362" s="88">
        <v>12000</v>
      </c>
      <c r="BJ362" s="88">
        <v>12000</v>
      </c>
      <c r="BK362" s="88">
        <v>240.0000000000002</v>
      </c>
      <c r="BL362" s="88">
        <v>240.0000000000002</v>
      </c>
      <c r="BM362" s="88">
        <v>240.0000000000002</v>
      </c>
      <c r="BN362" s="88">
        <v>240.0000000000002</v>
      </c>
      <c r="BO362" s="88">
        <v>240.0000000000002</v>
      </c>
      <c r="BP362" s="88">
        <v>729.59999999999957</v>
      </c>
      <c r="BQ362" s="88">
        <v>729.59999999999957</v>
      </c>
      <c r="BR362" s="88">
        <v>729.59999999999957</v>
      </c>
      <c r="BS362" s="88">
        <v>729.59999999999957</v>
      </c>
      <c r="BT362" s="88">
        <v>480.00000000000051</v>
      </c>
      <c r="BU362" s="88">
        <v>480.00000000000051</v>
      </c>
      <c r="BV362" s="88">
        <v>480.00000000000051</v>
      </c>
      <c r="BW362" s="88">
        <v>240.0000000000002</v>
      </c>
      <c r="BX362" s="88">
        <v>240.0000000000002</v>
      </c>
      <c r="BY362" s="88">
        <v>240.0000000000002</v>
      </c>
      <c r="BZ362" s="88">
        <v>240.0000000000002</v>
      </c>
      <c r="CA362" s="88">
        <v>240.0000000000002</v>
      </c>
      <c r="CB362" s="88">
        <v>729.59999999999957</v>
      </c>
      <c r="CC362" s="88">
        <v>729.59999999999957</v>
      </c>
      <c r="CD362" s="88">
        <v>729.59999999999957</v>
      </c>
      <c r="CE362" s="88">
        <v>729.59999999999957</v>
      </c>
      <c r="CF362" s="88">
        <v>480.00000000000051</v>
      </c>
      <c r="CG362" s="88">
        <v>480.00000000000051</v>
      </c>
      <c r="CH362" s="88">
        <v>480.00000000000051</v>
      </c>
      <c r="CI362" s="88">
        <v>12000</v>
      </c>
      <c r="CJ362" s="88">
        <v>12000</v>
      </c>
      <c r="CK362" s="88">
        <v>12000</v>
      </c>
      <c r="CL362" s="88">
        <v>12000</v>
      </c>
      <c r="CM362" s="88">
        <v>12000</v>
      </c>
      <c r="CN362" s="88">
        <v>12000</v>
      </c>
      <c r="CO362" s="88">
        <v>12000</v>
      </c>
      <c r="CP362" s="88">
        <v>12000</v>
      </c>
      <c r="CQ362" s="88">
        <v>12000</v>
      </c>
      <c r="CR362" s="88">
        <v>12000</v>
      </c>
      <c r="CS362" s="88">
        <v>12000</v>
      </c>
      <c r="CT362" s="88">
        <v>12000</v>
      </c>
      <c r="CU362" s="88">
        <v>0</v>
      </c>
      <c r="CV362" s="88">
        <v>0</v>
      </c>
      <c r="CW362" s="88">
        <v>0</v>
      </c>
      <c r="CX362" s="88">
        <v>0</v>
      </c>
      <c r="CY362" s="88">
        <v>0</v>
      </c>
      <c r="CZ362" s="88">
        <v>0</v>
      </c>
      <c r="DA362" s="88">
        <v>0</v>
      </c>
      <c r="DB362" s="88">
        <v>0</v>
      </c>
      <c r="DC362" s="88">
        <v>0</v>
      </c>
      <c r="DD362" s="88">
        <v>0</v>
      </c>
      <c r="DE362" s="88">
        <v>0</v>
      </c>
      <c r="DF362" s="88">
        <v>0</v>
      </c>
      <c r="DG362" s="93">
        <v>46296</v>
      </c>
      <c r="DH362" s="91">
        <v>0.02</v>
      </c>
      <c r="DI362" t="s">
        <v>301</v>
      </c>
      <c r="DJ362" s="93">
        <v>46539</v>
      </c>
      <c r="DK362" s="91">
        <v>0.04</v>
      </c>
      <c r="DL362" t="s">
        <v>302</v>
      </c>
      <c r="DM362" s="93"/>
      <c r="DN362" s="91"/>
      <c r="DP362" s="93"/>
      <c r="DQ362" s="91"/>
    </row>
    <row r="363" spans="1:121" x14ac:dyDescent="0.3">
      <c r="A363" t="s">
        <v>32</v>
      </c>
      <c r="B363" t="s">
        <v>47</v>
      </c>
      <c r="C363" t="s">
        <v>57</v>
      </c>
      <c r="D363" t="s">
        <v>393</v>
      </c>
      <c r="E363" t="s">
        <v>726</v>
      </c>
      <c r="F363" s="86">
        <v>8800</v>
      </c>
      <c r="G363" s="87">
        <v>6</v>
      </c>
      <c r="H363" s="88">
        <v>1</v>
      </c>
      <c r="I363" s="88">
        <v>1</v>
      </c>
      <c r="J363" s="89">
        <v>0.91598878555798668</v>
      </c>
      <c r="K363" s="88">
        <v>1</v>
      </c>
      <c r="L363" s="88">
        <v>1.0043791086804299</v>
      </c>
      <c r="M363" s="88">
        <v>1</v>
      </c>
      <c r="N363" s="90">
        <v>0.57199999999999995</v>
      </c>
      <c r="O363" s="90">
        <v>0.5745048501652058</v>
      </c>
      <c r="P363" s="90">
        <v>0.56922174281372151</v>
      </c>
      <c r="Q363" s="91">
        <v>0</v>
      </c>
      <c r="R363" s="88">
        <v>1</v>
      </c>
      <c r="S363" s="88">
        <v>0.99514290701699581</v>
      </c>
      <c r="T363" s="91">
        <v>0</v>
      </c>
      <c r="U363" s="91">
        <v>0</v>
      </c>
      <c r="V363" s="87">
        <v>0</v>
      </c>
      <c r="W363" s="91">
        <v>0</v>
      </c>
      <c r="X363" s="87">
        <v>1</v>
      </c>
      <c r="Y363" s="90">
        <v>0.5745048501652058</v>
      </c>
      <c r="Z363" s="90">
        <v>0.56922174281372151</v>
      </c>
      <c r="AA363" s="92">
        <v>0</v>
      </c>
      <c r="AB363" s="88">
        <v>0</v>
      </c>
      <c r="AC363" s="87">
        <v>0</v>
      </c>
      <c r="AD363" s="87">
        <v>0</v>
      </c>
      <c r="AE363" s="88">
        <v>1</v>
      </c>
      <c r="AF363" s="88">
        <v>1.0132088564102011</v>
      </c>
      <c r="AG363" s="88">
        <v>1.0132088564102011</v>
      </c>
      <c r="AH363" s="88">
        <v>8800</v>
      </c>
      <c r="AI363" s="88">
        <v>8800</v>
      </c>
      <c r="AJ363" s="88">
        <v>8060.7013129102816</v>
      </c>
      <c r="AK363" s="88">
        <v>8800</v>
      </c>
      <c r="AL363" s="88">
        <v>8838.5361563877832</v>
      </c>
      <c r="AM363" s="88">
        <v>8800</v>
      </c>
      <c r="AN363" s="88">
        <v>5033.5999999999995</v>
      </c>
      <c r="AO363" s="88">
        <v>5055.6426814538108</v>
      </c>
      <c r="AP363" s="88">
        <v>5009.1513367607486</v>
      </c>
      <c r="AQ363" s="88">
        <v>0</v>
      </c>
      <c r="AR363" s="88">
        <v>8800</v>
      </c>
      <c r="AS363" s="88">
        <v>8757.2575817495635</v>
      </c>
      <c r="AT363" s="88">
        <v>5055.6426814538108</v>
      </c>
      <c r="AU363" s="88">
        <v>5009.1513367607486</v>
      </c>
      <c r="AV363" s="88">
        <v>8096</v>
      </c>
      <c r="AW363" s="88">
        <v>8008</v>
      </c>
      <c r="AX363" s="88">
        <v>8140</v>
      </c>
      <c r="AY363" s="88">
        <v>8800</v>
      </c>
      <c r="AZ363" s="88">
        <v>8800</v>
      </c>
      <c r="BA363" s="88">
        <v>8800</v>
      </c>
      <c r="BB363" s="88">
        <v>8800</v>
      </c>
      <c r="BC363" s="88">
        <v>8800</v>
      </c>
      <c r="BD363" s="88">
        <v>8800</v>
      </c>
      <c r="BE363" s="88">
        <v>8800</v>
      </c>
      <c r="BF363" s="88">
        <v>8800</v>
      </c>
      <c r="BG363" s="88">
        <v>8800</v>
      </c>
      <c r="BH363" s="88">
        <v>8800</v>
      </c>
      <c r="BI363" s="88">
        <v>8800</v>
      </c>
      <c r="BJ363" s="88">
        <v>8800</v>
      </c>
      <c r="BK363" s="88">
        <v>116.93961881761869</v>
      </c>
      <c r="BL363" s="88">
        <v>116.81415929203651</v>
      </c>
      <c r="BM363" s="88">
        <v>116.68896867828791</v>
      </c>
      <c r="BN363" s="88">
        <v>116.55981613644749</v>
      </c>
      <c r="BO363" s="88">
        <v>116.43094917322679</v>
      </c>
      <c r="BP363" s="88">
        <v>116.3023668424794</v>
      </c>
      <c r="BQ363" s="88">
        <v>116.17406820223211</v>
      </c>
      <c r="BR363" s="88">
        <v>116.04395604395761</v>
      </c>
      <c r="BS363" s="88">
        <v>115.9162265875933</v>
      </c>
      <c r="BT363" s="88">
        <v>115.78877800541839</v>
      </c>
      <c r="BU363" s="88">
        <v>115.6616093719984</v>
      </c>
      <c r="BV363" s="88">
        <v>115.5347197659557</v>
      </c>
      <c r="BW363" s="88">
        <v>0</v>
      </c>
      <c r="BX363" s="88">
        <v>0</v>
      </c>
      <c r="BY363" s="88">
        <v>0</v>
      </c>
      <c r="BZ363" s="88">
        <v>0</v>
      </c>
      <c r="CA363" s="88">
        <v>0</v>
      </c>
      <c r="CB363" s="88">
        <v>0</v>
      </c>
      <c r="CC363" s="88">
        <v>0</v>
      </c>
      <c r="CD363" s="88">
        <v>0</v>
      </c>
      <c r="CE363" s="88">
        <v>0</v>
      </c>
      <c r="CF363" s="88">
        <v>0</v>
      </c>
      <c r="CG363" s="88">
        <v>0</v>
      </c>
      <c r="CH363" s="88">
        <v>0</v>
      </c>
      <c r="CI363" s="88">
        <v>8800</v>
      </c>
      <c r="CJ363" s="88">
        <v>8800</v>
      </c>
      <c r="CK363" s="88">
        <v>8800</v>
      </c>
      <c r="CL363" s="88">
        <v>8800</v>
      </c>
      <c r="CM363" s="88">
        <v>8800</v>
      </c>
      <c r="CN363" s="88">
        <v>8800</v>
      </c>
      <c r="CO363" s="88">
        <v>8800</v>
      </c>
      <c r="CP363" s="88">
        <v>8800</v>
      </c>
      <c r="CQ363" s="88">
        <v>8800</v>
      </c>
      <c r="CR363" s="88">
        <v>8800</v>
      </c>
      <c r="CS363" s="88">
        <v>8800</v>
      </c>
      <c r="CT363" s="88">
        <v>8800</v>
      </c>
      <c r="CU363" s="88">
        <v>116.93961881761869</v>
      </c>
      <c r="CV363" s="88">
        <v>116.81415929203651</v>
      </c>
      <c r="CW363" s="88">
        <v>116.68896867828791</v>
      </c>
      <c r="CX363" s="88">
        <v>116.55981613644749</v>
      </c>
      <c r="CY363" s="88">
        <v>116.43094917322679</v>
      </c>
      <c r="CZ363" s="88">
        <v>116.3023668424794</v>
      </c>
      <c r="DA363" s="88">
        <v>116.17406820223211</v>
      </c>
      <c r="DB363" s="88">
        <v>116.04395604395761</v>
      </c>
      <c r="DC363" s="88">
        <v>115.9162265875933</v>
      </c>
      <c r="DD363" s="88">
        <v>115.78877800541839</v>
      </c>
      <c r="DE363" s="88">
        <v>115.6616093719984</v>
      </c>
      <c r="DF363" s="88">
        <v>115.5347197659557</v>
      </c>
      <c r="DG363" s="93"/>
      <c r="DH363" s="91"/>
      <c r="DJ363" s="93"/>
      <c r="DK363" s="91"/>
      <c r="DM363" s="93"/>
      <c r="DN363" s="91"/>
      <c r="DP363" s="93"/>
      <c r="DQ363" s="91"/>
    </row>
    <row r="364" spans="1:121" x14ac:dyDescent="0.3">
      <c r="A364" t="s">
        <v>32</v>
      </c>
      <c r="B364" t="s">
        <v>47</v>
      </c>
      <c r="C364" t="s">
        <v>58</v>
      </c>
      <c r="D364" t="s">
        <v>395</v>
      </c>
      <c r="E364" t="s">
        <v>727</v>
      </c>
      <c r="F364" s="86">
        <v>19200</v>
      </c>
      <c r="G364" s="87">
        <v>6</v>
      </c>
      <c r="H364" s="88">
        <v>1</v>
      </c>
      <c r="I364" s="88">
        <v>1</v>
      </c>
      <c r="J364" s="89">
        <v>0.9080037381473377</v>
      </c>
      <c r="K364" s="88">
        <v>1</v>
      </c>
      <c r="L364" s="88">
        <v>1.0132116877372539</v>
      </c>
      <c r="M364" s="88">
        <v>1</v>
      </c>
      <c r="N364" s="90">
        <v>0.6</v>
      </c>
      <c r="O364" s="90">
        <v>0.6079270126423526</v>
      </c>
      <c r="P364" s="90">
        <v>0.60983027299151116</v>
      </c>
      <c r="Q364" s="91">
        <v>0</v>
      </c>
      <c r="R364" s="88">
        <v>1</v>
      </c>
      <c r="S364" s="88">
        <v>1.0163837883191851</v>
      </c>
      <c r="T364" s="91">
        <v>0</v>
      </c>
      <c r="U364" s="91">
        <v>0</v>
      </c>
      <c r="V364" s="87">
        <v>0</v>
      </c>
      <c r="W364" s="91">
        <v>0</v>
      </c>
      <c r="X364" s="87">
        <v>1</v>
      </c>
      <c r="Y364" s="90">
        <v>0.6079270126423526</v>
      </c>
      <c r="Z364" s="90">
        <v>0.60983027299151116</v>
      </c>
      <c r="AA364" s="92">
        <v>0</v>
      </c>
      <c r="AB364" s="88">
        <v>0</v>
      </c>
      <c r="AC364" s="87">
        <v>0</v>
      </c>
      <c r="AD364" s="87">
        <v>0</v>
      </c>
      <c r="AE364" s="88">
        <v>1</v>
      </c>
      <c r="AF364" s="88">
        <v>0.99561641381999111</v>
      </c>
      <c r="AG364" s="88">
        <v>0.99561641381999111</v>
      </c>
      <c r="AH364" s="88">
        <v>19200</v>
      </c>
      <c r="AI364" s="88">
        <v>19200</v>
      </c>
      <c r="AJ364" s="88">
        <v>17433.671772428879</v>
      </c>
      <c r="AK364" s="88">
        <v>19200</v>
      </c>
      <c r="AL364" s="88">
        <v>19453.664404555278</v>
      </c>
      <c r="AM364" s="88">
        <v>19200</v>
      </c>
      <c r="AN364" s="88">
        <v>11520</v>
      </c>
      <c r="AO364" s="88">
        <v>11672.19864273317</v>
      </c>
      <c r="AP364" s="88">
        <v>11708.74124143701</v>
      </c>
      <c r="AQ364" s="88">
        <v>0</v>
      </c>
      <c r="AR364" s="88">
        <v>19200</v>
      </c>
      <c r="AS364" s="88">
        <v>19514.56873572836</v>
      </c>
      <c r="AT364" s="88">
        <v>11672.19864273317</v>
      </c>
      <c r="AU364" s="88">
        <v>11708.74124143701</v>
      </c>
      <c r="AV364" s="88">
        <v>17664</v>
      </c>
      <c r="AW364" s="88">
        <v>17472</v>
      </c>
      <c r="AX364" s="88">
        <v>17376</v>
      </c>
      <c r="AY364" s="88">
        <v>19200</v>
      </c>
      <c r="AZ364" s="88">
        <v>19200</v>
      </c>
      <c r="BA364" s="88">
        <v>19200</v>
      </c>
      <c r="BB364" s="88">
        <v>19200</v>
      </c>
      <c r="BC364" s="88">
        <v>19200</v>
      </c>
      <c r="BD364" s="88">
        <v>19200</v>
      </c>
      <c r="BE364" s="88">
        <v>19200</v>
      </c>
      <c r="BF364" s="88">
        <v>19200</v>
      </c>
      <c r="BG364" s="88">
        <v>19200</v>
      </c>
      <c r="BH364" s="88">
        <v>19200</v>
      </c>
      <c r="BI364" s="88">
        <v>19200</v>
      </c>
      <c r="BJ364" s="88">
        <v>19200</v>
      </c>
      <c r="BK364" s="88">
        <v>-83.997051473363626</v>
      </c>
      <c r="BL364" s="88">
        <v>-84.026761948154416</v>
      </c>
      <c r="BM364" s="88">
        <v>-84.056493448078839</v>
      </c>
      <c r="BN364" s="88">
        <v>-84.087254925486832</v>
      </c>
      <c r="BO364" s="88">
        <v>-84.118038926198579</v>
      </c>
      <c r="BP364" s="88">
        <v>-84.148845474958023</v>
      </c>
      <c r="BQ364" s="88">
        <v>-84.179674596549603</v>
      </c>
      <c r="BR364" s="88">
        <v>-84.211032270080466</v>
      </c>
      <c r="BS364" s="88">
        <v>-84.241906982895642</v>
      </c>
      <c r="BT364" s="88">
        <v>-84.27280434351232</v>
      </c>
      <c r="BU364" s="88">
        <v>-84.303724376864153</v>
      </c>
      <c r="BV364" s="88">
        <v>-84.33466710791464</v>
      </c>
      <c r="BW364" s="88">
        <v>0</v>
      </c>
      <c r="BX364" s="88">
        <v>0</v>
      </c>
      <c r="BY364" s="88">
        <v>0</v>
      </c>
      <c r="BZ364" s="88">
        <v>0</v>
      </c>
      <c r="CA364" s="88">
        <v>0</v>
      </c>
      <c r="CB364" s="88">
        <v>0</v>
      </c>
      <c r="CC364" s="88">
        <v>0</v>
      </c>
      <c r="CD364" s="88">
        <v>0</v>
      </c>
      <c r="CE364" s="88">
        <v>0</v>
      </c>
      <c r="CF364" s="88">
        <v>0</v>
      </c>
      <c r="CG364" s="88">
        <v>0</v>
      </c>
      <c r="CH364" s="88">
        <v>0</v>
      </c>
      <c r="CI364" s="88">
        <v>19200</v>
      </c>
      <c r="CJ364" s="88">
        <v>19200</v>
      </c>
      <c r="CK364" s="88">
        <v>19200</v>
      </c>
      <c r="CL364" s="88">
        <v>19200</v>
      </c>
      <c r="CM364" s="88">
        <v>19200</v>
      </c>
      <c r="CN364" s="88">
        <v>19200</v>
      </c>
      <c r="CO364" s="88">
        <v>19200</v>
      </c>
      <c r="CP364" s="88">
        <v>19200</v>
      </c>
      <c r="CQ364" s="88">
        <v>19200</v>
      </c>
      <c r="CR364" s="88">
        <v>19200</v>
      </c>
      <c r="CS364" s="88">
        <v>19200</v>
      </c>
      <c r="CT364" s="88">
        <v>19200</v>
      </c>
      <c r="CU364" s="88">
        <v>-83.997051473363626</v>
      </c>
      <c r="CV364" s="88">
        <v>-84.026761948154416</v>
      </c>
      <c r="CW364" s="88">
        <v>-84.056493448078839</v>
      </c>
      <c r="CX364" s="88">
        <v>-84.087254925486832</v>
      </c>
      <c r="CY364" s="88">
        <v>-84.118038926198579</v>
      </c>
      <c r="CZ364" s="88">
        <v>-84.148845474958023</v>
      </c>
      <c r="DA364" s="88">
        <v>-84.179674596549603</v>
      </c>
      <c r="DB364" s="88">
        <v>-84.211032270080466</v>
      </c>
      <c r="DC364" s="88">
        <v>-84.241906982895642</v>
      </c>
      <c r="DD364" s="88">
        <v>-84.27280434351232</v>
      </c>
      <c r="DE364" s="88">
        <v>-84.303724376864153</v>
      </c>
      <c r="DF364" s="88">
        <v>-84.33466710791464</v>
      </c>
      <c r="DG364" s="93"/>
      <c r="DH364" s="91"/>
      <c r="DJ364" s="93"/>
      <c r="DK364" s="91"/>
      <c r="DM364" s="93"/>
      <c r="DN364" s="91"/>
      <c r="DP364" s="93"/>
      <c r="DQ364" s="91"/>
    </row>
    <row r="365" spans="1:121" x14ac:dyDescent="0.3">
      <c r="A365" t="s">
        <v>32</v>
      </c>
      <c r="B365" t="s">
        <v>47</v>
      </c>
      <c r="C365" t="s">
        <v>65</v>
      </c>
      <c r="D365" t="s">
        <v>397</v>
      </c>
      <c r="E365" t="s">
        <v>728</v>
      </c>
      <c r="F365" s="86">
        <v>16000</v>
      </c>
      <c r="G365" s="87">
        <v>6</v>
      </c>
      <c r="H365" s="88">
        <v>1</v>
      </c>
      <c r="I365" s="88">
        <v>1.0649999999999999</v>
      </c>
      <c r="J365" s="89">
        <v>0.92259443236715011</v>
      </c>
      <c r="K365" s="88">
        <v>0.93896713615023497</v>
      </c>
      <c r="L365" s="88">
        <v>0.99718789505319971</v>
      </c>
      <c r="M365" s="88">
        <v>1</v>
      </c>
      <c r="N365" s="90">
        <v>0.58399999999999996</v>
      </c>
      <c r="O365" s="90">
        <v>0.54681477062072181</v>
      </c>
      <c r="P365" s="90">
        <v>0.54054244392028095</v>
      </c>
      <c r="Q365" s="91">
        <v>0</v>
      </c>
      <c r="R365" s="88">
        <v>0.93896713615023497</v>
      </c>
      <c r="S365" s="88">
        <v>0.98574949105325183</v>
      </c>
      <c r="T365" s="91">
        <v>6.4999999999999725E-2</v>
      </c>
      <c r="U365" s="91">
        <v>0</v>
      </c>
      <c r="V365" s="87">
        <v>0</v>
      </c>
      <c r="W365" s="91">
        <v>0</v>
      </c>
      <c r="X365" s="87">
        <v>1</v>
      </c>
      <c r="Y365" s="90">
        <v>0.54681477062072181</v>
      </c>
      <c r="Z365" s="90">
        <v>0.54054244392028095</v>
      </c>
      <c r="AA365" s="92">
        <v>0</v>
      </c>
      <c r="AB365" s="88">
        <v>0</v>
      </c>
      <c r="AC365" s="87">
        <v>0</v>
      </c>
      <c r="AD365" s="87">
        <v>1</v>
      </c>
      <c r="AE365" s="88">
        <v>1.0325</v>
      </c>
      <c r="AF365" s="88">
        <v>1.025381085203475</v>
      </c>
      <c r="AG365" s="88">
        <v>1.0586987205714291</v>
      </c>
      <c r="AH365" s="88">
        <v>16000</v>
      </c>
      <c r="AI365" s="88">
        <v>17040</v>
      </c>
      <c r="AJ365" s="88">
        <v>14761.510917874401</v>
      </c>
      <c r="AK365" s="88">
        <v>15023.47417840376</v>
      </c>
      <c r="AL365" s="88">
        <v>15955.006320851189</v>
      </c>
      <c r="AM365" s="88">
        <v>16000</v>
      </c>
      <c r="AN365" s="88">
        <v>9344</v>
      </c>
      <c r="AO365" s="88">
        <v>8749.0363299315486</v>
      </c>
      <c r="AP365" s="88">
        <v>8648.6791027244944</v>
      </c>
      <c r="AQ365" s="88">
        <v>0</v>
      </c>
      <c r="AR365" s="88">
        <v>15023.47417840376</v>
      </c>
      <c r="AS365" s="88">
        <v>15771.99185685203</v>
      </c>
      <c r="AT365" s="88">
        <v>8749.0363299315486</v>
      </c>
      <c r="AU365" s="88">
        <v>8648.6791027244944</v>
      </c>
      <c r="AV365" s="88">
        <v>14720</v>
      </c>
      <c r="AW365" s="88">
        <v>14560</v>
      </c>
      <c r="AX365" s="88">
        <v>14720</v>
      </c>
      <c r="AY365" s="88">
        <v>16000</v>
      </c>
      <c r="AZ365" s="88">
        <v>16000</v>
      </c>
      <c r="BA365" s="88">
        <v>16000</v>
      </c>
      <c r="BB365" s="88">
        <v>16000</v>
      </c>
      <c r="BC365" s="88">
        <v>16000</v>
      </c>
      <c r="BD365" s="88">
        <v>16000</v>
      </c>
      <c r="BE365" s="88">
        <v>16000</v>
      </c>
      <c r="BF365" s="88">
        <v>16000</v>
      </c>
      <c r="BG365" s="88">
        <v>16000</v>
      </c>
      <c r="BH365" s="88">
        <v>16000</v>
      </c>
      <c r="BI365" s="88">
        <v>16000</v>
      </c>
      <c r="BJ365" s="88">
        <v>16000</v>
      </c>
      <c r="BK365" s="88">
        <v>1401.233736693659</v>
      </c>
      <c r="BL365" s="88">
        <v>1370.1525793170219</v>
      </c>
      <c r="BM365" s="88">
        <v>1339.1822549938049</v>
      </c>
      <c r="BN365" s="88">
        <v>1491.888957528957</v>
      </c>
      <c r="BO365" s="88">
        <v>1621.0007406738321</v>
      </c>
      <c r="BP365" s="88">
        <v>1588.6968083188081</v>
      </c>
      <c r="BQ365" s="88">
        <v>484.98695065246619</v>
      </c>
      <c r="BR365" s="88">
        <v>454.38332784381782</v>
      </c>
      <c r="BS365" s="88">
        <v>424.38400382568989</v>
      </c>
      <c r="BT365" s="88">
        <v>394.49386914884252</v>
      </c>
      <c r="BU365" s="88">
        <v>364.71232876712281</v>
      </c>
      <c r="BV365" s="88">
        <v>335.03879195029992</v>
      </c>
      <c r="BW365" s="88">
        <v>1039.9999999999991</v>
      </c>
      <c r="BX365" s="88">
        <v>1039.9999999999991</v>
      </c>
      <c r="BY365" s="88">
        <v>1039.9999999999991</v>
      </c>
      <c r="BZ365" s="88">
        <v>1039.9999999999991</v>
      </c>
      <c r="CA365" s="88">
        <v>1039.9999999999991</v>
      </c>
      <c r="CB365" s="88">
        <v>1039.9999999999991</v>
      </c>
      <c r="CC365" s="88">
        <v>0</v>
      </c>
      <c r="CD365" s="88">
        <v>0</v>
      </c>
      <c r="CE365" s="88">
        <v>0</v>
      </c>
      <c r="CF365" s="88">
        <v>0</v>
      </c>
      <c r="CG365" s="88">
        <v>0</v>
      </c>
      <c r="CH365" s="88">
        <v>0</v>
      </c>
      <c r="CI365" s="88">
        <v>16000</v>
      </c>
      <c r="CJ365" s="88">
        <v>16000</v>
      </c>
      <c r="CK365" s="88">
        <v>16000</v>
      </c>
      <c r="CL365" s="88">
        <v>16000</v>
      </c>
      <c r="CM365" s="88">
        <v>16000</v>
      </c>
      <c r="CN365" s="88">
        <v>16000</v>
      </c>
      <c r="CO365" s="88">
        <v>16000</v>
      </c>
      <c r="CP365" s="88">
        <v>16000</v>
      </c>
      <c r="CQ365" s="88">
        <v>16000</v>
      </c>
      <c r="CR365" s="88">
        <v>16000</v>
      </c>
      <c r="CS365" s="88">
        <v>16000</v>
      </c>
      <c r="CT365" s="88">
        <v>16000</v>
      </c>
      <c r="CU365" s="88">
        <v>339.186607224093</v>
      </c>
      <c r="CV365" s="88">
        <v>310.00242189391969</v>
      </c>
      <c r="CW365" s="88">
        <v>280.92230515850139</v>
      </c>
      <c r="CX365" s="88">
        <v>424.30888030888173</v>
      </c>
      <c r="CY365" s="88">
        <v>545.54060157167328</v>
      </c>
      <c r="CZ365" s="88">
        <v>515.20827072188524</v>
      </c>
      <c r="DA365" s="88">
        <v>484.98695065246619</v>
      </c>
      <c r="DB365" s="88">
        <v>454.38332784381782</v>
      </c>
      <c r="DC365" s="88">
        <v>424.38400382568989</v>
      </c>
      <c r="DD365" s="88">
        <v>394.49386914884252</v>
      </c>
      <c r="DE365" s="88">
        <v>364.71232876712281</v>
      </c>
      <c r="DF365" s="88">
        <v>335.03879195029992</v>
      </c>
      <c r="DG365" s="93">
        <v>46204</v>
      </c>
      <c r="DH365" s="91">
        <v>6.5000000000000002E-2</v>
      </c>
      <c r="DI365" t="s">
        <v>302</v>
      </c>
      <c r="DJ365" s="93"/>
      <c r="DK365" s="91"/>
      <c r="DM365" s="93"/>
      <c r="DN365" s="91"/>
      <c r="DP365" s="93"/>
      <c r="DQ365" s="91"/>
    </row>
    <row r="366" spans="1:121" x14ac:dyDescent="0.3">
      <c r="A366" t="s">
        <v>32</v>
      </c>
      <c r="B366" t="s">
        <v>47</v>
      </c>
      <c r="C366" t="s">
        <v>66</v>
      </c>
      <c r="D366" t="s">
        <v>399</v>
      </c>
      <c r="E366" t="s">
        <v>729</v>
      </c>
      <c r="F366" s="86">
        <v>12800</v>
      </c>
      <c r="G366" s="87">
        <v>6</v>
      </c>
      <c r="H366" s="88">
        <v>1.06</v>
      </c>
      <c r="I366" s="88">
        <v>1.0626500000000001</v>
      </c>
      <c r="J366" s="89">
        <v>0.90600747629467537</v>
      </c>
      <c r="K366" s="88">
        <v>0.9975062344139648</v>
      </c>
      <c r="L366" s="88">
        <v>1.0154441592055621</v>
      </c>
      <c r="M366" s="88">
        <v>1</v>
      </c>
      <c r="N366" s="90">
        <v>0.56799999999999995</v>
      </c>
      <c r="O366" s="90">
        <v>0.57533394755985956</v>
      </c>
      <c r="P366" s="90">
        <v>0.55942467766544224</v>
      </c>
      <c r="Q366" s="91">
        <v>0</v>
      </c>
      <c r="R366" s="88">
        <v>0.96385542168674698</v>
      </c>
      <c r="S366" s="88">
        <v>1.021836449080803</v>
      </c>
      <c r="T366" s="91">
        <v>2.5000000000001692E-3</v>
      </c>
      <c r="U366" s="91">
        <v>3.491271820448838E-2</v>
      </c>
      <c r="V366" s="87">
        <v>0</v>
      </c>
      <c r="W366" s="91">
        <v>0</v>
      </c>
      <c r="X366" s="87">
        <v>1</v>
      </c>
      <c r="Y366" s="90">
        <v>0.57533394755985956</v>
      </c>
      <c r="Z366" s="90">
        <v>0.55942467766544224</v>
      </c>
      <c r="AA366" s="92">
        <v>0</v>
      </c>
      <c r="AB366" s="88">
        <v>0</v>
      </c>
      <c r="AC366" s="87">
        <v>1</v>
      </c>
      <c r="AD366" s="87">
        <v>1</v>
      </c>
      <c r="AE366" s="88">
        <v>1.0149999999999999</v>
      </c>
      <c r="AF366" s="88">
        <v>0.99124238763980388</v>
      </c>
      <c r="AG366" s="88">
        <v>1.006110908751322</v>
      </c>
      <c r="AH366" s="88">
        <v>13568</v>
      </c>
      <c r="AI366" s="88">
        <v>13601.92</v>
      </c>
      <c r="AJ366" s="88">
        <v>11596.895696571841</v>
      </c>
      <c r="AK366" s="88">
        <v>12768.07980049875</v>
      </c>
      <c r="AL366" s="88">
        <v>12997.6852378312</v>
      </c>
      <c r="AM366" s="88">
        <v>12800</v>
      </c>
      <c r="AN366" s="88">
        <v>7270.4</v>
      </c>
      <c r="AO366" s="88">
        <v>7364.2745287662019</v>
      </c>
      <c r="AP366" s="88">
        <v>7160.6358741176609</v>
      </c>
      <c r="AQ366" s="88">
        <v>0</v>
      </c>
      <c r="AR366" s="88">
        <v>12337.34939759036</v>
      </c>
      <c r="AS366" s="88">
        <v>13079.50654823428</v>
      </c>
      <c r="AT366" s="88">
        <v>7364.2745287662019</v>
      </c>
      <c r="AU366" s="88">
        <v>7160.6358741176609</v>
      </c>
      <c r="AV366" s="88">
        <v>11776</v>
      </c>
      <c r="AW366" s="88">
        <v>11648</v>
      </c>
      <c r="AX366" s="88">
        <v>11520</v>
      </c>
      <c r="AY366" s="88">
        <v>12800</v>
      </c>
      <c r="AZ366" s="88">
        <v>12800</v>
      </c>
      <c r="BA366" s="88">
        <v>12800</v>
      </c>
      <c r="BB366" s="88">
        <v>12800</v>
      </c>
      <c r="BC366" s="88">
        <v>12800</v>
      </c>
      <c r="BD366" s="88">
        <v>12800</v>
      </c>
      <c r="BE366" s="88">
        <v>12800</v>
      </c>
      <c r="BF366" s="88">
        <v>12800</v>
      </c>
      <c r="BG366" s="88">
        <v>12800</v>
      </c>
      <c r="BH366" s="88">
        <v>12800</v>
      </c>
      <c r="BI366" s="88">
        <v>12800</v>
      </c>
      <c r="BJ366" s="88">
        <v>12800</v>
      </c>
      <c r="BK366" s="88">
        <v>649.64944018927326</v>
      </c>
      <c r="BL366" s="88">
        <v>-111.730240344373</v>
      </c>
      <c r="BM366" s="88">
        <v>-111.8091203886507</v>
      </c>
      <c r="BN366" s="88">
        <v>-111.8907915219737</v>
      </c>
      <c r="BO366" s="88">
        <v>-111.97258205610579</v>
      </c>
      <c r="BP366" s="88">
        <v>-112.05449225308119</v>
      </c>
      <c r="BQ366" s="88">
        <v>-112.1365223756996</v>
      </c>
      <c r="BR366" s="88">
        <v>-112.2200204167427</v>
      </c>
      <c r="BS366" s="88">
        <v>-112.30229315898301</v>
      </c>
      <c r="BT366" s="88">
        <v>395.11992591077961</v>
      </c>
      <c r="BU366" s="88">
        <v>395.03411087841022</v>
      </c>
      <c r="BV366" s="88">
        <v>394.94816974018357</v>
      </c>
      <c r="BW366" s="88">
        <v>768.00000000000068</v>
      </c>
      <c r="BX366" s="88">
        <v>0</v>
      </c>
      <c r="BY366" s="88">
        <v>0</v>
      </c>
      <c r="BZ366" s="88">
        <v>0</v>
      </c>
      <c r="CA366" s="88">
        <v>0</v>
      </c>
      <c r="CB366" s="88">
        <v>0</v>
      </c>
      <c r="CC366" s="88">
        <v>0</v>
      </c>
      <c r="CD366" s="88">
        <v>0</v>
      </c>
      <c r="CE366" s="88">
        <v>0</v>
      </c>
      <c r="CF366" s="88">
        <v>512.00000000000045</v>
      </c>
      <c r="CG366" s="88">
        <v>512.00000000000045</v>
      </c>
      <c r="CH366" s="88">
        <v>512.00000000000045</v>
      </c>
      <c r="CI366" s="88">
        <v>12800</v>
      </c>
      <c r="CJ366" s="88">
        <v>12800</v>
      </c>
      <c r="CK366" s="88">
        <v>12800</v>
      </c>
      <c r="CL366" s="88">
        <v>12800</v>
      </c>
      <c r="CM366" s="88">
        <v>12800</v>
      </c>
      <c r="CN366" s="88">
        <v>12800</v>
      </c>
      <c r="CO366" s="88">
        <v>12800</v>
      </c>
      <c r="CP366" s="88">
        <v>12800</v>
      </c>
      <c r="CQ366" s="88">
        <v>12800</v>
      </c>
      <c r="CR366" s="88">
        <v>12800</v>
      </c>
      <c r="CS366" s="88">
        <v>12800</v>
      </c>
      <c r="CT366" s="88">
        <v>12800</v>
      </c>
      <c r="CU366" s="88">
        <v>-111.6514715195535</v>
      </c>
      <c r="CV366" s="88">
        <v>-111.730240344373</v>
      </c>
      <c r="CW366" s="88">
        <v>-111.8091203886507</v>
      </c>
      <c r="CX366" s="88">
        <v>-111.8907915219737</v>
      </c>
      <c r="CY366" s="88">
        <v>-111.97258205610579</v>
      </c>
      <c r="CZ366" s="88">
        <v>-112.05449225308119</v>
      </c>
      <c r="DA366" s="88">
        <v>-112.1365223756996</v>
      </c>
      <c r="DB366" s="88">
        <v>-112.2200204167427</v>
      </c>
      <c r="DC366" s="88">
        <v>-112.30229315898301</v>
      </c>
      <c r="DD366" s="88">
        <v>-112.38468662425019</v>
      </c>
      <c r="DE366" s="88">
        <v>-112.46720107845221</v>
      </c>
      <c r="DF366" s="88">
        <v>-112.5498367882841</v>
      </c>
      <c r="DG366" s="93">
        <v>46054</v>
      </c>
      <c r="DH366" s="91">
        <v>0.06</v>
      </c>
      <c r="DI366" t="s">
        <v>301</v>
      </c>
      <c r="DJ366" s="93">
        <v>46661</v>
      </c>
      <c r="DK366" s="91">
        <v>0.04</v>
      </c>
      <c r="DL366" t="s">
        <v>302</v>
      </c>
      <c r="DM366" s="93"/>
      <c r="DN366" s="91"/>
      <c r="DP366" s="93"/>
      <c r="DQ366" s="91"/>
    </row>
    <row r="367" spans="1:121" x14ac:dyDescent="0.3">
      <c r="A367" t="s">
        <v>32</v>
      </c>
      <c r="B367" t="s">
        <v>47</v>
      </c>
      <c r="C367" t="s">
        <v>67</v>
      </c>
      <c r="D367" t="s">
        <v>401</v>
      </c>
      <c r="E367" t="s">
        <v>730</v>
      </c>
      <c r="F367" s="86">
        <v>9600</v>
      </c>
      <c r="G367" s="87">
        <v>6</v>
      </c>
      <c r="H367" s="88">
        <v>1</v>
      </c>
      <c r="I367" s="88">
        <v>1.0874724808798191</v>
      </c>
      <c r="J367" s="89">
        <v>0.91199626185266247</v>
      </c>
      <c r="K367" s="88">
        <v>0.91956349938248583</v>
      </c>
      <c r="L367" s="88">
        <v>1</v>
      </c>
      <c r="M367" s="88">
        <v>1</v>
      </c>
      <c r="N367" s="90">
        <v>0.59599999999999997</v>
      </c>
      <c r="O367" s="90">
        <v>0.54805984563196153</v>
      </c>
      <c r="P367" s="90">
        <v>0.49823622330178319</v>
      </c>
      <c r="Q367" s="91">
        <v>0</v>
      </c>
      <c r="R367" s="88">
        <v>0.83596681762044167</v>
      </c>
      <c r="S367" s="88">
        <v>1</v>
      </c>
      <c r="T367" s="91">
        <v>8.7472480879819292E-2</v>
      </c>
      <c r="U367" s="91">
        <v>9.9999999999999867E-2</v>
      </c>
      <c r="V367" s="87">
        <v>1</v>
      </c>
      <c r="W367" s="91">
        <v>0.1</v>
      </c>
      <c r="X367" s="87">
        <v>1</v>
      </c>
      <c r="Y367" s="90">
        <v>0.53885774996788582</v>
      </c>
      <c r="Z367" s="90">
        <v>0.52392317775419062</v>
      </c>
      <c r="AA367" s="92">
        <v>-0.92020956640757046</v>
      </c>
      <c r="AB367" s="88">
        <v>0</v>
      </c>
      <c r="AC367" s="87">
        <v>1</v>
      </c>
      <c r="AD367" s="87">
        <v>1</v>
      </c>
      <c r="AE367" s="88">
        <v>1.107</v>
      </c>
      <c r="AF367" s="88">
        <v>1.0043932196204439</v>
      </c>
      <c r="AG367" s="88">
        <v>1.111863403157398</v>
      </c>
      <c r="AH367" s="88">
        <v>9600</v>
      </c>
      <c r="AI367" s="88">
        <v>10439.735816446269</v>
      </c>
      <c r="AJ367" s="88">
        <v>8755.1641137855604</v>
      </c>
      <c r="AK367" s="88">
        <v>8827.8095940718631</v>
      </c>
      <c r="AL367" s="88">
        <v>9600</v>
      </c>
      <c r="AM367" s="88">
        <v>9600</v>
      </c>
      <c r="AN367" s="88">
        <v>5721.5999999999995</v>
      </c>
      <c r="AO367" s="88">
        <v>5261.3745180668311</v>
      </c>
      <c r="AP367" s="88">
        <v>4783.0677436971182</v>
      </c>
      <c r="AQ367" s="88">
        <v>0</v>
      </c>
      <c r="AR367" s="88">
        <v>8025.2814491562403</v>
      </c>
      <c r="AS367" s="88">
        <v>9600</v>
      </c>
      <c r="AT367" s="88">
        <v>5173.0343996917036</v>
      </c>
      <c r="AU367" s="88">
        <v>5029.6625064402297</v>
      </c>
      <c r="AV367" s="88">
        <v>8832</v>
      </c>
      <c r="AW367" s="88">
        <v>8736</v>
      </c>
      <c r="AX367" s="88">
        <v>8784</v>
      </c>
      <c r="AY367" s="88">
        <v>9600</v>
      </c>
      <c r="AZ367" s="88">
        <v>9600</v>
      </c>
      <c r="BA367" s="88">
        <v>9600</v>
      </c>
      <c r="BB367" s="88">
        <v>9600</v>
      </c>
      <c r="BC367" s="88">
        <v>9600</v>
      </c>
      <c r="BD367" s="88">
        <v>9600</v>
      </c>
      <c r="BE367" s="88">
        <v>9600</v>
      </c>
      <c r="BF367" s="88">
        <v>9600</v>
      </c>
      <c r="BG367" s="88">
        <v>9600</v>
      </c>
      <c r="BH367" s="88">
        <v>9600</v>
      </c>
      <c r="BI367" s="88">
        <v>9600</v>
      </c>
      <c r="BJ367" s="88">
        <v>9600</v>
      </c>
      <c r="BK367" s="88">
        <v>1006.485319568483</v>
      </c>
      <c r="BL367" s="88">
        <v>1006.468786921614</v>
      </c>
      <c r="BM367" s="88">
        <v>1006.452266030335</v>
      </c>
      <c r="BN367" s="88">
        <v>1430.692605353833</v>
      </c>
      <c r="BO367" s="88">
        <v>1430.674867076528</v>
      </c>
      <c r="BP367" s="88">
        <v>1430.6571418252749</v>
      </c>
      <c r="BQ367" s="88">
        <v>1430.6394295857281</v>
      </c>
      <c r="BR367" s="88">
        <v>1430.621440300258</v>
      </c>
      <c r="BS367" s="88">
        <v>1430.6037542539</v>
      </c>
      <c r="BT367" s="88">
        <v>427.80552834191923</v>
      </c>
      <c r="BU367" s="88">
        <v>427.78947368420933</v>
      </c>
      <c r="BV367" s="88">
        <v>427.77343079020511</v>
      </c>
      <c r="BW367" s="88">
        <v>960.00000000000091</v>
      </c>
      <c r="BX367" s="88">
        <v>960.00000000000091</v>
      </c>
      <c r="BY367" s="88">
        <v>960.00000000000091</v>
      </c>
      <c r="BZ367" s="88">
        <v>1382.400000000001</v>
      </c>
      <c r="CA367" s="88">
        <v>1382.400000000001</v>
      </c>
      <c r="CB367" s="88">
        <v>1382.400000000001</v>
      </c>
      <c r="CC367" s="88">
        <v>1382.400000000001</v>
      </c>
      <c r="CD367" s="88">
        <v>1382.400000000001</v>
      </c>
      <c r="CE367" s="88">
        <v>1382.400000000001</v>
      </c>
      <c r="CF367" s="88">
        <v>384.00000000000028</v>
      </c>
      <c r="CG367" s="88">
        <v>384.00000000000028</v>
      </c>
      <c r="CH367" s="88">
        <v>384.00000000000028</v>
      </c>
      <c r="CI367" s="88">
        <v>9600</v>
      </c>
      <c r="CJ367" s="88">
        <v>9600</v>
      </c>
      <c r="CK367" s="88">
        <v>9600</v>
      </c>
      <c r="CL367" s="88">
        <v>9600</v>
      </c>
      <c r="CM367" s="88">
        <v>9600</v>
      </c>
      <c r="CN367" s="88">
        <v>9600</v>
      </c>
      <c r="CO367" s="88">
        <v>9600</v>
      </c>
      <c r="CP367" s="88">
        <v>9600</v>
      </c>
      <c r="CQ367" s="88">
        <v>9600</v>
      </c>
      <c r="CR367" s="88">
        <v>9600</v>
      </c>
      <c r="CS367" s="88">
        <v>9600</v>
      </c>
      <c r="CT367" s="88">
        <v>9600</v>
      </c>
      <c r="CU367" s="88">
        <v>42.259381425893139</v>
      </c>
      <c r="CV367" s="88">
        <v>42.244351746919762</v>
      </c>
      <c r="CW367" s="88">
        <v>42.22933275484948</v>
      </c>
      <c r="CX367" s="88">
        <v>42.213815868733207</v>
      </c>
      <c r="CY367" s="88">
        <v>42.198310381579773</v>
      </c>
      <c r="CZ367" s="88">
        <v>42.18281628083389</v>
      </c>
      <c r="DA367" s="88">
        <v>42.16733355395732</v>
      </c>
      <c r="DB367" s="88">
        <v>42.151608654070571</v>
      </c>
      <c r="DC367" s="88">
        <v>42.136148823338708</v>
      </c>
      <c r="DD367" s="88">
        <v>42.120700328767668</v>
      </c>
      <c r="DE367" s="88">
        <v>42.105263157893802</v>
      </c>
      <c r="DF367" s="88">
        <v>42.089837298274801</v>
      </c>
      <c r="DG367" s="93">
        <v>46296</v>
      </c>
      <c r="DH367" s="91">
        <v>0.1</v>
      </c>
      <c r="DI367" t="s">
        <v>403</v>
      </c>
      <c r="DJ367" s="93">
        <v>46478</v>
      </c>
      <c r="DK367" s="91">
        <v>0.04</v>
      </c>
      <c r="DL367" t="s">
        <v>302</v>
      </c>
      <c r="DM367" s="93"/>
      <c r="DN367" s="91"/>
      <c r="DP367" s="93"/>
      <c r="DQ367" s="91"/>
    </row>
    <row r="368" spans="1:121" x14ac:dyDescent="0.3">
      <c r="A368" t="s">
        <v>32</v>
      </c>
      <c r="B368" t="s">
        <v>47</v>
      </c>
      <c r="C368" t="s">
        <v>73</v>
      </c>
      <c r="D368" t="s">
        <v>404</v>
      </c>
      <c r="E368" t="s">
        <v>731</v>
      </c>
      <c r="F368" s="86">
        <v>6400</v>
      </c>
      <c r="G368" s="87">
        <v>6</v>
      </c>
      <c r="H368" s="88">
        <v>1.03</v>
      </c>
      <c r="I368" s="88">
        <v>1.03</v>
      </c>
      <c r="J368" s="89">
        <v>0.91798504741064912</v>
      </c>
      <c r="K368" s="88">
        <v>1</v>
      </c>
      <c r="L368" s="88">
        <v>1.002194973213381</v>
      </c>
      <c r="M368" s="88">
        <v>1</v>
      </c>
      <c r="N368" s="90">
        <v>0.57999999999999996</v>
      </c>
      <c r="O368" s="90">
        <v>0.58127308446376114</v>
      </c>
      <c r="P368" s="90">
        <v>0.57418299738769518</v>
      </c>
      <c r="Q368" s="91">
        <v>0</v>
      </c>
      <c r="R368" s="88">
        <v>1</v>
      </c>
      <c r="S368" s="88">
        <v>0.98997068515119868</v>
      </c>
      <c r="T368" s="91">
        <v>0</v>
      </c>
      <c r="U368" s="91">
        <v>0</v>
      </c>
      <c r="V368" s="87">
        <v>0</v>
      </c>
      <c r="W368" s="91">
        <v>0</v>
      </c>
      <c r="X368" s="87">
        <v>1</v>
      </c>
      <c r="Y368" s="90">
        <v>0.58127308446376114</v>
      </c>
      <c r="Z368" s="90">
        <v>0.57418299738769518</v>
      </c>
      <c r="AA368" s="92">
        <v>0</v>
      </c>
      <c r="AB368" s="88">
        <v>0</v>
      </c>
      <c r="AC368" s="87">
        <v>1</v>
      </c>
      <c r="AD368" s="87">
        <v>0</v>
      </c>
      <c r="AE368" s="88">
        <v>1.0075000000000001</v>
      </c>
      <c r="AF368" s="88">
        <v>1.0176314239537809</v>
      </c>
      <c r="AG368" s="88">
        <v>1.0252645354149741</v>
      </c>
      <c r="AH368" s="88">
        <v>6592</v>
      </c>
      <c r="AI368" s="88">
        <v>6592</v>
      </c>
      <c r="AJ368" s="88">
        <v>5875.1043034281547</v>
      </c>
      <c r="AK368" s="88">
        <v>6400</v>
      </c>
      <c r="AL368" s="88">
        <v>6414.04782856564</v>
      </c>
      <c r="AM368" s="88">
        <v>6400</v>
      </c>
      <c r="AN368" s="88">
        <v>3712</v>
      </c>
      <c r="AO368" s="88">
        <v>3720.1477405680712</v>
      </c>
      <c r="AP368" s="88">
        <v>3674.7711832812488</v>
      </c>
      <c r="AQ368" s="88">
        <v>0</v>
      </c>
      <c r="AR368" s="88">
        <v>6400</v>
      </c>
      <c r="AS368" s="88">
        <v>6335.8123849676713</v>
      </c>
      <c r="AT368" s="88">
        <v>3720.1477405680712</v>
      </c>
      <c r="AU368" s="88">
        <v>3674.7711832812488</v>
      </c>
      <c r="AV368" s="88">
        <v>5888</v>
      </c>
      <c r="AW368" s="88">
        <v>5824</v>
      </c>
      <c r="AX368" s="88">
        <v>5952</v>
      </c>
      <c r="AY368" s="88">
        <v>6400</v>
      </c>
      <c r="AZ368" s="88">
        <v>6400</v>
      </c>
      <c r="BA368" s="88">
        <v>6400</v>
      </c>
      <c r="BB368" s="88">
        <v>6400</v>
      </c>
      <c r="BC368" s="88">
        <v>6400</v>
      </c>
      <c r="BD368" s="88">
        <v>6400</v>
      </c>
      <c r="BE368" s="88">
        <v>6400</v>
      </c>
      <c r="BF368" s="88">
        <v>6400</v>
      </c>
      <c r="BG368" s="88">
        <v>6400</v>
      </c>
      <c r="BH368" s="88">
        <v>6400</v>
      </c>
      <c r="BI368" s="88">
        <v>6400</v>
      </c>
      <c r="BJ368" s="88">
        <v>6400</v>
      </c>
      <c r="BK368" s="88">
        <v>309.16400467471868</v>
      </c>
      <c r="BL368" s="88">
        <v>308.99593980209659</v>
      </c>
      <c r="BM368" s="88">
        <v>308.82835639718422</v>
      </c>
      <c r="BN368" s="88">
        <v>113.2578604155057</v>
      </c>
      <c r="BO368" s="88">
        <v>113.09062742060409</v>
      </c>
      <c r="BP368" s="88">
        <v>112.9238875595192</v>
      </c>
      <c r="BQ368" s="88">
        <v>112.7576386542458</v>
      </c>
      <c r="BR368" s="88">
        <v>112.58916522074431</v>
      </c>
      <c r="BS368" s="88">
        <v>112.4238997040209</v>
      </c>
      <c r="BT368" s="88">
        <v>112.25911865058291</v>
      </c>
      <c r="BU368" s="88">
        <v>112.0948199332986</v>
      </c>
      <c r="BV368" s="88">
        <v>111.93100143746901</v>
      </c>
      <c r="BW368" s="88">
        <v>192.0000000000002</v>
      </c>
      <c r="BX368" s="88">
        <v>192.0000000000002</v>
      </c>
      <c r="BY368" s="88">
        <v>192.0000000000002</v>
      </c>
      <c r="BZ368" s="88">
        <v>0</v>
      </c>
      <c r="CA368" s="88">
        <v>0</v>
      </c>
      <c r="CB368" s="88">
        <v>0</v>
      </c>
      <c r="CC368" s="88">
        <v>0</v>
      </c>
      <c r="CD368" s="88">
        <v>0</v>
      </c>
      <c r="CE368" s="88">
        <v>0</v>
      </c>
      <c r="CF368" s="88">
        <v>0</v>
      </c>
      <c r="CG368" s="88">
        <v>0</v>
      </c>
      <c r="CH368" s="88">
        <v>0</v>
      </c>
      <c r="CI368" s="88">
        <v>6400</v>
      </c>
      <c r="CJ368" s="88">
        <v>6400</v>
      </c>
      <c r="CK368" s="88">
        <v>6400</v>
      </c>
      <c r="CL368" s="88">
        <v>6400</v>
      </c>
      <c r="CM368" s="88">
        <v>6400</v>
      </c>
      <c r="CN368" s="88">
        <v>6400</v>
      </c>
      <c r="CO368" s="88">
        <v>6400</v>
      </c>
      <c r="CP368" s="88">
        <v>6400</v>
      </c>
      <c r="CQ368" s="88">
        <v>6400</v>
      </c>
      <c r="CR368" s="88">
        <v>6400</v>
      </c>
      <c r="CS368" s="88">
        <v>6400</v>
      </c>
      <c r="CT368" s="88">
        <v>6400</v>
      </c>
      <c r="CU368" s="88">
        <v>113.751460849241</v>
      </c>
      <c r="CV368" s="88">
        <v>113.5882910699962</v>
      </c>
      <c r="CW368" s="88">
        <v>113.42558873513011</v>
      </c>
      <c r="CX368" s="88">
        <v>113.2578604155057</v>
      </c>
      <c r="CY368" s="88">
        <v>113.09062742060409</v>
      </c>
      <c r="CZ368" s="88">
        <v>112.9238875595192</v>
      </c>
      <c r="DA368" s="88">
        <v>112.7576386542458</v>
      </c>
      <c r="DB368" s="88">
        <v>112.58916522074431</v>
      </c>
      <c r="DC368" s="88">
        <v>112.4238997040209</v>
      </c>
      <c r="DD368" s="88">
        <v>112.25911865058291</v>
      </c>
      <c r="DE368" s="88">
        <v>112.0948199332986</v>
      </c>
      <c r="DF368" s="88">
        <v>111.93100143746901</v>
      </c>
      <c r="DG368" s="93">
        <v>46113</v>
      </c>
      <c r="DH368" s="91">
        <v>0.03</v>
      </c>
      <c r="DI368" t="s">
        <v>301</v>
      </c>
      <c r="DJ368" s="93"/>
      <c r="DK368" s="91"/>
      <c r="DM368" s="93"/>
      <c r="DN368" s="91"/>
      <c r="DP368" s="93"/>
      <c r="DQ368" s="91"/>
    </row>
    <row r="369" spans="1:121" x14ac:dyDescent="0.3">
      <c r="A369" t="s">
        <v>32</v>
      </c>
      <c r="B369" t="s">
        <v>47</v>
      </c>
      <c r="C369" t="s">
        <v>78</v>
      </c>
      <c r="D369" t="s">
        <v>406</v>
      </c>
      <c r="E369" t="s">
        <v>732</v>
      </c>
      <c r="F369" s="86">
        <v>16800</v>
      </c>
      <c r="G369" s="87">
        <v>6</v>
      </c>
      <c r="H369" s="88">
        <v>1.04</v>
      </c>
      <c r="I369" s="88">
        <v>1.04</v>
      </c>
      <c r="J369" s="89">
        <v>0.90999999999999981</v>
      </c>
      <c r="K369" s="88">
        <v>1</v>
      </c>
      <c r="L369" s="88">
        <v>1.0109890109890109</v>
      </c>
      <c r="M369" s="88">
        <v>1</v>
      </c>
      <c r="N369" s="90">
        <v>0.56399999999999995</v>
      </c>
      <c r="O369" s="90">
        <v>0.57019780219780236</v>
      </c>
      <c r="P369" s="90">
        <v>0.57019780219780236</v>
      </c>
      <c r="Q369" s="91">
        <v>0</v>
      </c>
      <c r="R369" s="88">
        <v>1</v>
      </c>
      <c r="S369" s="88">
        <v>1.0109890109890109</v>
      </c>
      <c r="T369" s="91">
        <v>0</v>
      </c>
      <c r="U369" s="91">
        <v>0</v>
      </c>
      <c r="V369" s="87">
        <v>0</v>
      </c>
      <c r="W369" s="91">
        <v>0</v>
      </c>
      <c r="X369" s="87">
        <v>1</v>
      </c>
      <c r="Y369" s="90">
        <v>0.57019780219780236</v>
      </c>
      <c r="Z369" s="90">
        <v>0.57019780219780236</v>
      </c>
      <c r="AA369" s="92">
        <v>0</v>
      </c>
      <c r="AB369" s="88">
        <v>0</v>
      </c>
      <c r="AC369" s="87">
        <v>1</v>
      </c>
      <c r="AD369" s="87">
        <v>0</v>
      </c>
      <c r="AE369" s="88">
        <v>1.013333333333333</v>
      </c>
      <c r="AF369" s="88">
        <v>1</v>
      </c>
      <c r="AG369" s="88">
        <v>1.013333333333333</v>
      </c>
      <c r="AH369" s="88">
        <v>17472</v>
      </c>
      <c r="AI369" s="88">
        <v>17472</v>
      </c>
      <c r="AJ369" s="88">
        <v>15288</v>
      </c>
      <c r="AK369" s="88">
        <v>16800</v>
      </c>
      <c r="AL369" s="88">
        <v>16984.61538461539</v>
      </c>
      <c r="AM369" s="88">
        <v>16800</v>
      </c>
      <c r="AN369" s="88">
        <v>9475.1999999999989</v>
      </c>
      <c r="AO369" s="88">
        <v>9579.3230769230795</v>
      </c>
      <c r="AP369" s="88">
        <v>9579.3230769230795</v>
      </c>
      <c r="AQ369" s="88">
        <v>0</v>
      </c>
      <c r="AR369" s="88">
        <v>16800</v>
      </c>
      <c r="AS369" s="88">
        <v>16984.61538461539</v>
      </c>
      <c r="AT369" s="88">
        <v>9579.3230769230795</v>
      </c>
      <c r="AU369" s="88">
        <v>9579.3230769230795</v>
      </c>
      <c r="AV369" s="88">
        <v>15456</v>
      </c>
      <c r="AW369" s="88">
        <v>15288</v>
      </c>
      <c r="AX369" s="88">
        <v>15288</v>
      </c>
      <c r="AY369" s="88">
        <v>16800</v>
      </c>
      <c r="AZ369" s="88">
        <v>16800</v>
      </c>
      <c r="BA369" s="88">
        <v>16800</v>
      </c>
      <c r="BB369" s="88">
        <v>16800</v>
      </c>
      <c r="BC369" s="88">
        <v>16800</v>
      </c>
      <c r="BD369" s="88">
        <v>16800</v>
      </c>
      <c r="BE369" s="88">
        <v>16800</v>
      </c>
      <c r="BF369" s="88">
        <v>16800</v>
      </c>
      <c r="BG369" s="88">
        <v>16800</v>
      </c>
      <c r="BH369" s="88">
        <v>16800</v>
      </c>
      <c r="BI369" s="88">
        <v>16800</v>
      </c>
      <c r="BJ369" s="88">
        <v>16800</v>
      </c>
      <c r="BK369" s="88">
        <v>672.00000000000057</v>
      </c>
      <c r="BL369" s="88">
        <v>672.00000000000057</v>
      </c>
      <c r="BM369" s="88">
        <v>672.00000000000057</v>
      </c>
      <c r="BN369" s="88">
        <v>672.00000000000057</v>
      </c>
      <c r="BO369" s="88">
        <v>0</v>
      </c>
      <c r="BP369" s="88">
        <v>0</v>
      </c>
      <c r="BQ369" s="88">
        <v>0</v>
      </c>
      <c r="BR369" s="88">
        <v>0</v>
      </c>
      <c r="BS369" s="88">
        <v>0</v>
      </c>
      <c r="BT369" s="88">
        <v>0</v>
      </c>
      <c r="BU369" s="88">
        <v>0</v>
      </c>
      <c r="BV369" s="88">
        <v>0</v>
      </c>
      <c r="BW369" s="88">
        <v>672.00000000000057</v>
      </c>
      <c r="BX369" s="88">
        <v>672.00000000000057</v>
      </c>
      <c r="BY369" s="88">
        <v>672.00000000000057</v>
      </c>
      <c r="BZ369" s="88">
        <v>672.00000000000057</v>
      </c>
      <c r="CA369" s="88">
        <v>0</v>
      </c>
      <c r="CB369" s="88">
        <v>0</v>
      </c>
      <c r="CC369" s="88">
        <v>0</v>
      </c>
      <c r="CD369" s="88">
        <v>0</v>
      </c>
      <c r="CE369" s="88">
        <v>0</v>
      </c>
      <c r="CF369" s="88">
        <v>0</v>
      </c>
      <c r="CG369" s="88">
        <v>0</v>
      </c>
      <c r="CH369" s="88">
        <v>0</v>
      </c>
      <c r="CI369" s="88">
        <v>16800</v>
      </c>
      <c r="CJ369" s="88">
        <v>16800</v>
      </c>
      <c r="CK369" s="88">
        <v>16800</v>
      </c>
      <c r="CL369" s="88">
        <v>16800</v>
      </c>
      <c r="CM369" s="88">
        <v>16800</v>
      </c>
      <c r="CN369" s="88">
        <v>16800</v>
      </c>
      <c r="CO369" s="88">
        <v>16800</v>
      </c>
      <c r="CP369" s="88">
        <v>16800</v>
      </c>
      <c r="CQ369" s="88">
        <v>16800</v>
      </c>
      <c r="CR369" s="88">
        <v>16800</v>
      </c>
      <c r="CS369" s="88">
        <v>16800</v>
      </c>
      <c r="CT369" s="88">
        <v>16800</v>
      </c>
      <c r="CU369" s="88">
        <v>0</v>
      </c>
      <c r="CV369" s="88">
        <v>0</v>
      </c>
      <c r="CW369" s="88">
        <v>0</v>
      </c>
      <c r="CX369" s="88">
        <v>0</v>
      </c>
      <c r="CY369" s="88">
        <v>0</v>
      </c>
      <c r="CZ369" s="88">
        <v>0</v>
      </c>
      <c r="DA369" s="88">
        <v>0</v>
      </c>
      <c r="DB369" s="88">
        <v>0</v>
      </c>
      <c r="DC369" s="88">
        <v>0</v>
      </c>
      <c r="DD369" s="88">
        <v>0</v>
      </c>
      <c r="DE369" s="88">
        <v>0</v>
      </c>
      <c r="DF369" s="88">
        <v>0</v>
      </c>
      <c r="DG369" s="93">
        <v>46143</v>
      </c>
      <c r="DH369" s="91">
        <v>0.04</v>
      </c>
      <c r="DI369" t="s">
        <v>301</v>
      </c>
      <c r="DJ369" s="93"/>
      <c r="DK369" s="91"/>
      <c r="DM369" s="93"/>
      <c r="DN369" s="91"/>
      <c r="DP369" s="93"/>
      <c r="DQ369" s="91"/>
    </row>
    <row r="370" spans="1:121" x14ac:dyDescent="0.3">
      <c r="A370" t="s">
        <v>32</v>
      </c>
      <c r="B370" t="s">
        <v>47</v>
      </c>
      <c r="C370" t="s">
        <v>80</v>
      </c>
      <c r="D370" t="s">
        <v>408</v>
      </c>
      <c r="E370" t="s">
        <v>733</v>
      </c>
      <c r="F370" s="86">
        <v>13600</v>
      </c>
      <c r="G370" s="87">
        <v>6</v>
      </c>
      <c r="H370" s="88">
        <v>1</v>
      </c>
      <c r="I370" s="88">
        <v>1.02</v>
      </c>
      <c r="J370" s="89">
        <v>0.91598878555798668</v>
      </c>
      <c r="K370" s="88">
        <v>0.98039215686274506</v>
      </c>
      <c r="L370" s="88">
        <v>1.0043791086804299</v>
      </c>
      <c r="M370" s="88">
        <v>1</v>
      </c>
      <c r="N370" s="90">
        <v>0.59199999999999997</v>
      </c>
      <c r="O370" s="90">
        <v>0.58293375719491614</v>
      </c>
      <c r="P370" s="90">
        <v>0.56646596245582848</v>
      </c>
      <c r="Q370" s="91">
        <v>0</v>
      </c>
      <c r="R370" s="88">
        <v>0.96153846153846168</v>
      </c>
      <c r="S370" s="88">
        <v>0.99514290701699581</v>
      </c>
      <c r="T370" s="91">
        <v>2.0000000000000021E-2</v>
      </c>
      <c r="U370" s="91">
        <v>1.960784313725461E-2</v>
      </c>
      <c r="V370" s="87">
        <v>0</v>
      </c>
      <c r="W370" s="91">
        <v>0</v>
      </c>
      <c r="X370" s="87">
        <v>1</v>
      </c>
      <c r="Y370" s="90">
        <v>0.58293375719491614</v>
      </c>
      <c r="Z370" s="90">
        <v>0.56646596245582848</v>
      </c>
      <c r="AA370" s="92">
        <v>0</v>
      </c>
      <c r="AB370" s="88">
        <v>0</v>
      </c>
      <c r="AC370" s="87">
        <v>0</v>
      </c>
      <c r="AD370" s="87">
        <v>1</v>
      </c>
      <c r="AE370" s="88">
        <v>1.03</v>
      </c>
      <c r="AF370" s="88">
        <v>1.0132088564102011</v>
      </c>
      <c r="AG370" s="88">
        <v>1.0436044672019169</v>
      </c>
      <c r="AH370" s="88">
        <v>13600</v>
      </c>
      <c r="AI370" s="88">
        <v>13872</v>
      </c>
      <c r="AJ370" s="88">
        <v>12457.447483588619</v>
      </c>
      <c r="AK370" s="88">
        <v>13333.33333333333</v>
      </c>
      <c r="AL370" s="88">
        <v>13659.55587805385</v>
      </c>
      <c r="AM370" s="88">
        <v>13600</v>
      </c>
      <c r="AN370" s="88">
        <v>8051.2</v>
      </c>
      <c r="AO370" s="88">
        <v>7927.8990978508591</v>
      </c>
      <c r="AP370" s="88">
        <v>7703.9370893992673</v>
      </c>
      <c r="AQ370" s="88">
        <v>0</v>
      </c>
      <c r="AR370" s="88">
        <v>13076.92307692308</v>
      </c>
      <c r="AS370" s="88">
        <v>13533.943535431141</v>
      </c>
      <c r="AT370" s="88">
        <v>7927.8990978508591</v>
      </c>
      <c r="AU370" s="88">
        <v>7703.9370893992673</v>
      </c>
      <c r="AV370" s="88">
        <v>12512</v>
      </c>
      <c r="AW370" s="88">
        <v>12376</v>
      </c>
      <c r="AX370" s="88">
        <v>12580</v>
      </c>
      <c r="AY370" s="88">
        <v>13600</v>
      </c>
      <c r="AZ370" s="88">
        <v>13600</v>
      </c>
      <c r="BA370" s="88">
        <v>13600</v>
      </c>
      <c r="BB370" s="88">
        <v>13600</v>
      </c>
      <c r="BC370" s="88">
        <v>13600</v>
      </c>
      <c r="BD370" s="88">
        <v>13600</v>
      </c>
      <c r="BE370" s="88">
        <v>13600</v>
      </c>
      <c r="BF370" s="88">
        <v>13600</v>
      </c>
      <c r="BG370" s="88">
        <v>13600</v>
      </c>
      <c r="BH370" s="88">
        <v>13600</v>
      </c>
      <c r="BI370" s="88">
        <v>13600</v>
      </c>
      <c r="BJ370" s="88">
        <v>13600</v>
      </c>
      <c r="BK370" s="88">
        <v>180.72486544541059</v>
      </c>
      <c r="BL370" s="88">
        <v>180.5309734513292</v>
      </c>
      <c r="BM370" s="88">
        <v>180.33749704826309</v>
      </c>
      <c r="BN370" s="88">
        <v>731.34341357203687</v>
      </c>
      <c r="BO370" s="88">
        <v>731.13628921660484</v>
      </c>
      <c r="BP370" s="88">
        <v>730.92962234318418</v>
      </c>
      <c r="BQ370" s="88">
        <v>730.72341143777066</v>
      </c>
      <c r="BR370" s="88">
        <v>730.51428571428721</v>
      </c>
      <c r="BS370" s="88">
        <v>730.30898964260393</v>
      </c>
      <c r="BT370" s="88">
        <v>730.10414501234641</v>
      </c>
      <c r="BU370" s="88">
        <v>729.89975033608459</v>
      </c>
      <c r="BV370" s="88">
        <v>729.6958041329176</v>
      </c>
      <c r="BW370" s="88">
        <v>0</v>
      </c>
      <c r="BX370" s="88">
        <v>0</v>
      </c>
      <c r="BY370" s="88">
        <v>0</v>
      </c>
      <c r="BZ370" s="88">
        <v>544.00000000000045</v>
      </c>
      <c r="CA370" s="88">
        <v>544.00000000000045</v>
      </c>
      <c r="CB370" s="88">
        <v>544.00000000000045</v>
      </c>
      <c r="CC370" s="88">
        <v>544.00000000000045</v>
      </c>
      <c r="CD370" s="88">
        <v>544.00000000000045</v>
      </c>
      <c r="CE370" s="88">
        <v>544.00000000000045</v>
      </c>
      <c r="CF370" s="88">
        <v>544.00000000000045</v>
      </c>
      <c r="CG370" s="88">
        <v>544.00000000000045</v>
      </c>
      <c r="CH370" s="88">
        <v>544.00000000000045</v>
      </c>
      <c r="CI370" s="88">
        <v>13600</v>
      </c>
      <c r="CJ370" s="88">
        <v>13600</v>
      </c>
      <c r="CK370" s="88">
        <v>13600</v>
      </c>
      <c r="CL370" s="88">
        <v>13600</v>
      </c>
      <c r="CM370" s="88">
        <v>13600</v>
      </c>
      <c r="CN370" s="88">
        <v>13600</v>
      </c>
      <c r="CO370" s="88">
        <v>13600</v>
      </c>
      <c r="CP370" s="88">
        <v>13600</v>
      </c>
      <c r="CQ370" s="88">
        <v>13600</v>
      </c>
      <c r="CR370" s="88">
        <v>13600</v>
      </c>
      <c r="CS370" s="88">
        <v>13600</v>
      </c>
      <c r="CT370" s="88">
        <v>13600</v>
      </c>
      <c r="CU370" s="88">
        <v>180.72486544541059</v>
      </c>
      <c r="CV370" s="88">
        <v>180.5309734513292</v>
      </c>
      <c r="CW370" s="88">
        <v>180.33749704826309</v>
      </c>
      <c r="CX370" s="88">
        <v>180.13789766541879</v>
      </c>
      <c r="CY370" s="88">
        <v>179.93873963135059</v>
      </c>
      <c r="CZ370" s="88">
        <v>179.74002148383181</v>
      </c>
      <c r="DA370" s="88">
        <v>179.54174176708599</v>
      </c>
      <c r="DB370" s="88">
        <v>179.34065934066169</v>
      </c>
      <c r="DC370" s="88">
        <v>179.1432592717351</v>
      </c>
      <c r="DD370" s="88">
        <v>178.94629328110111</v>
      </c>
      <c r="DE370" s="88">
        <v>178.74975993854301</v>
      </c>
      <c r="DF370" s="88">
        <v>178.55365782011339</v>
      </c>
      <c r="DG370" s="93">
        <v>46478</v>
      </c>
      <c r="DH370" s="91">
        <v>0.04</v>
      </c>
      <c r="DI370" t="s">
        <v>302</v>
      </c>
      <c r="DJ370" s="93"/>
      <c r="DK370" s="91"/>
      <c r="DM370" s="93"/>
      <c r="DN370" s="91"/>
      <c r="DP370" s="93"/>
      <c r="DQ370" s="91"/>
    </row>
    <row r="371" spans="1:121" x14ac:dyDescent="0.3">
      <c r="A371" t="s">
        <v>32</v>
      </c>
      <c r="B371" t="s">
        <v>47</v>
      </c>
      <c r="C371" t="s">
        <v>82</v>
      </c>
      <c r="D371" t="s">
        <v>410</v>
      </c>
      <c r="E371" t="s">
        <v>734</v>
      </c>
      <c r="F371" s="86">
        <v>10400</v>
      </c>
      <c r="G371" s="87">
        <v>6</v>
      </c>
      <c r="H371" s="88">
        <v>1.06</v>
      </c>
      <c r="I371" s="88">
        <v>1.06</v>
      </c>
      <c r="J371" s="89">
        <v>0.9080037381473377</v>
      </c>
      <c r="K371" s="88">
        <v>0.99999999999999978</v>
      </c>
      <c r="L371" s="88">
        <v>1.0132116877372539</v>
      </c>
      <c r="M371" s="88">
        <v>1</v>
      </c>
      <c r="N371" s="90">
        <v>0.57599999999999996</v>
      </c>
      <c r="O371" s="90">
        <v>0.58360993213665835</v>
      </c>
      <c r="P371" s="90">
        <v>0.58543706207185053</v>
      </c>
      <c r="Q371" s="91">
        <v>0</v>
      </c>
      <c r="R371" s="88">
        <v>0.99999999999999978</v>
      </c>
      <c r="S371" s="88">
        <v>1.0163837883191851</v>
      </c>
      <c r="T371" s="91">
        <v>0</v>
      </c>
      <c r="U371" s="91">
        <v>0</v>
      </c>
      <c r="V371" s="87">
        <v>0</v>
      </c>
      <c r="W371" s="91">
        <v>0</v>
      </c>
      <c r="X371" s="87">
        <v>1</v>
      </c>
      <c r="Y371" s="90">
        <v>0.58360993213665835</v>
      </c>
      <c r="Z371" s="90">
        <v>0.58543706207185053</v>
      </c>
      <c r="AA371" s="92">
        <v>0</v>
      </c>
      <c r="AB371" s="88">
        <v>0</v>
      </c>
      <c r="AC371" s="87">
        <v>1</v>
      </c>
      <c r="AD371" s="87">
        <v>0</v>
      </c>
      <c r="AE371" s="88">
        <v>1.03</v>
      </c>
      <c r="AF371" s="88">
        <v>0.99561641381999111</v>
      </c>
      <c r="AG371" s="88">
        <v>1.0254850506829609</v>
      </c>
      <c r="AH371" s="88">
        <v>11024</v>
      </c>
      <c r="AI371" s="88">
        <v>11024</v>
      </c>
      <c r="AJ371" s="88">
        <v>9443.2388767323118</v>
      </c>
      <c r="AK371" s="88">
        <v>10400</v>
      </c>
      <c r="AL371" s="88">
        <v>10537.401552467451</v>
      </c>
      <c r="AM371" s="88">
        <v>10400</v>
      </c>
      <c r="AN371" s="88">
        <v>5990.4</v>
      </c>
      <c r="AO371" s="88">
        <v>6069.5432942212456</v>
      </c>
      <c r="AP371" s="88">
        <v>6088.5454455472454</v>
      </c>
      <c r="AQ371" s="88">
        <v>0</v>
      </c>
      <c r="AR371" s="88">
        <v>10400</v>
      </c>
      <c r="AS371" s="88">
        <v>10570.39139851953</v>
      </c>
      <c r="AT371" s="88">
        <v>6069.5432942212456</v>
      </c>
      <c r="AU371" s="88">
        <v>6088.5454455472454</v>
      </c>
      <c r="AV371" s="88">
        <v>9568</v>
      </c>
      <c r="AW371" s="88">
        <v>9464</v>
      </c>
      <c r="AX371" s="88">
        <v>9412</v>
      </c>
      <c r="AY371" s="88">
        <v>10400</v>
      </c>
      <c r="AZ371" s="88">
        <v>10400</v>
      </c>
      <c r="BA371" s="88">
        <v>10400</v>
      </c>
      <c r="BB371" s="88">
        <v>10400</v>
      </c>
      <c r="BC371" s="88">
        <v>10400</v>
      </c>
      <c r="BD371" s="88">
        <v>10400</v>
      </c>
      <c r="BE371" s="88">
        <v>10400</v>
      </c>
      <c r="BF371" s="88">
        <v>10400</v>
      </c>
      <c r="BG371" s="88">
        <v>10400</v>
      </c>
      <c r="BH371" s="88">
        <v>10400</v>
      </c>
      <c r="BI371" s="88">
        <v>10400</v>
      </c>
      <c r="BJ371" s="88">
        <v>10400</v>
      </c>
      <c r="BK371" s="88">
        <v>575.77169294571195</v>
      </c>
      <c r="BL371" s="88">
        <v>575.75463418143511</v>
      </c>
      <c r="BM371" s="88">
        <v>575.73756334522943</v>
      </c>
      <c r="BN371" s="88">
        <v>575.71990113028289</v>
      </c>
      <c r="BO371" s="88">
        <v>575.70222598320913</v>
      </c>
      <c r="BP371" s="88">
        <v>575.68453788979457</v>
      </c>
      <c r="BQ371" s="88">
        <v>-45.597323739797702</v>
      </c>
      <c r="BR371" s="88">
        <v>-45.614309146293593</v>
      </c>
      <c r="BS371" s="88">
        <v>-45.631032949068469</v>
      </c>
      <c r="BT371" s="88">
        <v>-45.647769019402503</v>
      </c>
      <c r="BU371" s="88">
        <v>-45.66451737080142</v>
      </c>
      <c r="BV371" s="88">
        <v>-45.681278016787097</v>
      </c>
      <c r="BW371" s="88">
        <v>624.00000000000057</v>
      </c>
      <c r="BX371" s="88">
        <v>624.00000000000057</v>
      </c>
      <c r="BY371" s="88">
        <v>624.00000000000057</v>
      </c>
      <c r="BZ371" s="88">
        <v>624.00000000000057</v>
      </c>
      <c r="CA371" s="88">
        <v>624.00000000000057</v>
      </c>
      <c r="CB371" s="88">
        <v>624.00000000000057</v>
      </c>
      <c r="CC371" s="88">
        <v>0</v>
      </c>
      <c r="CD371" s="88">
        <v>0</v>
      </c>
      <c r="CE371" s="88">
        <v>0</v>
      </c>
      <c r="CF371" s="88">
        <v>0</v>
      </c>
      <c r="CG371" s="88">
        <v>0</v>
      </c>
      <c r="CH371" s="88">
        <v>0</v>
      </c>
      <c r="CI371" s="88">
        <v>10400</v>
      </c>
      <c r="CJ371" s="88">
        <v>10400</v>
      </c>
      <c r="CK371" s="88">
        <v>10400</v>
      </c>
      <c r="CL371" s="88">
        <v>10400</v>
      </c>
      <c r="CM371" s="88">
        <v>10400</v>
      </c>
      <c r="CN371" s="88">
        <v>10400</v>
      </c>
      <c r="CO371" s="88">
        <v>10400</v>
      </c>
      <c r="CP371" s="88">
        <v>10400</v>
      </c>
      <c r="CQ371" s="88">
        <v>10400</v>
      </c>
      <c r="CR371" s="88">
        <v>10400</v>
      </c>
      <c r="CS371" s="88">
        <v>10400</v>
      </c>
      <c r="CT371" s="88">
        <v>10400</v>
      </c>
      <c r="CU371" s="88">
        <v>-45.498402881405298</v>
      </c>
      <c r="CV371" s="88">
        <v>-45.514496055250312</v>
      </c>
      <c r="CW371" s="88">
        <v>-45.530600617709368</v>
      </c>
      <c r="CX371" s="88">
        <v>-45.547263084638701</v>
      </c>
      <c r="CY371" s="88">
        <v>-45.563937751690901</v>
      </c>
      <c r="CZ371" s="88">
        <v>-45.580624632268929</v>
      </c>
      <c r="DA371" s="88">
        <v>-45.597323739797702</v>
      </c>
      <c r="DB371" s="88">
        <v>-45.614309146293593</v>
      </c>
      <c r="DC371" s="88">
        <v>-45.631032949068469</v>
      </c>
      <c r="DD371" s="88">
        <v>-45.647769019402503</v>
      </c>
      <c r="DE371" s="88">
        <v>-45.66451737080142</v>
      </c>
      <c r="DF371" s="88">
        <v>-45.681278016787097</v>
      </c>
      <c r="DG371" s="93">
        <v>46204</v>
      </c>
      <c r="DH371" s="91">
        <v>0.06</v>
      </c>
      <c r="DI371" t="s">
        <v>301</v>
      </c>
      <c r="DJ371" s="93"/>
      <c r="DK371" s="91"/>
      <c r="DM371" s="93"/>
      <c r="DN371" s="91"/>
      <c r="DP371" s="93"/>
      <c r="DQ371" s="91"/>
    </row>
    <row r="372" spans="1:121" x14ac:dyDescent="0.3">
      <c r="A372" t="s">
        <v>32</v>
      </c>
      <c r="B372" t="s">
        <v>47</v>
      </c>
      <c r="C372" t="s">
        <v>85</v>
      </c>
      <c r="D372" t="s">
        <v>412</v>
      </c>
      <c r="E372" t="s">
        <v>735</v>
      </c>
      <c r="F372" s="86">
        <v>7200</v>
      </c>
      <c r="G372" s="87">
        <v>6</v>
      </c>
      <c r="H372" s="88">
        <v>1.02</v>
      </c>
      <c r="I372" s="88">
        <v>1.0198611111111111</v>
      </c>
      <c r="J372" s="89">
        <v>0.91399252370532447</v>
      </c>
      <c r="K372" s="88">
        <v>1.0001361841209311</v>
      </c>
      <c r="L372" s="88">
        <v>1.006572784939554</v>
      </c>
      <c r="M372" s="88">
        <v>1</v>
      </c>
      <c r="N372" s="90">
        <v>0.56000000000000005</v>
      </c>
      <c r="O372" s="90">
        <v>0.56375752393487788</v>
      </c>
      <c r="P372" s="90">
        <v>0.5602068967796302</v>
      </c>
      <c r="Q372" s="91">
        <v>0</v>
      </c>
      <c r="R372" s="88">
        <v>0.99999999999999978</v>
      </c>
      <c r="S372" s="88">
        <v>1.000369458535054</v>
      </c>
      <c r="T372" s="91">
        <v>-1.3616557734186241E-4</v>
      </c>
      <c r="U372" s="91">
        <v>1.3618412093152621E-4</v>
      </c>
      <c r="V372" s="87">
        <v>0</v>
      </c>
      <c r="W372" s="91">
        <v>0</v>
      </c>
      <c r="X372" s="87">
        <v>1</v>
      </c>
      <c r="Y372" s="90">
        <v>0.56375752393487788</v>
      </c>
      <c r="Z372" s="90">
        <v>0.5602068967796302</v>
      </c>
      <c r="AA372" s="92">
        <v>0</v>
      </c>
      <c r="AB372" s="88">
        <v>0</v>
      </c>
      <c r="AC372" s="87">
        <v>1</v>
      </c>
      <c r="AD372" s="87">
        <v>0</v>
      </c>
      <c r="AE372" s="88">
        <v>1.011666666666666</v>
      </c>
      <c r="AF372" s="88">
        <v>1.0087961468131059</v>
      </c>
      <c r="AG372" s="88">
        <v>1.0205656237440479</v>
      </c>
      <c r="AH372" s="88">
        <v>7344</v>
      </c>
      <c r="AI372" s="88">
        <v>7343.0000000000018</v>
      </c>
      <c r="AJ372" s="88">
        <v>6580.7461706783361</v>
      </c>
      <c r="AK372" s="88">
        <v>7200.980525670705</v>
      </c>
      <c r="AL372" s="88">
        <v>7247.3240515647904</v>
      </c>
      <c r="AM372" s="88">
        <v>7200</v>
      </c>
      <c r="AN372" s="88">
        <v>4032</v>
      </c>
      <c r="AO372" s="88">
        <v>4059.0541723311212</v>
      </c>
      <c r="AP372" s="88">
        <v>4033.4896568133381</v>
      </c>
      <c r="AQ372" s="88">
        <v>0</v>
      </c>
      <c r="AR372" s="88">
        <v>7199.9999999999982</v>
      </c>
      <c r="AS372" s="88">
        <v>7202.6601014523894</v>
      </c>
      <c r="AT372" s="88">
        <v>4059.0541723311212</v>
      </c>
      <c r="AU372" s="88">
        <v>4033.4896568133381</v>
      </c>
      <c r="AV372" s="88">
        <v>6624</v>
      </c>
      <c r="AW372" s="88">
        <v>6552</v>
      </c>
      <c r="AX372" s="88">
        <v>6624</v>
      </c>
      <c r="AY372" s="88">
        <v>7200</v>
      </c>
      <c r="AZ372" s="88">
        <v>7200</v>
      </c>
      <c r="BA372" s="88">
        <v>7200</v>
      </c>
      <c r="BB372" s="88">
        <v>7200</v>
      </c>
      <c r="BC372" s="88">
        <v>7200</v>
      </c>
      <c r="BD372" s="88">
        <v>7200</v>
      </c>
      <c r="BE372" s="88">
        <v>7200</v>
      </c>
      <c r="BF372" s="88">
        <v>7200</v>
      </c>
      <c r="BG372" s="88">
        <v>7200</v>
      </c>
      <c r="BH372" s="88">
        <v>7200</v>
      </c>
      <c r="BI372" s="88">
        <v>7200</v>
      </c>
      <c r="BJ372" s="88">
        <v>7200</v>
      </c>
      <c r="BK372" s="88">
        <v>208.85827314629981</v>
      </c>
      <c r="BL372" s="88">
        <v>208.81201189583899</v>
      </c>
      <c r="BM372" s="88">
        <v>208.76581659156591</v>
      </c>
      <c r="BN372" s="88">
        <v>208.71812453221941</v>
      </c>
      <c r="BO372" s="88">
        <v>208.67050265986191</v>
      </c>
      <c r="BP372" s="88">
        <v>208.62295081967321</v>
      </c>
      <c r="BQ372" s="88">
        <v>208.57546885727609</v>
      </c>
      <c r="BR372" s="88">
        <v>63.262039165654294</v>
      </c>
      <c r="BS372" s="88">
        <v>63.215625902049062</v>
      </c>
      <c r="BT372" s="88">
        <v>63.169280692267193</v>
      </c>
      <c r="BU372" s="88">
        <v>63.123003386735547</v>
      </c>
      <c r="BV372" s="88">
        <v>63.076793836331817</v>
      </c>
      <c r="BW372" s="88">
        <v>144.00000000000011</v>
      </c>
      <c r="BX372" s="88">
        <v>144.00000000000011</v>
      </c>
      <c r="BY372" s="88">
        <v>144.00000000000011</v>
      </c>
      <c r="BZ372" s="88">
        <v>144.00000000000011</v>
      </c>
      <c r="CA372" s="88">
        <v>144.00000000000011</v>
      </c>
      <c r="CB372" s="88">
        <v>144.00000000000011</v>
      </c>
      <c r="CC372" s="88">
        <v>144.00000000000011</v>
      </c>
      <c r="CD372" s="88">
        <v>0</v>
      </c>
      <c r="CE372" s="88">
        <v>0</v>
      </c>
      <c r="CF372" s="88">
        <v>0</v>
      </c>
      <c r="CG372" s="88">
        <v>0</v>
      </c>
      <c r="CH372" s="88">
        <v>0</v>
      </c>
      <c r="CI372" s="88">
        <v>7200</v>
      </c>
      <c r="CJ372" s="88">
        <v>7200</v>
      </c>
      <c r="CK372" s="88">
        <v>7200</v>
      </c>
      <c r="CL372" s="88">
        <v>7200</v>
      </c>
      <c r="CM372" s="88">
        <v>7200</v>
      </c>
      <c r="CN372" s="88">
        <v>7200</v>
      </c>
      <c r="CO372" s="88">
        <v>7200</v>
      </c>
      <c r="CP372" s="88">
        <v>7200</v>
      </c>
      <c r="CQ372" s="88">
        <v>7200</v>
      </c>
      <c r="CR372" s="88">
        <v>7200</v>
      </c>
      <c r="CS372" s="88">
        <v>7200</v>
      </c>
      <c r="CT372" s="88">
        <v>7200</v>
      </c>
      <c r="CU372" s="88">
        <v>63.586542300294369</v>
      </c>
      <c r="CV372" s="88">
        <v>63.541188133174842</v>
      </c>
      <c r="CW372" s="88">
        <v>63.495898619181368</v>
      </c>
      <c r="CX372" s="88">
        <v>63.44914169825433</v>
      </c>
      <c r="CY372" s="88">
        <v>63.402453588100371</v>
      </c>
      <c r="CZ372" s="88">
        <v>63.355834136933709</v>
      </c>
      <c r="DA372" s="88">
        <v>63.309283193408213</v>
      </c>
      <c r="DB372" s="88">
        <v>63.262039165654294</v>
      </c>
      <c r="DC372" s="88">
        <v>63.215625902049062</v>
      </c>
      <c r="DD372" s="88">
        <v>63.169280692267193</v>
      </c>
      <c r="DE372" s="88">
        <v>63.123003386735547</v>
      </c>
      <c r="DF372" s="88">
        <v>63.076793836331817</v>
      </c>
      <c r="DG372" s="93">
        <v>46235</v>
      </c>
      <c r="DH372" s="91">
        <v>0.02</v>
      </c>
      <c r="DI372" t="s">
        <v>301</v>
      </c>
      <c r="DJ372" s="93"/>
      <c r="DK372" s="91"/>
      <c r="DM372" s="93"/>
      <c r="DN372" s="91"/>
      <c r="DP372" s="93"/>
      <c r="DQ372" s="91"/>
    </row>
    <row r="373" spans="1:121" x14ac:dyDescent="0.3">
      <c r="A373" t="s">
        <v>32</v>
      </c>
      <c r="B373" t="s">
        <v>47</v>
      </c>
      <c r="C373" t="s">
        <v>87</v>
      </c>
      <c r="D373" t="s">
        <v>414</v>
      </c>
      <c r="E373" t="s">
        <v>736</v>
      </c>
      <c r="F373" s="86">
        <v>17600</v>
      </c>
      <c r="G373" s="87">
        <v>6</v>
      </c>
      <c r="H373" s="88">
        <v>1</v>
      </c>
      <c r="I373" s="88">
        <v>1</v>
      </c>
      <c r="J373" s="89">
        <v>0.90600747629467537</v>
      </c>
      <c r="K373" s="88">
        <v>1</v>
      </c>
      <c r="L373" s="88">
        <v>1.0154441592055621</v>
      </c>
      <c r="M373" s="88">
        <v>1</v>
      </c>
      <c r="N373" s="90">
        <v>0.58799999999999997</v>
      </c>
      <c r="O373" s="90">
        <v>0.59708116561287061</v>
      </c>
      <c r="P373" s="90">
        <v>0.60083983205951241</v>
      </c>
      <c r="Q373" s="91">
        <v>0</v>
      </c>
      <c r="R373" s="88">
        <v>1</v>
      </c>
      <c r="S373" s="88">
        <v>1.021836449080803</v>
      </c>
      <c r="T373" s="91">
        <v>0</v>
      </c>
      <c r="U373" s="91">
        <v>0</v>
      </c>
      <c r="V373" s="87">
        <v>0</v>
      </c>
      <c r="W373" s="91">
        <v>0</v>
      </c>
      <c r="X373" s="87">
        <v>1</v>
      </c>
      <c r="Y373" s="90">
        <v>0.59708116561287061</v>
      </c>
      <c r="Z373" s="90">
        <v>0.60083983205951241</v>
      </c>
      <c r="AA373" s="92">
        <v>0</v>
      </c>
      <c r="AB373" s="88">
        <v>0</v>
      </c>
      <c r="AC373" s="87">
        <v>0</v>
      </c>
      <c r="AD373" s="87">
        <v>0</v>
      </c>
      <c r="AE373" s="88">
        <v>1</v>
      </c>
      <c r="AF373" s="88">
        <v>0.99124238763980388</v>
      </c>
      <c r="AG373" s="88">
        <v>0.99124238763980388</v>
      </c>
      <c r="AH373" s="88">
        <v>17600</v>
      </c>
      <c r="AI373" s="88">
        <v>17600</v>
      </c>
      <c r="AJ373" s="88">
        <v>15945.731582786289</v>
      </c>
      <c r="AK373" s="88">
        <v>17600</v>
      </c>
      <c r="AL373" s="88">
        <v>17871.817202017901</v>
      </c>
      <c r="AM373" s="88">
        <v>17600</v>
      </c>
      <c r="AN373" s="88">
        <v>10348.799999999999</v>
      </c>
      <c r="AO373" s="88">
        <v>10508.62851478652</v>
      </c>
      <c r="AP373" s="88">
        <v>10574.78104424742</v>
      </c>
      <c r="AQ373" s="88">
        <v>0</v>
      </c>
      <c r="AR373" s="88">
        <v>17600</v>
      </c>
      <c r="AS373" s="88">
        <v>17984.321503822139</v>
      </c>
      <c r="AT373" s="88">
        <v>10508.62851478652</v>
      </c>
      <c r="AU373" s="88">
        <v>10574.78104424742</v>
      </c>
      <c r="AV373" s="88">
        <v>16192</v>
      </c>
      <c r="AW373" s="88">
        <v>16016</v>
      </c>
      <c r="AX373" s="88">
        <v>15840</v>
      </c>
      <c r="AY373" s="88">
        <v>17600</v>
      </c>
      <c r="AZ373" s="88">
        <v>17600</v>
      </c>
      <c r="BA373" s="88">
        <v>17600</v>
      </c>
      <c r="BB373" s="88">
        <v>17600</v>
      </c>
      <c r="BC373" s="88">
        <v>17600</v>
      </c>
      <c r="BD373" s="88">
        <v>17600</v>
      </c>
      <c r="BE373" s="88">
        <v>17600</v>
      </c>
      <c r="BF373" s="88">
        <v>17600</v>
      </c>
      <c r="BG373" s="88">
        <v>17600</v>
      </c>
      <c r="BH373" s="88">
        <v>17600</v>
      </c>
      <c r="BI373" s="88">
        <v>17600</v>
      </c>
      <c r="BJ373" s="88">
        <v>17600</v>
      </c>
      <c r="BK373" s="88">
        <v>-153.5207733393861</v>
      </c>
      <c r="BL373" s="88">
        <v>-153.62908047351289</v>
      </c>
      <c r="BM373" s="88">
        <v>-153.73754053439481</v>
      </c>
      <c r="BN373" s="88">
        <v>-153.84983834271381</v>
      </c>
      <c r="BO373" s="88">
        <v>-153.9623003271455</v>
      </c>
      <c r="BP373" s="88">
        <v>-154.0749268479866</v>
      </c>
      <c r="BQ373" s="88">
        <v>-154.18771826658701</v>
      </c>
      <c r="BR373" s="88">
        <v>-154.30252807302131</v>
      </c>
      <c r="BS373" s="88">
        <v>-154.41565309360161</v>
      </c>
      <c r="BT373" s="88">
        <v>-154.52894410834401</v>
      </c>
      <c r="BU373" s="88">
        <v>-154.6424014828718</v>
      </c>
      <c r="BV373" s="88">
        <v>-154.75602558389059</v>
      </c>
      <c r="BW373" s="88">
        <v>0</v>
      </c>
      <c r="BX373" s="88">
        <v>0</v>
      </c>
      <c r="BY373" s="88">
        <v>0</v>
      </c>
      <c r="BZ373" s="88">
        <v>0</v>
      </c>
      <c r="CA373" s="88">
        <v>0</v>
      </c>
      <c r="CB373" s="88">
        <v>0</v>
      </c>
      <c r="CC373" s="88">
        <v>0</v>
      </c>
      <c r="CD373" s="88">
        <v>0</v>
      </c>
      <c r="CE373" s="88">
        <v>0</v>
      </c>
      <c r="CF373" s="88">
        <v>0</v>
      </c>
      <c r="CG373" s="88">
        <v>0</v>
      </c>
      <c r="CH373" s="88">
        <v>0</v>
      </c>
      <c r="CI373" s="88">
        <v>17600</v>
      </c>
      <c r="CJ373" s="88">
        <v>17600</v>
      </c>
      <c r="CK373" s="88">
        <v>17600</v>
      </c>
      <c r="CL373" s="88">
        <v>17600</v>
      </c>
      <c r="CM373" s="88">
        <v>17600</v>
      </c>
      <c r="CN373" s="88">
        <v>17600</v>
      </c>
      <c r="CO373" s="88">
        <v>17600</v>
      </c>
      <c r="CP373" s="88">
        <v>17600</v>
      </c>
      <c r="CQ373" s="88">
        <v>17600</v>
      </c>
      <c r="CR373" s="88">
        <v>17600</v>
      </c>
      <c r="CS373" s="88">
        <v>17600</v>
      </c>
      <c r="CT373" s="88">
        <v>17600</v>
      </c>
      <c r="CU373" s="88">
        <v>-153.5207733393861</v>
      </c>
      <c r="CV373" s="88">
        <v>-153.62908047351289</v>
      </c>
      <c r="CW373" s="88">
        <v>-153.73754053439481</v>
      </c>
      <c r="CX373" s="88">
        <v>-153.84983834271381</v>
      </c>
      <c r="CY373" s="88">
        <v>-153.9623003271455</v>
      </c>
      <c r="CZ373" s="88">
        <v>-154.0749268479866</v>
      </c>
      <c r="DA373" s="88">
        <v>-154.18771826658701</v>
      </c>
      <c r="DB373" s="88">
        <v>-154.30252807302131</v>
      </c>
      <c r="DC373" s="88">
        <v>-154.41565309360161</v>
      </c>
      <c r="DD373" s="88">
        <v>-154.52894410834401</v>
      </c>
      <c r="DE373" s="88">
        <v>-154.6424014828718</v>
      </c>
      <c r="DF373" s="88">
        <v>-154.75602558389059</v>
      </c>
      <c r="DG373" s="93"/>
      <c r="DH373" s="91"/>
      <c r="DJ373" s="93"/>
      <c r="DK373" s="91"/>
      <c r="DM373" s="93"/>
      <c r="DN373" s="91"/>
      <c r="DP373" s="93"/>
      <c r="DQ373" s="91"/>
    </row>
    <row r="374" spans="1:121" x14ac:dyDescent="0.3">
      <c r="A374" t="s">
        <v>32</v>
      </c>
      <c r="B374" t="s">
        <v>47</v>
      </c>
      <c r="C374" t="s">
        <v>89</v>
      </c>
      <c r="D374" t="s">
        <v>416</v>
      </c>
      <c r="E374" t="s">
        <v>737</v>
      </c>
      <c r="F374" s="86">
        <v>14400</v>
      </c>
      <c r="G374" s="87">
        <v>6</v>
      </c>
      <c r="H374" s="88">
        <v>1.04</v>
      </c>
      <c r="I374" s="88">
        <v>1.0447222222222221</v>
      </c>
      <c r="J374" s="89">
        <v>0.91199626185266247</v>
      </c>
      <c r="K374" s="88">
        <v>0.99547992555171516</v>
      </c>
      <c r="L374" s="88">
        <v>1.008776064642062</v>
      </c>
      <c r="M374" s="88">
        <v>1</v>
      </c>
      <c r="N374" s="90">
        <v>0.57199999999999995</v>
      </c>
      <c r="O374" s="90">
        <v>0.57441173602854845</v>
      </c>
      <c r="P374" s="90">
        <v>0.55325593148837793</v>
      </c>
      <c r="Q374" s="91">
        <v>0</v>
      </c>
      <c r="R374" s="88">
        <v>0.96179535132246863</v>
      </c>
      <c r="S374" s="88">
        <v>1.00565120025301</v>
      </c>
      <c r="T374" s="91">
        <v>4.5405982905981626E-3</v>
      </c>
      <c r="U374" s="91">
        <v>3.5022600372241593E-2</v>
      </c>
      <c r="V374" s="87">
        <v>0</v>
      </c>
      <c r="W374" s="91">
        <v>0</v>
      </c>
      <c r="X374" s="87">
        <v>1</v>
      </c>
      <c r="Y374" s="90">
        <v>0.57441173602854845</v>
      </c>
      <c r="Z374" s="90">
        <v>0.55325593148837793</v>
      </c>
      <c r="AA374" s="92">
        <v>0</v>
      </c>
      <c r="AB374" s="88">
        <v>0</v>
      </c>
      <c r="AC374" s="87">
        <v>1</v>
      </c>
      <c r="AD374" s="87">
        <v>1</v>
      </c>
      <c r="AE374" s="88">
        <v>1.046933333333333</v>
      </c>
      <c r="AF374" s="88">
        <v>1.0043932196204439</v>
      </c>
      <c r="AG374" s="88">
        <v>1.05153271898435</v>
      </c>
      <c r="AH374" s="88">
        <v>14976</v>
      </c>
      <c r="AI374" s="88">
        <v>15044</v>
      </c>
      <c r="AJ374" s="88">
        <v>13132.74617067834</v>
      </c>
      <c r="AK374" s="88">
        <v>14334.9109279447</v>
      </c>
      <c r="AL374" s="88">
        <v>14526.375330845691</v>
      </c>
      <c r="AM374" s="88">
        <v>14400</v>
      </c>
      <c r="AN374" s="88">
        <v>8236.7999999999993</v>
      </c>
      <c r="AO374" s="88">
        <v>8271.5289988110981</v>
      </c>
      <c r="AP374" s="88">
        <v>7966.8854134326421</v>
      </c>
      <c r="AQ374" s="88">
        <v>0</v>
      </c>
      <c r="AR374" s="88">
        <v>13849.853059043549</v>
      </c>
      <c r="AS374" s="88">
        <v>14481.377283643351</v>
      </c>
      <c r="AT374" s="88">
        <v>8271.5289988110981</v>
      </c>
      <c r="AU374" s="88">
        <v>7966.8854134326421</v>
      </c>
      <c r="AV374" s="88">
        <v>13248</v>
      </c>
      <c r="AW374" s="88">
        <v>13104</v>
      </c>
      <c r="AX374" s="88">
        <v>13176</v>
      </c>
      <c r="AY374" s="88">
        <v>14400</v>
      </c>
      <c r="AZ374" s="88">
        <v>14400</v>
      </c>
      <c r="BA374" s="88">
        <v>14400</v>
      </c>
      <c r="BB374" s="88">
        <v>14400</v>
      </c>
      <c r="BC374" s="88">
        <v>14400</v>
      </c>
      <c r="BD374" s="88">
        <v>14400</v>
      </c>
      <c r="BE374" s="88">
        <v>14400</v>
      </c>
      <c r="BF374" s="88">
        <v>14400</v>
      </c>
      <c r="BG374" s="88">
        <v>14400</v>
      </c>
      <c r="BH374" s="88">
        <v>14400</v>
      </c>
      <c r="BI374" s="88">
        <v>14400</v>
      </c>
      <c r="BJ374" s="88">
        <v>14400</v>
      </c>
      <c r="BK374" s="88">
        <v>641.92463502439387</v>
      </c>
      <c r="BL374" s="88">
        <v>641.90118872519406</v>
      </c>
      <c r="BM374" s="88">
        <v>641.87775909756726</v>
      </c>
      <c r="BN374" s="88">
        <v>641.85355275522545</v>
      </c>
      <c r="BO374" s="88">
        <v>641.82936419526402</v>
      </c>
      <c r="BP374" s="88">
        <v>641.80519339810189</v>
      </c>
      <c r="BQ374" s="88">
        <v>641.78104034417379</v>
      </c>
      <c r="BR374" s="88">
        <v>1243.426769880366</v>
      </c>
      <c r="BS374" s="88">
        <v>1243.4016878509869</v>
      </c>
      <c r="BT374" s="88">
        <v>641.70829251287887</v>
      </c>
      <c r="BU374" s="88">
        <v>641.6842105263139</v>
      </c>
      <c r="BV374" s="88">
        <v>641.66014618530767</v>
      </c>
      <c r="BW374" s="88">
        <v>576.00000000000045</v>
      </c>
      <c r="BX374" s="88">
        <v>576.00000000000045</v>
      </c>
      <c r="BY374" s="88">
        <v>576.00000000000045</v>
      </c>
      <c r="BZ374" s="88">
        <v>576.00000000000045</v>
      </c>
      <c r="CA374" s="88">
        <v>576.00000000000045</v>
      </c>
      <c r="CB374" s="88">
        <v>576.00000000000045</v>
      </c>
      <c r="CC374" s="88">
        <v>576.00000000000045</v>
      </c>
      <c r="CD374" s="88">
        <v>1175.040000000002</v>
      </c>
      <c r="CE374" s="88">
        <v>1175.040000000002</v>
      </c>
      <c r="CF374" s="88">
        <v>576.00000000000045</v>
      </c>
      <c r="CG374" s="88">
        <v>576.00000000000045</v>
      </c>
      <c r="CH374" s="88">
        <v>576.00000000000045</v>
      </c>
      <c r="CI374" s="88">
        <v>14400</v>
      </c>
      <c r="CJ374" s="88">
        <v>14400</v>
      </c>
      <c r="CK374" s="88">
        <v>14400</v>
      </c>
      <c r="CL374" s="88">
        <v>14400</v>
      </c>
      <c r="CM374" s="88">
        <v>14400</v>
      </c>
      <c r="CN374" s="88">
        <v>14400</v>
      </c>
      <c r="CO374" s="88">
        <v>14400</v>
      </c>
      <c r="CP374" s="88">
        <v>14400</v>
      </c>
      <c r="CQ374" s="88">
        <v>14400</v>
      </c>
      <c r="CR374" s="88">
        <v>14400</v>
      </c>
      <c r="CS374" s="88">
        <v>14400</v>
      </c>
      <c r="CT374" s="88">
        <v>14400</v>
      </c>
      <c r="CU374" s="88">
        <v>63.389072138839708</v>
      </c>
      <c r="CV374" s="88">
        <v>63.366527620379642</v>
      </c>
      <c r="CW374" s="88">
        <v>63.34399913227422</v>
      </c>
      <c r="CX374" s="88">
        <v>63.32072380309981</v>
      </c>
      <c r="CY374" s="88">
        <v>63.29746557236966</v>
      </c>
      <c r="CZ374" s="88">
        <v>63.274224421250842</v>
      </c>
      <c r="DA374" s="88">
        <v>63.25100033093598</v>
      </c>
      <c r="DB374" s="88">
        <v>63.227412981105857</v>
      </c>
      <c r="DC374" s="88">
        <v>63.204223235008072</v>
      </c>
      <c r="DD374" s="88">
        <v>63.181050493151503</v>
      </c>
      <c r="DE374" s="88">
        <v>63.157894736840703</v>
      </c>
      <c r="DF374" s="88">
        <v>63.134755947412202</v>
      </c>
      <c r="DG374" s="93">
        <v>46296</v>
      </c>
      <c r="DH374" s="91">
        <v>0.04</v>
      </c>
      <c r="DI374" t="s">
        <v>301</v>
      </c>
      <c r="DJ374" s="93">
        <v>46600</v>
      </c>
      <c r="DK374" s="91">
        <v>0.04</v>
      </c>
      <c r="DL374" t="s">
        <v>302</v>
      </c>
      <c r="DM374" s="93"/>
      <c r="DN374" s="91"/>
      <c r="DP374" s="93"/>
      <c r="DQ374" s="91"/>
    </row>
    <row r="375" spans="1:121" x14ac:dyDescent="0.3">
      <c r="A375" t="s">
        <v>32</v>
      </c>
      <c r="B375" t="s">
        <v>47</v>
      </c>
      <c r="C375" t="s">
        <v>91</v>
      </c>
      <c r="D375" t="s">
        <v>418</v>
      </c>
      <c r="E375" t="s">
        <v>738</v>
      </c>
      <c r="F375" s="86">
        <v>11200</v>
      </c>
      <c r="G375" s="87">
        <v>6</v>
      </c>
      <c r="H375" s="88">
        <v>1.05</v>
      </c>
      <c r="I375" s="88">
        <v>1.044444444444445</v>
      </c>
      <c r="J375" s="89">
        <v>0.91798504741064912</v>
      </c>
      <c r="K375" s="88">
        <v>1.0053191489361699</v>
      </c>
      <c r="L375" s="88">
        <v>1.002194973213381</v>
      </c>
      <c r="M375" s="88">
        <v>1</v>
      </c>
      <c r="N375" s="90">
        <v>0.6</v>
      </c>
      <c r="O375" s="90">
        <v>0.6045154785233906</v>
      </c>
      <c r="P375" s="90">
        <v>0.59398241109071914</v>
      </c>
      <c r="Q375" s="91">
        <v>0</v>
      </c>
      <c r="R375" s="88">
        <v>1</v>
      </c>
      <c r="S375" s="88">
        <v>0.98997068515119868</v>
      </c>
      <c r="T375" s="91">
        <v>-5.2910052910052352E-3</v>
      </c>
      <c r="U375" s="91">
        <v>5.3191489361701372E-3</v>
      </c>
      <c r="V375" s="87">
        <v>0</v>
      </c>
      <c r="W375" s="91">
        <v>0</v>
      </c>
      <c r="X375" s="87">
        <v>1</v>
      </c>
      <c r="Y375" s="90">
        <v>0.6045154785233906</v>
      </c>
      <c r="Z375" s="90">
        <v>0.59398241109071914</v>
      </c>
      <c r="AA375" s="92">
        <v>0</v>
      </c>
      <c r="AB375" s="88">
        <v>0</v>
      </c>
      <c r="AC375" s="87">
        <v>1</v>
      </c>
      <c r="AD375" s="87">
        <v>0</v>
      </c>
      <c r="AE375" s="88">
        <v>1.041666666666667</v>
      </c>
      <c r="AF375" s="88">
        <v>1.0176314239537809</v>
      </c>
      <c r="AG375" s="88">
        <v>1.0600338116740149</v>
      </c>
      <c r="AH375" s="88">
        <v>11760</v>
      </c>
      <c r="AI375" s="88">
        <v>11697.777777777779</v>
      </c>
      <c r="AJ375" s="88">
        <v>10281.432530999269</v>
      </c>
      <c r="AK375" s="88">
        <v>11259.574468085109</v>
      </c>
      <c r="AL375" s="88">
        <v>11224.583699989869</v>
      </c>
      <c r="AM375" s="88">
        <v>11200</v>
      </c>
      <c r="AN375" s="88">
        <v>6720</v>
      </c>
      <c r="AO375" s="88">
        <v>6770.5733594619751</v>
      </c>
      <c r="AP375" s="88">
        <v>6652.6030042160546</v>
      </c>
      <c r="AQ375" s="88">
        <v>0</v>
      </c>
      <c r="AR375" s="88">
        <v>11200</v>
      </c>
      <c r="AS375" s="88">
        <v>11087.67167369342</v>
      </c>
      <c r="AT375" s="88">
        <v>6770.5733594619751</v>
      </c>
      <c r="AU375" s="88">
        <v>6652.6030042160546</v>
      </c>
      <c r="AV375" s="88">
        <v>10304</v>
      </c>
      <c r="AW375" s="88">
        <v>10192</v>
      </c>
      <c r="AX375" s="88">
        <v>10416</v>
      </c>
      <c r="AY375" s="88">
        <v>11200</v>
      </c>
      <c r="AZ375" s="88">
        <v>11200</v>
      </c>
      <c r="BA375" s="88">
        <v>11200</v>
      </c>
      <c r="BB375" s="88">
        <v>11200</v>
      </c>
      <c r="BC375" s="88">
        <v>11200</v>
      </c>
      <c r="BD375" s="88">
        <v>11200</v>
      </c>
      <c r="BE375" s="88">
        <v>11200</v>
      </c>
      <c r="BF375" s="88">
        <v>11200</v>
      </c>
      <c r="BG375" s="88">
        <v>11200</v>
      </c>
      <c r="BH375" s="88">
        <v>11200</v>
      </c>
      <c r="BI375" s="88">
        <v>11200</v>
      </c>
      <c r="BJ375" s="88">
        <v>11200</v>
      </c>
      <c r="BK375" s="88">
        <v>769.01830931048107</v>
      </c>
      <c r="BL375" s="88">
        <v>768.71848484111774</v>
      </c>
      <c r="BM375" s="88">
        <v>768.41951930080302</v>
      </c>
      <c r="BN375" s="88">
        <v>768.11131851349182</v>
      </c>
      <c r="BO375" s="88">
        <v>767.80402788536048</v>
      </c>
      <c r="BP375" s="88">
        <v>767.49764339061812</v>
      </c>
      <c r="BQ375" s="88">
        <v>767.19216102717701</v>
      </c>
      <c r="BR375" s="88">
        <v>766.882591093119</v>
      </c>
      <c r="BS375" s="88">
        <v>766.57891570613936</v>
      </c>
      <c r="BT375" s="88">
        <v>766.27613052044558</v>
      </c>
      <c r="BU375" s="88">
        <v>196.16593488327251</v>
      </c>
      <c r="BV375" s="88">
        <v>195.87925251557081</v>
      </c>
      <c r="BW375" s="88">
        <v>560.00000000000045</v>
      </c>
      <c r="BX375" s="88">
        <v>560.00000000000045</v>
      </c>
      <c r="BY375" s="88">
        <v>560.00000000000045</v>
      </c>
      <c r="BZ375" s="88">
        <v>560.00000000000045</v>
      </c>
      <c r="CA375" s="88">
        <v>560.00000000000045</v>
      </c>
      <c r="CB375" s="88">
        <v>560.00000000000045</v>
      </c>
      <c r="CC375" s="88">
        <v>560.00000000000045</v>
      </c>
      <c r="CD375" s="88">
        <v>560.00000000000045</v>
      </c>
      <c r="CE375" s="88">
        <v>560.00000000000045</v>
      </c>
      <c r="CF375" s="88">
        <v>560.00000000000045</v>
      </c>
      <c r="CG375" s="88">
        <v>0</v>
      </c>
      <c r="CH375" s="88">
        <v>0</v>
      </c>
      <c r="CI375" s="88">
        <v>11200</v>
      </c>
      <c r="CJ375" s="88">
        <v>11200</v>
      </c>
      <c r="CK375" s="88">
        <v>11200</v>
      </c>
      <c r="CL375" s="88">
        <v>11200</v>
      </c>
      <c r="CM375" s="88">
        <v>11200</v>
      </c>
      <c r="CN375" s="88">
        <v>11200</v>
      </c>
      <c r="CO375" s="88">
        <v>11200</v>
      </c>
      <c r="CP375" s="88">
        <v>11200</v>
      </c>
      <c r="CQ375" s="88">
        <v>11200</v>
      </c>
      <c r="CR375" s="88">
        <v>11200</v>
      </c>
      <c r="CS375" s="88">
        <v>11200</v>
      </c>
      <c r="CT375" s="88">
        <v>11200</v>
      </c>
      <c r="CU375" s="88">
        <v>199.0650564861717</v>
      </c>
      <c r="CV375" s="88">
        <v>198.77950937249341</v>
      </c>
      <c r="CW375" s="88">
        <v>198.49478028647769</v>
      </c>
      <c r="CX375" s="88">
        <v>198.20125572713499</v>
      </c>
      <c r="CY375" s="88">
        <v>197.90859798605709</v>
      </c>
      <c r="CZ375" s="88">
        <v>197.61680322915859</v>
      </c>
      <c r="DA375" s="88">
        <v>197.32586764493021</v>
      </c>
      <c r="DB375" s="88">
        <v>197.0310391363025</v>
      </c>
      <c r="DC375" s="88">
        <v>196.74182448203649</v>
      </c>
      <c r="DD375" s="88">
        <v>196.45345763852009</v>
      </c>
      <c r="DE375" s="88">
        <v>196.16593488327251</v>
      </c>
      <c r="DF375" s="88">
        <v>195.87925251557081</v>
      </c>
      <c r="DG375" s="93">
        <v>46327</v>
      </c>
      <c r="DH375" s="91">
        <v>0.05</v>
      </c>
      <c r="DI375" t="s">
        <v>301</v>
      </c>
      <c r="DJ375" s="93"/>
      <c r="DK375" s="91"/>
      <c r="DM375" s="93"/>
      <c r="DN375" s="91"/>
      <c r="DP375" s="93"/>
      <c r="DQ375" s="91"/>
    </row>
    <row r="376" spans="1:121" x14ac:dyDescent="0.3">
      <c r="A376" t="s">
        <v>32</v>
      </c>
      <c r="B376" t="s">
        <v>47</v>
      </c>
      <c r="C376" t="s">
        <v>92</v>
      </c>
      <c r="D376" t="s">
        <v>420</v>
      </c>
      <c r="E376" t="s">
        <v>739</v>
      </c>
      <c r="F376" s="86">
        <v>8000</v>
      </c>
      <c r="G376" s="87">
        <v>6</v>
      </c>
      <c r="H376" s="88">
        <v>1</v>
      </c>
      <c r="I376" s="88">
        <v>1</v>
      </c>
      <c r="J376" s="89">
        <v>0.90999999999999981</v>
      </c>
      <c r="K376" s="88">
        <v>1</v>
      </c>
      <c r="L376" s="88">
        <v>1.0109890109890109</v>
      </c>
      <c r="M376" s="88">
        <v>1</v>
      </c>
      <c r="N376" s="90">
        <v>0.58399999999999996</v>
      </c>
      <c r="O376" s="90">
        <v>0.59041758241758246</v>
      </c>
      <c r="P376" s="90">
        <v>0.59041758241758246</v>
      </c>
      <c r="Q376" s="91">
        <v>0</v>
      </c>
      <c r="R376" s="88">
        <v>1</v>
      </c>
      <c r="S376" s="88">
        <v>1.0109890109890109</v>
      </c>
      <c r="T376" s="91">
        <v>0</v>
      </c>
      <c r="U376" s="91">
        <v>0</v>
      </c>
      <c r="V376" s="87">
        <v>0</v>
      </c>
      <c r="W376" s="91">
        <v>0</v>
      </c>
      <c r="X376" s="87">
        <v>1</v>
      </c>
      <c r="Y376" s="90">
        <v>0.59041758241758246</v>
      </c>
      <c r="Z376" s="90">
        <v>0.59041758241758246</v>
      </c>
      <c r="AA376" s="92">
        <v>0</v>
      </c>
      <c r="AB376" s="88">
        <v>0</v>
      </c>
      <c r="AC376" s="87">
        <v>0</v>
      </c>
      <c r="AD376" s="87">
        <v>0</v>
      </c>
      <c r="AE376" s="88">
        <v>1</v>
      </c>
      <c r="AF376" s="88">
        <v>1</v>
      </c>
      <c r="AG376" s="88">
        <v>1</v>
      </c>
      <c r="AH376" s="88">
        <v>8000</v>
      </c>
      <c r="AI376" s="88">
        <v>8000</v>
      </c>
      <c r="AJ376" s="88">
        <v>7279.9999999999982</v>
      </c>
      <c r="AK376" s="88">
        <v>8000</v>
      </c>
      <c r="AL376" s="88">
        <v>8087.9120879120892</v>
      </c>
      <c r="AM376" s="88">
        <v>8000</v>
      </c>
      <c r="AN376" s="88">
        <v>4672</v>
      </c>
      <c r="AO376" s="88">
        <v>4723.3406593406598</v>
      </c>
      <c r="AP376" s="88">
        <v>4723.3406593406598</v>
      </c>
      <c r="AQ376" s="88">
        <v>0</v>
      </c>
      <c r="AR376" s="88">
        <v>8000</v>
      </c>
      <c r="AS376" s="88">
        <v>8087.9120879120892</v>
      </c>
      <c r="AT376" s="88">
        <v>4723.3406593406598</v>
      </c>
      <c r="AU376" s="88">
        <v>4723.3406593406598</v>
      </c>
      <c r="AV376" s="88">
        <v>7360</v>
      </c>
      <c r="AW376" s="88">
        <v>7280</v>
      </c>
      <c r="AX376" s="88">
        <v>7280</v>
      </c>
      <c r="AY376" s="88">
        <v>8000</v>
      </c>
      <c r="AZ376" s="88">
        <v>8000</v>
      </c>
      <c r="BA376" s="88">
        <v>8000</v>
      </c>
      <c r="BB376" s="88">
        <v>8000</v>
      </c>
      <c r="BC376" s="88">
        <v>8000</v>
      </c>
      <c r="BD376" s="88">
        <v>8000</v>
      </c>
      <c r="BE376" s="88">
        <v>8000</v>
      </c>
      <c r="BF376" s="88">
        <v>8000</v>
      </c>
      <c r="BG376" s="88">
        <v>8000</v>
      </c>
      <c r="BH376" s="88">
        <v>8000</v>
      </c>
      <c r="BI376" s="88">
        <v>8000</v>
      </c>
      <c r="BJ376" s="88">
        <v>8000</v>
      </c>
      <c r="BK376" s="88">
        <v>0</v>
      </c>
      <c r="BL376" s="88">
        <v>0</v>
      </c>
      <c r="BM376" s="88">
        <v>0</v>
      </c>
      <c r="BN376" s="88">
        <v>0</v>
      </c>
      <c r="BO376" s="88">
        <v>0</v>
      </c>
      <c r="BP376" s="88">
        <v>0</v>
      </c>
      <c r="BQ376" s="88">
        <v>0</v>
      </c>
      <c r="BR376" s="88">
        <v>0</v>
      </c>
      <c r="BS376" s="88">
        <v>0</v>
      </c>
      <c r="BT376" s="88">
        <v>0</v>
      </c>
      <c r="BU376" s="88">
        <v>0</v>
      </c>
      <c r="BV376" s="88">
        <v>0</v>
      </c>
      <c r="BW376" s="88">
        <v>0</v>
      </c>
      <c r="BX376" s="88">
        <v>0</v>
      </c>
      <c r="BY376" s="88">
        <v>0</v>
      </c>
      <c r="BZ376" s="88">
        <v>0</v>
      </c>
      <c r="CA376" s="88">
        <v>0</v>
      </c>
      <c r="CB376" s="88">
        <v>0</v>
      </c>
      <c r="CC376" s="88">
        <v>0</v>
      </c>
      <c r="CD376" s="88">
        <v>0</v>
      </c>
      <c r="CE376" s="88">
        <v>0</v>
      </c>
      <c r="CF376" s="88">
        <v>0</v>
      </c>
      <c r="CG376" s="88">
        <v>0</v>
      </c>
      <c r="CH376" s="88">
        <v>0</v>
      </c>
      <c r="CI376" s="88">
        <v>8000</v>
      </c>
      <c r="CJ376" s="88">
        <v>8000</v>
      </c>
      <c r="CK376" s="88">
        <v>8000</v>
      </c>
      <c r="CL376" s="88">
        <v>8000</v>
      </c>
      <c r="CM376" s="88">
        <v>8000</v>
      </c>
      <c r="CN376" s="88">
        <v>8000</v>
      </c>
      <c r="CO376" s="88">
        <v>8000</v>
      </c>
      <c r="CP376" s="88">
        <v>8000</v>
      </c>
      <c r="CQ376" s="88">
        <v>8000</v>
      </c>
      <c r="CR376" s="88">
        <v>8000</v>
      </c>
      <c r="CS376" s="88">
        <v>8000</v>
      </c>
      <c r="CT376" s="88">
        <v>8000</v>
      </c>
      <c r="CU376" s="88">
        <v>0</v>
      </c>
      <c r="CV376" s="88">
        <v>0</v>
      </c>
      <c r="CW376" s="88">
        <v>0</v>
      </c>
      <c r="CX376" s="88">
        <v>0</v>
      </c>
      <c r="CY376" s="88">
        <v>0</v>
      </c>
      <c r="CZ376" s="88">
        <v>0</v>
      </c>
      <c r="DA376" s="88">
        <v>0</v>
      </c>
      <c r="DB376" s="88">
        <v>0</v>
      </c>
      <c r="DC376" s="88">
        <v>0</v>
      </c>
      <c r="DD376" s="88">
        <v>0</v>
      </c>
      <c r="DE376" s="88">
        <v>0</v>
      </c>
      <c r="DF376" s="88">
        <v>0</v>
      </c>
      <c r="DG376" s="93"/>
      <c r="DH376" s="91"/>
      <c r="DJ376" s="93"/>
      <c r="DK376" s="91"/>
      <c r="DM376" s="93"/>
      <c r="DN376" s="91"/>
      <c r="DP376" s="93"/>
      <c r="DQ376" s="91"/>
    </row>
    <row r="377" spans="1:121" x14ac:dyDescent="0.3">
      <c r="A377" t="s">
        <v>32</v>
      </c>
      <c r="B377" t="s">
        <v>47</v>
      </c>
      <c r="C377" t="s">
        <v>94</v>
      </c>
      <c r="D377" t="s">
        <v>422</v>
      </c>
      <c r="E377" t="s">
        <v>740</v>
      </c>
      <c r="F377" s="86">
        <v>18400</v>
      </c>
      <c r="G377" s="87">
        <v>6</v>
      </c>
      <c r="H377" s="88">
        <v>1.02</v>
      </c>
      <c r="I377" s="88">
        <v>1.02</v>
      </c>
      <c r="J377" s="89">
        <v>0.91598878555798668</v>
      </c>
      <c r="K377" s="88">
        <v>0.99999999999999978</v>
      </c>
      <c r="L377" s="88">
        <v>1.0043791086804299</v>
      </c>
      <c r="M377" s="88">
        <v>1</v>
      </c>
      <c r="N377" s="90">
        <v>0.56799999999999995</v>
      </c>
      <c r="O377" s="90">
        <v>0.57048733373048399</v>
      </c>
      <c r="P377" s="90">
        <v>0.56524117118565342</v>
      </c>
      <c r="Q377" s="91">
        <v>0</v>
      </c>
      <c r="R377" s="88">
        <v>0.99999999999999978</v>
      </c>
      <c r="S377" s="88">
        <v>0.99514290701699581</v>
      </c>
      <c r="T377" s="91">
        <v>0</v>
      </c>
      <c r="U377" s="91">
        <v>0</v>
      </c>
      <c r="V377" s="87">
        <v>0</v>
      </c>
      <c r="W377" s="91">
        <v>0</v>
      </c>
      <c r="X377" s="87">
        <v>1</v>
      </c>
      <c r="Y377" s="90">
        <v>0.57048733373048399</v>
      </c>
      <c r="Z377" s="90">
        <v>0.56524117118565342</v>
      </c>
      <c r="AA377" s="92">
        <v>0</v>
      </c>
      <c r="AB377" s="88">
        <v>0</v>
      </c>
      <c r="AC377" s="87">
        <v>1</v>
      </c>
      <c r="AD377" s="87">
        <v>0</v>
      </c>
      <c r="AE377" s="88">
        <v>1</v>
      </c>
      <c r="AF377" s="88">
        <v>1.0132088564102011</v>
      </c>
      <c r="AG377" s="88">
        <v>1.0132088564102011</v>
      </c>
      <c r="AH377" s="88">
        <v>18768</v>
      </c>
      <c r="AI377" s="88">
        <v>18768</v>
      </c>
      <c r="AJ377" s="88">
        <v>16854.19365426695</v>
      </c>
      <c r="AK377" s="88">
        <v>18400</v>
      </c>
      <c r="AL377" s="88">
        <v>18480.575599719908</v>
      </c>
      <c r="AM377" s="88">
        <v>18400</v>
      </c>
      <c r="AN377" s="88">
        <v>10451.200000000001</v>
      </c>
      <c r="AO377" s="88">
        <v>10496.966940640899</v>
      </c>
      <c r="AP377" s="88">
        <v>10400.437549816021</v>
      </c>
      <c r="AQ377" s="88">
        <v>0</v>
      </c>
      <c r="AR377" s="88">
        <v>18400</v>
      </c>
      <c r="AS377" s="88">
        <v>18310.629489112722</v>
      </c>
      <c r="AT377" s="88">
        <v>10496.966940640899</v>
      </c>
      <c r="AU377" s="88">
        <v>10400.437549816021</v>
      </c>
      <c r="AV377" s="88">
        <v>16928</v>
      </c>
      <c r="AW377" s="88">
        <v>16744</v>
      </c>
      <c r="AX377" s="88">
        <v>17020</v>
      </c>
      <c r="AY377" s="88">
        <v>18400</v>
      </c>
      <c r="AZ377" s="88">
        <v>18400</v>
      </c>
      <c r="BA377" s="88">
        <v>18400</v>
      </c>
      <c r="BB377" s="88">
        <v>18400</v>
      </c>
      <c r="BC377" s="88">
        <v>18400</v>
      </c>
      <c r="BD377" s="88">
        <v>18400</v>
      </c>
      <c r="BE377" s="88">
        <v>18400</v>
      </c>
      <c r="BF377" s="88">
        <v>18400</v>
      </c>
      <c r="BG377" s="88">
        <v>18400</v>
      </c>
      <c r="BH377" s="88">
        <v>18400</v>
      </c>
      <c r="BI377" s="88">
        <v>18400</v>
      </c>
      <c r="BJ377" s="88">
        <v>18400</v>
      </c>
      <c r="BK377" s="88">
        <v>244.51011207320261</v>
      </c>
      <c r="BL377" s="88">
        <v>244.24778761062191</v>
      </c>
      <c r="BM377" s="88">
        <v>243.98602541823831</v>
      </c>
      <c r="BN377" s="88">
        <v>243.7159791943902</v>
      </c>
      <c r="BO377" s="88">
        <v>243.44653008947429</v>
      </c>
      <c r="BP377" s="88">
        <v>243.17767612518409</v>
      </c>
      <c r="BQ377" s="88">
        <v>242.9094153319399</v>
      </c>
      <c r="BR377" s="88">
        <v>242.6373626373659</v>
      </c>
      <c r="BS377" s="88">
        <v>242.37029195587689</v>
      </c>
      <c r="BT377" s="88">
        <v>242.1038085567838</v>
      </c>
      <c r="BU377" s="88">
        <v>241.83791050508759</v>
      </c>
      <c r="BV377" s="88">
        <v>241.572595874271</v>
      </c>
      <c r="BW377" s="88">
        <v>0</v>
      </c>
      <c r="BX377" s="88">
        <v>0</v>
      </c>
      <c r="BY377" s="88">
        <v>0</v>
      </c>
      <c r="BZ377" s="88">
        <v>0</v>
      </c>
      <c r="CA377" s="88">
        <v>0</v>
      </c>
      <c r="CB377" s="88">
        <v>0</v>
      </c>
      <c r="CC377" s="88">
        <v>0</v>
      </c>
      <c r="CD377" s="88">
        <v>0</v>
      </c>
      <c r="CE377" s="88">
        <v>0</v>
      </c>
      <c r="CF377" s="88">
        <v>0</v>
      </c>
      <c r="CG377" s="88">
        <v>0</v>
      </c>
      <c r="CH377" s="88">
        <v>0</v>
      </c>
      <c r="CI377" s="88">
        <v>18400</v>
      </c>
      <c r="CJ377" s="88">
        <v>18400</v>
      </c>
      <c r="CK377" s="88">
        <v>18400</v>
      </c>
      <c r="CL377" s="88">
        <v>18400</v>
      </c>
      <c r="CM377" s="88">
        <v>18400</v>
      </c>
      <c r="CN377" s="88">
        <v>18400</v>
      </c>
      <c r="CO377" s="88">
        <v>18400</v>
      </c>
      <c r="CP377" s="88">
        <v>18400</v>
      </c>
      <c r="CQ377" s="88">
        <v>18400</v>
      </c>
      <c r="CR377" s="88">
        <v>18400</v>
      </c>
      <c r="CS377" s="88">
        <v>18400</v>
      </c>
      <c r="CT377" s="88">
        <v>18400</v>
      </c>
      <c r="CU377" s="88">
        <v>244.51011207320261</v>
      </c>
      <c r="CV377" s="88">
        <v>244.24778761062191</v>
      </c>
      <c r="CW377" s="88">
        <v>243.98602541823831</v>
      </c>
      <c r="CX377" s="88">
        <v>243.7159791943902</v>
      </c>
      <c r="CY377" s="88">
        <v>243.44653008947429</v>
      </c>
      <c r="CZ377" s="88">
        <v>243.17767612518409</v>
      </c>
      <c r="DA377" s="88">
        <v>242.9094153319399</v>
      </c>
      <c r="DB377" s="88">
        <v>242.6373626373659</v>
      </c>
      <c r="DC377" s="88">
        <v>242.37029195587689</v>
      </c>
      <c r="DD377" s="88">
        <v>242.1038085567838</v>
      </c>
      <c r="DE377" s="88">
        <v>241.83791050508759</v>
      </c>
      <c r="DF377" s="88">
        <v>241.572595874271</v>
      </c>
      <c r="DG377" s="93">
        <v>46023</v>
      </c>
      <c r="DH377" s="91">
        <v>0.02</v>
      </c>
      <c r="DI377" t="s">
        <v>301</v>
      </c>
      <c r="DJ377" s="93"/>
      <c r="DK377" s="91"/>
      <c r="DM377" s="93"/>
      <c r="DN377" s="91"/>
      <c r="DP377" s="93"/>
      <c r="DQ377" s="91"/>
    </row>
    <row r="378" spans="1:121" x14ac:dyDescent="0.3">
      <c r="A378" t="s">
        <v>32</v>
      </c>
      <c r="B378" t="s">
        <v>47</v>
      </c>
      <c r="C378" t="s">
        <v>95</v>
      </c>
      <c r="D378" t="s">
        <v>424</v>
      </c>
      <c r="E378" t="s">
        <v>741</v>
      </c>
      <c r="F378" s="86">
        <v>15200</v>
      </c>
      <c r="G378" s="87">
        <v>6</v>
      </c>
      <c r="H378" s="88">
        <v>1.03</v>
      </c>
      <c r="I378" s="88">
        <v>1.057466666666667</v>
      </c>
      <c r="J378" s="89">
        <v>0.9080037381473377</v>
      </c>
      <c r="K378" s="88">
        <v>0.9740259740259738</v>
      </c>
      <c r="L378" s="88">
        <v>1.0132116877372539</v>
      </c>
      <c r="M378" s="88">
        <v>1</v>
      </c>
      <c r="N378" s="90">
        <v>0.59599999999999997</v>
      </c>
      <c r="O378" s="90">
        <v>0.58818912262149681</v>
      </c>
      <c r="P378" s="90">
        <v>0.5824660940752252</v>
      </c>
      <c r="Q378" s="91">
        <v>0</v>
      </c>
      <c r="R378" s="88">
        <v>0.96153846153846123</v>
      </c>
      <c r="S378" s="88">
        <v>1.0163837883191851</v>
      </c>
      <c r="T378" s="91">
        <v>2.666666666666706E-2</v>
      </c>
      <c r="U378" s="91">
        <v>1.2987012987013101E-2</v>
      </c>
      <c r="V378" s="87">
        <v>0</v>
      </c>
      <c r="W378" s="91">
        <v>0</v>
      </c>
      <c r="X378" s="87">
        <v>1</v>
      </c>
      <c r="Y378" s="90">
        <v>0.58818912262149681</v>
      </c>
      <c r="Z378" s="90">
        <v>0.5824660940752252</v>
      </c>
      <c r="AA378" s="92">
        <v>0</v>
      </c>
      <c r="AB378" s="88">
        <v>0</v>
      </c>
      <c r="AC378" s="87">
        <v>1</v>
      </c>
      <c r="AD378" s="87">
        <v>1</v>
      </c>
      <c r="AE378" s="88">
        <v>1.039166666666667</v>
      </c>
      <c r="AF378" s="88">
        <v>0.99561641381999111</v>
      </c>
      <c r="AG378" s="88">
        <v>1.034611382744816</v>
      </c>
      <c r="AH378" s="88">
        <v>15656</v>
      </c>
      <c r="AI378" s="88">
        <v>16073.493333333339</v>
      </c>
      <c r="AJ378" s="88">
        <v>13801.656819839531</v>
      </c>
      <c r="AK378" s="88">
        <v>14805.1948051948</v>
      </c>
      <c r="AL378" s="88">
        <v>15400.817653606269</v>
      </c>
      <c r="AM378" s="88">
        <v>15200</v>
      </c>
      <c r="AN378" s="88">
        <v>9059.1999999999989</v>
      </c>
      <c r="AO378" s="88">
        <v>8940.4746638467514</v>
      </c>
      <c r="AP378" s="88">
        <v>8853.484629943423</v>
      </c>
      <c r="AQ378" s="88">
        <v>0</v>
      </c>
      <c r="AR378" s="88">
        <v>14615.38461538461</v>
      </c>
      <c r="AS378" s="88">
        <v>15449.033582451621</v>
      </c>
      <c r="AT378" s="88">
        <v>8940.4746638467514</v>
      </c>
      <c r="AU378" s="88">
        <v>8853.484629943423</v>
      </c>
      <c r="AV378" s="88">
        <v>13984</v>
      </c>
      <c r="AW378" s="88">
        <v>13832</v>
      </c>
      <c r="AX378" s="88">
        <v>13756</v>
      </c>
      <c r="AY378" s="88">
        <v>15200</v>
      </c>
      <c r="AZ378" s="88">
        <v>15200</v>
      </c>
      <c r="BA378" s="88">
        <v>15200</v>
      </c>
      <c r="BB378" s="88">
        <v>15200</v>
      </c>
      <c r="BC378" s="88">
        <v>15200</v>
      </c>
      <c r="BD378" s="88">
        <v>15200</v>
      </c>
      <c r="BE378" s="88">
        <v>15200</v>
      </c>
      <c r="BF378" s="88">
        <v>15200</v>
      </c>
      <c r="BG378" s="88">
        <v>15200</v>
      </c>
      <c r="BH378" s="88">
        <v>15200</v>
      </c>
      <c r="BI378" s="88">
        <v>15200</v>
      </c>
      <c r="BJ378" s="88">
        <v>15200</v>
      </c>
      <c r="BK378" s="88">
        <v>387.50740427776088</v>
      </c>
      <c r="BL378" s="88">
        <v>538.81796599602046</v>
      </c>
      <c r="BM378" s="88">
        <v>538.7934870610826</v>
      </c>
      <c r="BN378" s="88">
        <v>538.76816011135134</v>
      </c>
      <c r="BO378" s="88">
        <v>538.74281461742953</v>
      </c>
      <c r="BP378" s="88">
        <v>538.71745055895201</v>
      </c>
      <c r="BQ378" s="88">
        <v>538.6920679155096</v>
      </c>
      <c r="BR378" s="88">
        <v>538.66625009763447</v>
      </c>
      <c r="BS378" s="88">
        <v>538.64082991741498</v>
      </c>
      <c r="BT378" s="88">
        <v>538.61539109050727</v>
      </c>
      <c r="BU378" s="88">
        <v>538.58993359638396</v>
      </c>
      <c r="BV378" s="88">
        <v>538.56445741448431</v>
      </c>
      <c r="BW378" s="88">
        <v>456.0000000000004</v>
      </c>
      <c r="BX378" s="88">
        <v>608.00000000000057</v>
      </c>
      <c r="BY378" s="88">
        <v>608.00000000000057</v>
      </c>
      <c r="BZ378" s="88">
        <v>608.00000000000057</v>
      </c>
      <c r="CA378" s="88">
        <v>608.00000000000057</v>
      </c>
      <c r="CB378" s="88">
        <v>608.00000000000057</v>
      </c>
      <c r="CC378" s="88">
        <v>608.00000000000057</v>
      </c>
      <c r="CD378" s="88">
        <v>608.00000000000057</v>
      </c>
      <c r="CE378" s="88">
        <v>608.00000000000057</v>
      </c>
      <c r="CF378" s="88">
        <v>608.00000000000057</v>
      </c>
      <c r="CG378" s="88">
        <v>608.00000000000057</v>
      </c>
      <c r="CH378" s="88">
        <v>608.00000000000057</v>
      </c>
      <c r="CI378" s="88">
        <v>15200</v>
      </c>
      <c r="CJ378" s="88">
        <v>15200</v>
      </c>
      <c r="CK378" s="88">
        <v>15200</v>
      </c>
      <c r="CL378" s="88">
        <v>15200</v>
      </c>
      <c r="CM378" s="88">
        <v>15200</v>
      </c>
      <c r="CN378" s="88">
        <v>15200</v>
      </c>
      <c r="CO378" s="88">
        <v>15200</v>
      </c>
      <c r="CP378" s="88">
        <v>15200</v>
      </c>
      <c r="CQ378" s="88">
        <v>15200</v>
      </c>
      <c r="CR378" s="88">
        <v>15200</v>
      </c>
      <c r="CS378" s="88">
        <v>15200</v>
      </c>
      <c r="CT378" s="88">
        <v>15200</v>
      </c>
      <c r="CU378" s="88">
        <v>-66.497665749746204</v>
      </c>
      <c r="CV378" s="88">
        <v>-66.521186542288916</v>
      </c>
      <c r="CW378" s="88">
        <v>-66.544723979729085</v>
      </c>
      <c r="CX378" s="88">
        <v>-66.569076816010408</v>
      </c>
      <c r="CY378" s="88">
        <v>-66.593447483240539</v>
      </c>
      <c r="CZ378" s="88">
        <v>-66.617836001008442</v>
      </c>
      <c r="DA378" s="88">
        <v>-66.642242388935102</v>
      </c>
      <c r="DB378" s="88">
        <v>-66.667067213813709</v>
      </c>
      <c r="DC378" s="88">
        <v>-66.691509694792387</v>
      </c>
      <c r="DD378" s="88">
        <v>-66.71597010528059</v>
      </c>
      <c r="DE378" s="88">
        <v>-66.740448465017451</v>
      </c>
      <c r="DF378" s="88">
        <v>-66.76494479376575</v>
      </c>
      <c r="DG378" s="93">
        <v>46054</v>
      </c>
      <c r="DH378" s="91">
        <v>0.03</v>
      </c>
      <c r="DI378" t="s">
        <v>301</v>
      </c>
      <c r="DJ378" s="93">
        <v>46419</v>
      </c>
      <c r="DK378" s="91">
        <v>0.04</v>
      </c>
      <c r="DL378" t="s">
        <v>302</v>
      </c>
      <c r="DM378" s="93"/>
      <c r="DN378" s="91"/>
      <c r="DP378" s="93"/>
      <c r="DQ378" s="91"/>
    </row>
    <row r="379" spans="1:121" x14ac:dyDescent="0.3">
      <c r="A379" t="s">
        <v>32</v>
      </c>
      <c r="B379" t="s">
        <v>47</v>
      </c>
      <c r="C379" t="s">
        <v>96</v>
      </c>
      <c r="D379" t="s">
        <v>426</v>
      </c>
      <c r="E379" t="s">
        <v>742</v>
      </c>
      <c r="F379" s="86">
        <v>12000</v>
      </c>
      <c r="G379" s="87">
        <v>6</v>
      </c>
      <c r="H379" s="88">
        <v>1</v>
      </c>
      <c r="I379" s="88">
        <v>1</v>
      </c>
      <c r="J379" s="89">
        <v>0.91399252370532447</v>
      </c>
      <c r="K379" s="88">
        <v>1</v>
      </c>
      <c r="L379" s="88">
        <v>1.006572784939554</v>
      </c>
      <c r="M379" s="88">
        <v>1</v>
      </c>
      <c r="N379" s="90">
        <v>0.57999999999999996</v>
      </c>
      <c r="O379" s="90">
        <v>0.58381221526494143</v>
      </c>
      <c r="P379" s="90">
        <v>0.58021428595033131</v>
      </c>
      <c r="Q379" s="91">
        <v>0</v>
      </c>
      <c r="R379" s="88">
        <v>1</v>
      </c>
      <c r="S379" s="88">
        <v>1.000369458535054</v>
      </c>
      <c r="T379" s="91">
        <v>0</v>
      </c>
      <c r="U379" s="91">
        <v>0</v>
      </c>
      <c r="V379" s="87">
        <v>0</v>
      </c>
      <c r="W379" s="91">
        <v>0</v>
      </c>
      <c r="X379" s="87">
        <v>1</v>
      </c>
      <c r="Y379" s="90">
        <v>0.58381221526494143</v>
      </c>
      <c r="Z379" s="90">
        <v>0.58021428595033131</v>
      </c>
      <c r="AA379" s="92">
        <v>0</v>
      </c>
      <c r="AB379" s="88">
        <v>0</v>
      </c>
      <c r="AC379" s="87">
        <v>0</v>
      </c>
      <c r="AD379" s="87">
        <v>0</v>
      </c>
      <c r="AE379" s="88">
        <v>1</v>
      </c>
      <c r="AF379" s="88">
        <v>1.0087961468131059</v>
      </c>
      <c r="AG379" s="88">
        <v>1.0087961468131059</v>
      </c>
      <c r="AH379" s="88">
        <v>12000</v>
      </c>
      <c r="AI379" s="88">
        <v>12000</v>
      </c>
      <c r="AJ379" s="88">
        <v>10967.910284463889</v>
      </c>
      <c r="AK379" s="88">
        <v>12000</v>
      </c>
      <c r="AL379" s="88">
        <v>12078.873419274651</v>
      </c>
      <c r="AM379" s="88">
        <v>12000</v>
      </c>
      <c r="AN379" s="88">
        <v>6959.9999999999991</v>
      </c>
      <c r="AO379" s="88">
        <v>7005.746583179297</v>
      </c>
      <c r="AP379" s="88">
        <v>6962.571431403976</v>
      </c>
      <c r="AQ379" s="88">
        <v>0</v>
      </c>
      <c r="AR379" s="88">
        <v>12000</v>
      </c>
      <c r="AS379" s="88">
        <v>12004.43350242065</v>
      </c>
      <c r="AT379" s="88">
        <v>7005.746583179297</v>
      </c>
      <c r="AU379" s="88">
        <v>6962.571431403976</v>
      </c>
      <c r="AV379" s="88">
        <v>11040</v>
      </c>
      <c r="AW379" s="88">
        <v>10920</v>
      </c>
      <c r="AX379" s="88">
        <v>11040</v>
      </c>
      <c r="AY379" s="88">
        <v>12000</v>
      </c>
      <c r="AZ379" s="88">
        <v>12000</v>
      </c>
      <c r="BA379" s="88">
        <v>12000</v>
      </c>
      <c r="BB379" s="88">
        <v>12000</v>
      </c>
      <c r="BC379" s="88">
        <v>12000</v>
      </c>
      <c r="BD379" s="88">
        <v>12000</v>
      </c>
      <c r="BE379" s="88">
        <v>12000</v>
      </c>
      <c r="BF379" s="88">
        <v>12000</v>
      </c>
      <c r="BG379" s="88">
        <v>12000</v>
      </c>
      <c r="BH379" s="88">
        <v>12000</v>
      </c>
      <c r="BI379" s="88">
        <v>12000</v>
      </c>
      <c r="BJ379" s="88">
        <v>12000</v>
      </c>
      <c r="BK379" s="88">
        <v>105.9775705004906</v>
      </c>
      <c r="BL379" s="88">
        <v>105.9019802219581</v>
      </c>
      <c r="BM379" s="88">
        <v>105.82649769863561</v>
      </c>
      <c r="BN379" s="88">
        <v>105.7485694970906</v>
      </c>
      <c r="BO379" s="88">
        <v>105.6707559801673</v>
      </c>
      <c r="BP379" s="88">
        <v>105.5930568948895</v>
      </c>
      <c r="BQ379" s="88">
        <v>105.5154719890137</v>
      </c>
      <c r="BR379" s="88">
        <v>105.43673194275711</v>
      </c>
      <c r="BS379" s="88">
        <v>105.35937650341511</v>
      </c>
      <c r="BT379" s="88">
        <v>105.282134487112</v>
      </c>
      <c r="BU379" s="88">
        <v>105.20500564455929</v>
      </c>
      <c r="BV379" s="88">
        <v>105.1279897272197</v>
      </c>
      <c r="BW379" s="88">
        <v>0</v>
      </c>
      <c r="BX379" s="88">
        <v>0</v>
      </c>
      <c r="BY379" s="88">
        <v>0</v>
      </c>
      <c r="BZ379" s="88">
        <v>0</v>
      </c>
      <c r="CA379" s="88">
        <v>0</v>
      </c>
      <c r="CB379" s="88">
        <v>0</v>
      </c>
      <c r="CC379" s="88">
        <v>0</v>
      </c>
      <c r="CD379" s="88">
        <v>0</v>
      </c>
      <c r="CE379" s="88">
        <v>0</v>
      </c>
      <c r="CF379" s="88">
        <v>0</v>
      </c>
      <c r="CG379" s="88">
        <v>0</v>
      </c>
      <c r="CH379" s="88">
        <v>0</v>
      </c>
      <c r="CI379" s="88">
        <v>12000</v>
      </c>
      <c r="CJ379" s="88">
        <v>12000</v>
      </c>
      <c r="CK379" s="88">
        <v>12000</v>
      </c>
      <c r="CL379" s="88">
        <v>12000</v>
      </c>
      <c r="CM379" s="88">
        <v>12000</v>
      </c>
      <c r="CN379" s="88">
        <v>12000</v>
      </c>
      <c r="CO379" s="88">
        <v>12000</v>
      </c>
      <c r="CP379" s="88">
        <v>12000</v>
      </c>
      <c r="CQ379" s="88">
        <v>12000</v>
      </c>
      <c r="CR379" s="88">
        <v>12000</v>
      </c>
      <c r="CS379" s="88">
        <v>12000</v>
      </c>
      <c r="CT379" s="88">
        <v>12000</v>
      </c>
      <c r="CU379" s="88">
        <v>105.9775705004906</v>
      </c>
      <c r="CV379" s="88">
        <v>105.9019802219581</v>
      </c>
      <c r="CW379" s="88">
        <v>105.82649769863561</v>
      </c>
      <c r="CX379" s="88">
        <v>105.7485694970906</v>
      </c>
      <c r="CY379" s="88">
        <v>105.6707559801673</v>
      </c>
      <c r="CZ379" s="88">
        <v>105.5930568948895</v>
      </c>
      <c r="DA379" s="88">
        <v>105.5154719890137</v>
      </c>
      <c r="DB379" s="88">
        <v>105.43673194275711</v>
      </c>
      <c r="DC379" s="88">
        <v>105.35937650341511</v>
      </c>
      <c r="DD379" s="88">
        <v>105.282134487112</v>
      </c>
      <c r="DE379" s="88">
        <v>105.20500564455929</v>
      </c>
      <c r="DF379" s="88">
        <v>105.1279897272197</v>
      </c>
      <c r="DG379" s="93"/>
      <c r="DH379" s="91"/>
      <c r="DJ379" s="93"/>
      <c r="DK379" s="91"/>
      <c r="DM379" s="93"/>
      <c r="DN379" s="91"/>
      <c r="DP379" s="93"/>
      <c r="DQ379" s="9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29</vt:i4>
      </vt:variant>
    </vt:vector>
  </HeadingPairs>
  <TitlesOfParts>
    <vt:vector size="37" baseType="lpstr">
      <vt:lpstr>Read Me</vt:lpstr>
      <vt:lpstr>Control</vt:lpstr>
      <vt:lpstr>State Summary</vt:lpstr>
      <vt:lpstr>Portfolio</vt:lpstr>
      <vt:lpstr>Roll-ups</vt:lpstr>
      <vt:lpstr>Program Flow</vt:lpstr>
      <vt:lpstr>Checks</vt:lpstr>
      <vt:lpstr>_book</vt:lpstr>
      <vt:lpstr>bk_bu</vt:lpstr>
      <vt:lpstr>bk_cylr_p</vt:lpstr>
      <vt:lpstr>bk_cylr_prog</vt:lpstr>
      <vt:lpstr>bk_ep</vt:lpstr>
      <vt:lpstr>bk_key</vt:lpstr>
      <vt:lpstr>bk_lob</vt:lpstr>
      <vt:lpstr>bk_lob_ep</vt:lpstr>
      <vt:lpstr>bk_lob_first</vt:lpstr>
      <vt:lpstr>bk_modeff</vt:lpstr>
      <vt:lpstr>bk_netmode</vt:lpstr>
      <vt:lpstr>bk_netx</vt:lpstr>
      <vt:lpstr>bk_nplanned</vt:lpstr>
      <vt:lpstr>bk_ntaken</vt:lpstr>
      <vt:lpstr>bk_overall</vt:lpstr>
      <vt:lpstr>bk_pf_first</vt:lpstr>
      <vt:lpstr>bk_proggap</vt:lpstr>
      <vt:lpstr>bk_progident</vt:lpstr>
      <vt:lpstr>bk_srccombos</vt:lpstr>
      <vt:lpstr>bk_ss_ep</vt:lpstr>
      <vt:lpstr>bk_ss_lr</vt:lpstr>
      <vt:lpstr>bk_ss_prog</vt:lpstr>
      <vt:lpstr>bk_state</vt:lpstr>
      <vt:lpstr>bk_ukey</vt:lpstr>
      <vt:lpstr>bkc_bu</vt:lpstr>
      <vt:lpstr>bkc_lob</vt:lpstr>
      <vt:lpstr>bkc_state</vt:lpstr>
      <vt:lpstr>bkf_bu</vt:lpstr>
      <vt:lpstr>bkf_lob</vt:lpstr>
      <vt:lpstr>bkf_state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Yeager</cp:lastModifiedBy>
  <dcterms:created xsi:type="dcterms:W3CDTF">2026-08-02T04:03:11Z</dcterms:created>
  <dcterms:modified xsi:type="dcterms:W3CDTF">2026-08-02T04:03:14Z</dcterms:modified>
</cp:coreProperties>
</file>