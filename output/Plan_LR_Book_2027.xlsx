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0813D733-D1BD-4C39-BCF3-C61F11759000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Summary'!$M$30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M7" i="3"/>
  <c r="A5" i="3"/>
  <c r="K3" i="3"/>
  <c r="I3" i="3"/>
  <c r="G3" i="3"/>
  <c r="E3" i="3"/>
  <c r="C3" i="3"/>
  <c r="E24" i="2"/>
  <c r="E7" i="7" s="1"/>
  <c r="D9" i="2"/>
  <c r="D8" i="2"/>
  <c r="D7" i="2"/>
  <c r="M3" i="2"/>
  <c r="K3" i="2"/>
  <c r="I3" i="2"/>
  <c r="G3" i="2"/>
  <c r="E3" i="2"/>
  <c r="C3" i="2"/>
  <c r="B18" i="1"/>
  <c r="B17" i="1"/>
  <c r="B16" i="1"/>
  <c r="B15" i="1"/>
  <c r="B14" i="1"/>
  <c r="B13" i="1"/>
  <c r="G7" i="7" l="1"/>
  <c r="G14" i="7"/>
  <c r="G13" i="7"/>
  <c r="G12" i="7"/>
  <c r="G9" i="7"/>
  <c r="G8" i="7"/>
  <c r="G6" i="7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G13" i="5"/>
  <c r="F13" i="5"/>
  <c r="E13" i="5"/>
  <c r="D13" i="5"/>
  <c r="C13" i="5"/>
  <c r="B13" i="5"/>
  <c r="K12" i="5"/>
  <c r="I12" i="5"/>
  <c r="H12" i="5"/>
  <c r="G12" i="5"/>
  <c r="F12" i="5"/>
  <c r="E12" i="5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D10" i="7"/>
  <c r="G8" i="5"/>
  <c r="F8" i="5"/>
  <c r="E8" i="5"/>
  <c r="D8" i="5"/>
  <c r="C8" i="5"/>
  <c r="B8" i="5"/>
  <c r="K7" i="5"/>
  <c r="I7" i="5"/>
  <c r="H8" i="5"/>
  <c r="G7" i="5"/>
  <c r="F7" i="5"/>
  <c r="E7" i="5"/>
  <c r="D7" i="5"/>
  <c r="C7" i="5"/>
  <c r="B7" i="5"/>
  <c r="K13" i="5"/>
  <c r="I13" i="5"/>
  <c r="H13" i="5"/>
  <c r="H7" i="5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T12" i="3"/>
  <c r="F12" i="3"/>
  <c r="C9" i="3"/>
  <c r="G8" i="3"/>
  <c r="I13" i="2"/>
  <c r="AF27" i="3"/>
  <c r="J12" i="3"/>
  <c r="AA11" i="3"/>
  <c r="B11" i="3"/>
  <c r="AB10" i="3"/>
  <c r="V10" i="3"/>
  <c r="J10" i="3"/>
  <c r="F10" i="3"/>
  <c r="AE9" i="3"/>
  <c r="P9" i="3"/>
  <c r="B9" i="3"/>
  <c r="X8" i="3"/>
  <c r="G13" i="2"/>
  <c r="D11" i="7"/>
  <c r="AD27" i="3"/>
  <c r="I12" i="3"/>
  <c r="Z11" i="3"/>
  <c r="P11" i="3"/>
  <c r="C11" i="3"/>
  <c r="Q10" i="3"/>
  <c r="AD9" i="3"/>
  <c r="K9" i="3"/>
  <c r="E9" i="3"/>
  <c r="V8" i="3"/>
  <c r="O8" i="3"/>
  <c r="AE27" i="3"/>
  <c r="R12" i="3"/>
  <c r="P12" i="3"/>
  <c r="D12" i="3"/>
  <c r="AF11" i="3"/>
  <c r="AB11" i="3"/>
  <c r="V11" i="3"/>
  <c r="R11" i="3"/>
  <c r="M11" i="3"/>
  <c r="J11" i="3"/>
  <c r="D11" i="3"/>
  <c r="AG10" i="3"/>
  <c r="D10" i="3"/>
  <c r="D9" i="3"/>
  <c r="U8" i="3"/>
  <c r="E13" i="2"/>
  <c r="S12" i="3"/>
  <c r="H12" i="3"/>
  <c r="E12" i="3"/>
  <c r="AD11" i="3"/>
  <c r="W11" i="3"/>
  <c r="K11" i="3"/>
  <c r="AD10" i="3"/>
  <c r="T10" i="3"/>
  <c r="O10" i="3"/>
  <c r="C10" i="3"/>
  <c r="AF9" i="3"/>
  <c r="X9" i="3"/>
  <c r="J9" i="3"/>
  <c r="T8" i="3"/>
  <c r="C8" i="3"/>
  <c r="AC27" i="3"/>
  <c r="K12" i="3"/>
  <c r="C12" i="3"/>
  <c r="AC11" i="3"/>
  <c r="X11" i="3"/>
  <c r="Q11" i="3"/>
  <c r="AI10" i="3"/>
  <c r="AE10" i="3"/>
  <c r="P10" i="3"/>
  <c r="K10" i="3"/>
  <c r="E10" i="3"/>
  <c r="AC9" i="3"/>
  <c r="S8" i="3"/>
  <c r="J8" i="3"/>
  <c r="K13" i="2"/>
  <c r="AI11" i="3"/>
  <c r="I11" i="3"/>
  <c r="X10" i="3"/>
  <c r="H10" i="3"/>
  <c r="W9" i="3"/>
  <c r="O9" i="3"/>
  <c r="AG8" i="3"/>
  <c r="AA8" i="3"/>
  <c r="AH11" i="3"/>
  <c r="G11" i="3"/>
  <c r="AF10" i="3"/>
  <c r="I10" i="3"/>
  <c r="B10" i="3"/>
  <c r="S9" i="3"/>
  <c r="I9" i="3"/>
  <c r="Y8" i="3"/>
  <c r="P8" i="3"/>
  <c r="I8" i="3"/>
  <c r="A13" i="2"/>
  <c r="J83" i="6"/>
  <c r="E83" i="6"/>
  <c r="L82" i="6"/>
  <c r="I82" i="6"/>
  <c r="E82" i="6"/>
  <c r="M81" i="6"/>
  <c r="J81" i="6"/>
  <c r="G81" i="6"/>
  <c r="D81" i="6"/>
  <c r="AH8" i="3"/>
  <c r="H8" i="3"/>
  <c r="B8" i="3"/>
  <c r="AE28" i="3"/>
  <c r="Y28" i="3"/>
  <c r="U28" i="3"/>
  <c r="R28" i="3"/>
  <c r="O28" i="3"/>
  <c r="M28" i="3"/>
  <c r="J28" i="3"/>
  <c r="F28" i="3"/>
  <c r="D28" i="3"/>
  <c r="AI27" i="3"/>
  <c r="AA27" i="3"/>
  <c r="L12" i="3"/>
  <c r="B12" i="3"/>
  <c r="U11" i="3"/>
  <c r="O11" i="3"/>
  <c r="F11" i="3"/>
  <c r="Z10" i="3"/>
  <c r="R10" i="3"/>
  <c r="G10" i="3"/>
  <c r="AI9" i="3"/>
  <c r="Z9" i="3"/>
  <c r="T9" i="3"/>
  <c r="M9" i="3"/>
  <c r="AF8" i="3"/>
  <c r="Z8" i="3"/>
  <c r="D8" i="3"/>
  <c r="H53" i="6"/>
  <c r="M83" i="6"/>
  <c r="I83" i="6"/>
  <c r="C83" i="6"/>
  <c r="K82" i="6"/>
  <c r="H82" i="6"/>
  <c r="F82" i="6"/>
  <c r="C82" i="6"/>
  <c r="L81" i="6"/>
  <c r="I81" i="6"/>
  <c r="F81" i="6"/>
  <c r="AD28" i="3"/>
  <c r="W28" i="3"/>
  <c r="T28" i="3"/>
  <c r="Q28" i="3"/>
  <c r="K28" i="3"/>
  <c r="H28" i="3"/>
  <c r="E28" i="3"/>
  <c r="C28" i="3"/>
  <c r="AG27" i="3"/>
  <c r="O12" i="3"/>
  <c r="AE11" i="3"/>
  <c r="S11" i="3"/>
  <c r="E11" i="3"/>
  <c r="Y10" i="3"/>
  <c r="M10" i="3"/>
  <c r="AH9" i="3"/>
  <c r="AB9" i="3"/>
  <c r="R9" i="3"/>
  <c r="F9" i="3"/>
  <c r="AE8" i="3"/>
  <c r="AB8" i="3"/>
  <c r="R8" i="3"/>
  <c r="L8" i="3"/>
  <c r="E8" i="3"/>
  <c r="AH30" i="3"/>
  <c r="AF30" i="3"/>
  <c r="AE30" i="3"/>
  <c r="AD30" i="3"/>
  <c r="AC30" i="3"/>
  <c r="AB30" i="3"/>
  <c r="AA30" i="3"/>
  <c r="M30" i="3"/>
  <c r="L30" i="3"/>
  <c r="K30" i="3"/>
  <c r="J30" i="3"/>
  <c r="I30" i="3"/>
  <c r="H30" i="3"/>
  <c r="G30" i="3"/>
  <c r="F30" i="3"/>
  <c r="E30" i="3"/>
  <c r="D30" i="3"/>
  <c r="C30" i="3"/>
  <c r="B30" i="3"/>
  <c r="AI28" i="3"/>
  <c r="AH28" i="3"/>
  <c r="AG28" i="3"/>
  <c r="AF28" i="3"/>
  <c r="AC28" i="3"/>
  <c r="AB28" i="3"/>
  <c r="AA28" i="3"/>
  <c r="Z28" i="3"/>
  <c r="X28" i="3"/>
  <c r="V28" i="3"/>
  <c r="S28" i="3"/>
  <c r="P28" i="3"/>
  <c r="L28" i="3"/>
  <c r="I28" i="3"/>
  <c r="G28" i="3"/>
  <c r="B28" i="3"/>
  <c r="AH27" i="3"/>
  <c r="AB27" i="3"/>
  <c r="AG11" i="3"/>
  <c r="T11" i="3"/>
  <c r="L11" i="3"/>
  <c r="H11" i="3"/>
  <c r="AA10" i="3"/>
  <c r="S10" i="3"/>
  <c r="V9" i="3"/>
  <c r="Q9" i="3"/>
  <c r="L9" i="3"/>
  <c r="H9" i="3"/>
  <c r="AC8" i="3"/>
  <c r="M8" i="3"/>
  <c r="F8" i="3"/>
  <c r="G53" i="6"/>
  <c r="L83" i="6"/>
  <c r="H83" i="6"/>
  <c r="F83" i="6"/>
  <c r="B83" i="6"/>
  <c r="M82" i="6"/>
  <c r="J82" i="6"/>
  <c r="G82" i="6"/>
  <c r="D82" i="6"/>
  <c r="B82" i="6"/>
  <c r="K81" i="6"/>
  <c r="H81" i="6"/>
  <c r="E81" i="6"/>
  <c r="Z27" i="3"/>
  <c r="Y27" i="3"/>
  <c r="X27" i="3"/>
  <c r="W27" i="3"/>
  <c r="V27" i="3"/>
  <c r="U27" i="3"/>
  <c r="T27" i="3"/>
  <c r="S27" i="3"/>
  <c r="R27" i="3"/>
  <c r="Q27" i="3"/>
  <c r="P27" i="3"/>
  <c r="O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I16" i="3" s="1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Q12" i="3"/>
  <c r="M12" i="3"/>
  <c r="G12" i="3"/>
  <c r="Y11" i="3"/>
  <c r="AH10" i="3"/>
  <c r="AC10" i="3"/>
  <c r="U10" i="3"/>
  <c r="L10" i="3"/>
  <c r="AG9" i="3"/>
  <c r="Y9" i="3"/>
  <c r="W8" i="3"/>
  <c r="K8" i="3"/>
  <c r="C13" i="2"/>
  <c r="K83" i="6"/>
  <c r="G83" i="6"/>
  <c r="D83" i="6"/>
  <c r="W10" i="3"/>
  <c r="AA9" i="3"/>
  <c r="U9" i="3"/>
  <c r="G9" i="3"/>
  <c r="AI8" i="3"/>
  <c r="AD8" i="3"/>
  <c r="Q8" i="3"/>
  <c r="J36" i="5" l="1"/>
  <c r="N23" i="3"/>
  <c r="J9" i="5"/>
  <c r="J8" i="5"/>
  <c r="N10" i="3"/>
  <c r="A50" i="5"/>
  <c r="J12" i="5"/>
  <c r="J11" i="5"/>
  <c r="J10" i="5"/>
  <c r="J7" i="5"/>
  <c r="J21" i="5"/>
  <c r="N12" i="3"/>
  <c r="N11" i="3"/>
  <c r="N9" i="3"/>
  <c r="N28" i="3"/>
  <c r="N8" i="3"/>
  <c r="N27" i="3"/>
  <c r="N26" i="3"/>
  <c r="N24" i="3"/>
  <c r="N25" i="3"/>
  <c r="N22" i="3"/>
  <c r="N21" i="3"/>
  <c r="N19" i="3"/>
  <c r="N20" i="3"/>
  <c r="N18" i="3"/>
  <c r="N17" i="3"/>
  <c r="N16" i="3"/>
  <c r="N15" i="3"/>
  <c r="N14" i="3"/>
  <c r="N13" i="3"/>
  <c r="J13" i="5"/>
  <c r="E10" i="7"/>
  <c r="G10" i="7" s="1"/>
  <c r="C3" i="7" s="1"/>
  <c r="N30" i="3"/>
  <c r="AI30" i="3"/>
  <c r="E11" i="7"/>
  <c r="G11" i="7" s="1"/>
  <c r="A14" i="5"/>
  <c r="A23" i="5"/>
  <c r="J22" i="5"/>
</calcChain>
</file>

<file path=xl/sharedStrings.xml><?xml version="1.0" encoding="utf-8"?>
<sst xmlns="http://schemas.openxmlformats.org/spreadsheetml/2006/main" count="2798" uniqueCount="742">
  <si>
    <t>The Book — 2027 plan, every line of business</t>
  </si>
  <si>
    <t>Harvested 2026-08-02 19:08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</si>
  <si>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</si>
  <si>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</si>
  <si>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</si>
  <si>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</si>
  <si>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</si>
  <si>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</si>
  <si>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</si>
  <si>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</si>
  <si>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</si>
  <si>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</si>
  <si>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</si>
  <si>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</si>
  <si>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</si>
  <si>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</si>
  <si>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</si>
  <si>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</si>
  <si>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</si>
  <si>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</si>
  <si>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</si>
  <si>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</si>
  <si>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</si>
  <si>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v3.5.1, modified 2026-08-02 19:08</t>
  </si>
  <si>
    <t>General Liability</t>
  </si>
  <si>
    <t>Plan_LR_Workbook_2027_General_Liability.xlsx   —   63 combos, v3.5.1, modified 2026-08-02 19:08</t>
  </si>
  <si>
    <t>Commercial Auto</t>
  </si>
  <si>
    <t>Plan_LR_Workbook_2027_Commercial_Auto.xlsx   —   63 combos, v3.5.1, modified 2026-08-02 19:08</t>
  </si>
  <si>
    <t>Workers Comp</t>
  </si>
  <si>
    <t>Plan_LR_Workbook_2027_Workers_Comp.xlsx   —   63 combos, v3.5.1, modified 2026-08-02 19:08</t>
  </si>
  <si>
    <t>Umbrella</t>
  </si>
  <si>
    <t>Plan_LR_Workbook_2027_Umbrella.xlsx   —   63 combos, v3.5.1, modified 2026-08-02 19:08</t>
  </si>
  <si>
    <t>Inland Marine</t>
  </si>
  <si>
    <t>Plan_LR_Workbook_2027_Inland_Marine.xlsx   —   63 combos, v3.5.1, modified 2026-08-02 19:08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</si>
  <si>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</si>
  <si>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</si>
  <si>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</si>
  <si>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2026-08-02 19:08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</si>
  <si>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</si>
  <si>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</si>
  <si>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</si>
  <si>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</si>
  <si>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</si>
  <si>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</si>
  <si>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</si>
  <si>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</si>
  <si>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</si>
  <si>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</si>
  <si>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</si>
  <si>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</si>
  <si>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</si>
  <si>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</si>
  <si>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</si>
  <si>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</si>
  <si>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</si>
  <si>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</si>
  <si>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</si>
  <si>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</si>
  <si>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</si>
  <si>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</si>
  <si>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</si>
  <si>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</si>
  <si>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</si>
  <si>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</si>
  <si>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</si>
  <si>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</si>
  <si>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</si>
  <si>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</si>
  <si>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</si>
  <si>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</si>
  <si>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</si>
  <si>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</si>
  <si>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</si>
  <si>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</si>
  <si>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</si>
  <si>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2026-08-02 19:08</t>
  </si>
  <si>
    <t>3.5.1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</si>
  <si>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</si>
  <si>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</si>
  <si>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</si>
  <si>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</si>
  <si>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</si>
  <si>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</si>
  <si>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</si>
  <si>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</si>
  <si>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</si>
  <si>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</si>
  <si>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</si>
  <si>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</si>
  <si>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</si>
  <si>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</si>
  <si>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</si>
  <si>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</si>
  <si>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</si>
  <si>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</si>
  <si>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</si>
  <si>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</si>
  <si>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</si>
  <si>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</si>
  <si>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</si>
  <si>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Engine levels</t>
  </si>
  <si>
    <t>CY 2027 plan — the bridge, left to right</t>
  </si>
  <si>
    <t>Rate change history — single-combo views only. T = taken, P = planned, * = not in the indication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</si>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</sst>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84</v>
      </c>
    </row>
    <row r="22" spans="1:22" x14ac:dyDescent="0.3">
      <c r="A22" t="s">
        <v>30</v>
      </c>
      <c r="B22" s="7" t="s">
        <v>85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86</v>
      </c>
    </row>
    <row r="23" spans="1:22" x14ac:dyDescent="0.3">
      <c r="A23" t="s">
        <v>32</v>
      </c>
      <c r="B23" s="7" t="s">
        <v>87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88</v>
      </c>
    </row>
    <row r="24" spans="1:22" x14ac:dyDescent="0.3">
      <c r="A24" s="23" t="s">
        <v>89</v>
      </c>
      <c r="E24" s="24">
        <f>SUM($E$18:$E$23)</f>
        <v>378</v>
      </c>
      <c r="V24" s="12" t="s">
        <v>90</v>
      </c>
    </row>
    <row r="25" spans="1:22" x14ac:dyDescent="0.3">
      <c r="V25" s="12" t="s">
        <v>91</v>
      </c>
    </row>
    <row r="26" spans="1:22" x14ac:dyDescent="0.3">
      <c r="A26" s="9" t="s">
        <v>92</v>
      </c>
      <c r="V26" s="12" t="s">
        <v>93</v>
      </c>
    </row>
    <row r="27" spans="1:22" x14ac:dyDescent="0.3">
      <c r="V27" s="12" t="s">
        <v>94</v>
      </c>
    </row>
    <row r="28" spans="1:22" x14ac:dyDescent="0.3">
      <c r="V28" s="12" t="s">
        <v>95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5" width="9" customWidth="1"/>
    <col min="6" max="7" width="9.44140625" customWidth="1"/>
    <col min="8" max="8" width="9" customWidth="1"/>
    <col min="9" max="9" width="11" customWidth="1"/>
    <col min="10" max="11" width="9.44140625" customWidth="1"/>
    <col min="12" max="12" width="8.44140625" customWidth="1"/>
    <col min="13" max="13" width="10" customWidth="1"/>
    <col min="14" max="14" width="7" customWidth="1"/>
    <col min="15" max="15" width="9" customWidth="1"/>
    <col min="16" max="16" width="7" customWidth="1"/>
    <col min="17" max="17" width="4" customWidth="1"/>
    <col min="18" max="18" width="9" customWidth="1"/>
    <col min="19" max="19" width="7" customWidth="1"/>
    <col min="20" max="20" width="4" customWidth="1"/>
    <col min="21" max="21" width="9" customWidth="1"/>
    <col min="22" max="22" width="7" customWidth="1"/>
    <col min="23" max="23" width="4" customWidth="1"/>
    <col min="24" max="24" width="9" customWidth="1"/>
    <col min="25" max="25" width="7" customWidth="1"/>
    <col min="26" max="26" width="4" customWidth="1"/>
    <col min="27" max="27" width="7" customWidth="1"/>
    <col min="28" max="28" width="8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96</v>
      </c>
    </row>
    <row r="2" spans="1:35" x14ac:dyDescent="0.3">
      <c r="A2" s="2" t="s">
        <v>97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98</v>
      </c>
      <c r="C6" s="26" t="s">
        <v>99</v>
      </c>
      <c r="D6" s="26"/>
      <c r="E6" s="26"/>
      <c r="F6" s="26" t="s">
        <v>100</v>
      </c>
      <c r="G6" s="26"/>
      <c r="H6" s="26"/>
      <c r="I6" s="26" t="s">
        <v>101</v>
      </c>
      <c r="J6" s="26"/>
      <c r="K6" s="26"/>
      <c r="L6" s="26"/>
      <c r="M6" s="26"/>
      <c r="N6" s="26"/>
      <c r="O6" s="26" t="s">
        <v>102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 t="s">
        <v>103</v>
      </c>
      <c r="AD6" s="26"/>
      <c r="AE6" s="26"/>
      <c r="AF6" s="26"/>
      <c r="AG6" s="26" t="s">
        <v>104</v>
      </c>
      <c r="AH6" s="26"/>
      <c r="AI6" s="26"/>
    </row>
    <row r="7" spans="1:35" ht="42" customHeight="1" x14ac:dyDescent="0.3">
      <c r="A7" s="19" t="s">
        <v>44</v>
      </c>
      <c r="B7" s="19" t="s">
        <v>105</v>
      </c>
      <c r="C7" s="19" t="s">
        <v>106</v>
      </c>
      <c r="D7" s="19" t="s">
        <v>107</v>
      </c>
      <c r="E7" s="19" t="s">
        <v>108</v>
      </c>
      <c r="F7" s="19" t="s">
        <v>109</v>
      </c>
      <c r="G7" s="19" t="s">
        <v>110</v>
      </c>
      <c r="H7" s="19" t="s">
        <v>111</v>
      </c>
      <c r="I7" s="19" t="s">
        <v>112</v>
      </c>
      <c r="J7" s="19" t="s">
        <v>113</v>
      </c>
      <c r="K7" s="19" t="s">
        <v>114</v>
      </c>
      <c r="L7" s="19" t="s">
        <v>115</v>
      </c>
      <c r="M7" s="19" t="str">
        <f>"=  CY 2027 plan LR"</f>
        <v>=  CY 2027 plan LR</v>
      </c>
      <c r="N7" s="19" t="s">
        <v>116</v>
      </c>
      <c r="O7" s="19" t="s">
        <v>117</v>
      </c>
      <c r="P7" s="19" t="s">
        <v>118</v>
      </c>
      <c r="Q7" s="19" t="s">
        <v>119</v>
      </c>
      <c r="R7" s="19" t="s">
        <v>120</v>
      </c>
      <c r="S7" s="19" t="s">
        <v>121</v>
      </c>
      <c r="T7" s="19" t="s">
        <v>119</v>
      </c>
      <c r="U7" s="19" t="s">
        <v>122</v>
      </c>
      <c r="V7" s="19" t="s">
        <v>123</v>
      </c>
      <c r="W7" s="19" t="s">
        <v>119</v>
      </c>
      <c r="X7" s="19" t="s">
        <v>124</v>
      </c>
      <c r="Y7" s="19" t="s">
        <v>125</v>
      </c>
      <c r="Z7" s="19" t="s">
        <v>119</v>
      </c>
      <c r="AA7" s="19" t="s">
        <v>126</v>
      </c>
      <c r="AB7" s="19" t="s">
        <v>127</v>
      </c>
      <c r="AC7" s="19" t="s">
        <v>128</v>
      </c>
      <c r="AD7" s="19" t="s">
        <v>129</v>
      </c>
      <c r="AE7" s="19" t="s">
        <v>130</v>
      </c>
      <c r="AF7" s="19" t="s">
        <v>131</v>
      </c>
      <c r="AG7" s="19" t="s">
        <v>132</v>
      </c>
      <c r="AH7" s="19" t="s">
        <v>54</v>
      </c>
      <c r="AI7" s="19" t="s">
        <v>133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G8" s="30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H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I8" s="31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J8" s="30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K8" s="30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L8" s="30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M8" s="32">
        <f>IF(COUNTIFS(_book!$D$2:$D$379,"?*",_book!$C$2:$C$379,$A8,_book!$A$2:$A$379,bkc_lob,_book!$B$2:$B$379,bkc_bu)=0,"",IF(COUNTIFS(_book!$D$2:$D$379,"?*",_book!$C$2:$C$379,$A8,_book!$A$2:$A$379,bkc_lob,_book!$B$2:$B$379,bkc_bu)=1,$I8*$J8*$K8*$L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N8" s="33">
        <f>IF(COUNTIFS(_book!$D$2:$D$379,"?*",_book!$C$2:$C$379,$A8,_book!$A$2:$A$379,bkc_lob,_book!$B$2:$B$379,bkc_bu)&lt;=1,"",($M8-$I8*$J8*$K8*$L8)*100)</f>
        <v>-3.1464289182214777E-3</v>
      </c>
      <c r="O8" s="34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P8" s="35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Q8" s="36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R8" s="34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S8" s="35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T8" s="36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U8" s="34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V8" s="35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W8" s="36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X8" s="34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Y8" s="35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Z8" s="36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AA8" s="37">
        <f>SUMIFS(_book!$AC$2:$AC$379,_book!$C$2:$C$379,$A8,_book!$A$2:$A$379,bkc_lob,_book!$B$2:$B$379,bkc_bu)</f>
        <v>24</v>
      </c>
      <c r="AB8" s="37">
        <f>SUMIFS(_book!$AD$2:$AD$379,_book!$C$2:$C$379,$A8,_book!$A$2:$A$379,bkc_lob,_book!$B$2:$B$379,bkc_bu)</f>
        <v>12</v>
      </c>
      <c r="AC8" s="35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0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0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2">
        <f>IF(COUNTIFS(_book!$D$2:$D$379,"?*",_book!$C$2:$C$379,$A8,_book!$A$2:$A$379,bkc_lob,_book!$B$2:$B$379,bkc_bu)=0,"",IF(COUNTIFS(_book!$D$2:$D$379,"?*",_book!$C$2:$C$379,$A8,_book!$A$2:$A$379,bkc_lob,_book!$B$2:$B$379,bkc_bu)=1,$I8*(1+$AC8)*$AD8*$AE8*$L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5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1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IF(SUMIFS(_book!$V$2:$V$379,_book!$C$2:$C$379,$A8,_book!$A$2:$A$379,bkc_lob,_book!$B$2:$B$379,bkc_bu)=0,"—",($AH8-$M8)*100)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G9" s="42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H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I9" s="43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J9" s="42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K9" s="42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L9" s="42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M9" s="44">
        <f>IF(COUNTIFS(_book!$D$2:$D$379,"?*",_book!$C$2:$C$379,$A9,_book!$A$2:$A$379,bkc_lob,_book!$B$2:$B$379,bkc_bu)=0,"",IF(COUNTIFS(_book!$D$2:$D$379,"?*",_book!$C$2:$C$379,$A9,_book!$A$2:$A$379,bkc_lob,_book!$B$2:$B$379,bkc_bu)=1,$I9*$J9*$K9*$L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N9" s="45">
        <f>IF(COUNTIFS(_book!$D$2:$D$379,"?*",_book!$C$2:$C$379,$A9,_book!$A$2:$A$379,bkc_lob,_book!$B$2:$B$379,bkc_bu)&lt;=1,"",($M9-$I9*$J9*$K9*$L9)*100)</f>
        <v>7.8916435402365259E-3</v>
      </c>
      <c r="O9" s="46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P9" s="47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Q9" s="48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R9" s="46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S9" s="47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T9" s="48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U9" s="46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V9" s="47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W9" s="48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X9" s="46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Y9" s="47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Z9" s="48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AA9" s="49">
        <f>SUMIFS(_book!$AC$2:$AC$379,_book!$C$2:$C$379,$A9,_book!$A$2:$A$379,bkc_lob,_book!$B$2:$B$379,bkc_bu)</f>
        <v>18</v>
      </c>
      <c r="AB9" s="49">
        <f>SUMIFS(_book!$AD$2:$AD$379,_book!$C$2:$C$379,$A9,_book!$A$2:$A$379,bkc_lob,_book!$B$2:$B$379,bkc_bu)</f>
        <v>6</v>
      </c>
      <c r="AC9" s="47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2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2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4">
        <f>IF(COUNTIFS(_book!$D$2:$D$379,"?*",_book!$C$2:$C$379,$A9,_book!$A$2:$A$379,bkc_lob,_book!$B$2:$B$379,bkc_bu)=0,"",IF(COUNTIFS(_book!$D$2:$D$379,"?*",_book!$C$2:$C$379,$A9,_book!$A$2:$A$379,bkc_lob,_book!$B$2:$B$379,bkc_bu)=1,$I9*(1+$AC9)*$AD9*$AE9*$L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7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3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IF(SUMIFS(_book!$V$2:$V$379,_book!$C$2:$C$379,$A9,_book!$A$2:$A$379,bkc_lob,_book!$B$2:$B$379,bkc_bu)=0,"—",($AH9-$M9)*100)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G10" s="30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H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I10" s="31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J10" s="30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K10" s="30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L10" s="30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M10" s="32">
        <f>IF(COUNTIFS(_book!$D$2:$D$379,"?*",_book!$C$2:$C$379,$A10,_book!$A$2:$A$379,bkc_lob,_book!$B$2:$B$379,bkc_bu)=0,"",IF(COUNTIFS(_book!$D$2:$D$379,"?*",_book!$C$2:$C$379,$A10,_book!$A$2:$A$379,bkc_lob,_book!$B$2:$B$379,bkc_bu)=1,$I10*$J10*$K10*$L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N10" s="33">
        <f>IF(COUNTIFS(_book!$D$2:$D$379,"?*",_book!$C$2:$C$379,$A10,_book!$A$2:$A$379,bkc_lob,_book!$B$2:$B$379,bkc_bu)&lt;=1,"",($M10-$I10*$J10*$K10*$L10)*100)</f>
        <v>3.2628341470108957E-3</v>
      </c>
      <c r="O10" s="34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P10" s="35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Q10" s="36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R10" s="34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S10" s="35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T10" s="36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U10" s="34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V10" s="35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W10" s="36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X10" s="34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Y10" s="35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Z10" s="36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AA10" s="37">
        <f>SUMIFS(_book!$AC$2:$AC$379,_book!$C$2:$C$379,$A10,_book!$A$2:$A$379,bkc_lob,_book!$B$2:$B$379,bkc_bu)</f>
        <v>6</v>
      </c>
      <c r="AB10" s="37">
        <f>SUMIFS(_book!$AD$2:$AD$379,_book!$C$2:$C$379,$A10,_book!$A$2:$A$379,bkc_lob,_book!$B$2:$B$379,bkc_bu)</f>
        <v>6</v>
      </c>
      <c r="AC10" s="35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0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0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2">
        <f>IF(COUNTIFS(_book!$D$2:$D$379,"?*",_book!$C$2:$C$379,$A10,_book!$A$2:$A$379,bkc_lob,_book!$B$2:$B$379,bkc_bu)=0,"",IF(COUNTIFS(_book!$D$2:$D$379,"?*",_book!$C$2:$C$379,$A10,_book!$A$2:$A$379,bkc_lob,_book!$B$2:$B$379,bkc_bu)=1,$I10*(1+$AC10)*$AD10*$AE10*$L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5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1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IF(SUMIFS(_book!$V$2:$V$379,_book!$C$2:$C$379,$A10,_book!$A$2:$A$379,bkc_lob,_book!$B$2:$B$379,bkc_bu)=0,"—",($AH10-$M10)*100)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G11" s="42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H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I11" s="43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J11" s="42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K11" s="42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L11" s="42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M11" s="44">
        <f>IF(COUNTIFS(_book!$D$2:$D$379,"?*",_book!$C$2:$C$379,$A11,_book!$A$2:$A$379,bkc_lob,_book!$B$2:$B$379,bkc_bu)=0,"",IF(COUNTIFS(_book!$D$2:$D$379,"?*",_book!$C$2:$C$379,$A11,_book!$A$2:$A$379,bkc_lob,_book!$B$2:$B$379,bkc_bu)=1,$I11*$J11*$K11*$L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N11" s="45">
        <f>IF(COUNTIFS(_book!$D$2:$D$379,"?*",_book!$C$2:$C$379,$A11,_book!$A$2:$A$379,bkc_lob,_book!$B$2:$B$379,bkc_bu)&lt;=1,"",($M11-$I11*$J11*$K11*$L11)*100)</f>
        <v>-2.4762514753584597E-3</v>
      </c>
      <c r="O11" s="46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P11" s="47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Q11" s="48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R11" s="46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S11" s="47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T11" s="48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U11" s="46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V11" s="47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W11" s="48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X11" s="46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Y11" s="47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Z11" s="48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AA11" s="49">
        <f>SUMIFS(_book!$AC$2:$AC$379,_book!$C$2:$C$379,$A11,_book!$A$2:$A$379,bkc_lob,_book!$B$2:$B$379,bkc_bu)</f>
        <v>18</v>
      </c>
      <c r="AB11" s="49">
        <f>SUMIFS(_book!$AD$2:$AD$379,_book!$C$2:$C$379,$A11,_book!$A$2:$A$379,bkc_lob,_book!$B$2:$B$379,bkc_bu)</f>
        <v>12</v>
      </c>
      <c r="AC11" s="47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2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2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4">
        <f>IF(COUNTIFS(_book!$D$2:$D$379,"?*",_book!$C$2:$C$379,$A11,_book!$A$2:$A$379,bkc_lob,_book!$B$2:$B$379,bkc_bu)=0,"",IF(COUNTIFS(_book!$D$2:$D$379,"?*",_book!$C$2:$C$379,$A11,_book!$A$2:$A$379,bkc_lob,_book!$B$2:$B$379,bkc_bu)=1,$I11*(1+$AC11)*$AD11*$AE11*$L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7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3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IF(SUMIFS(_book!$V$2:$V$379,_book!$C$2:$C$379,$A11,_book!$A$2:$A$379,bkc_lob,_book!$B$2:$B$379,bkc_bu)=0,"—",($AH11-$M11)*100)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G12" s="30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H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I12" s="31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J12" s="30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K12" s="30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L12" s="30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M12" s="32">
        <f>IF(COUNTIFS(_book!$D$2:$D$379,"?*",_book!$C$2:$C$379,$A12,_book!$A$2:$A$379,bkc_lob,_book!$B$2:$B$379,bkc_bu)=0,"",IF(COUNTIFS(_book!$D$2:$D$379,"?*",_book!$C$2:$C$379,$A12,_book!$A$2:$A$379,bkc_lob,_book!$B$2:$B$379,bkc_bu)=1,$I12*$J12*$K12*$L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N12" s="33">
        <f>IF(COUNTIFS(_book!$D$2:$D$379,"?*",_book!$C$2:$C$379,$A12,_book!$A$2:$A$379,bkc_lob,_book!$B$2:$B$379,bkc_bu)&lt;=1,"",($M12-$I12*$J12*$K12*$L12)*100)</f>
        <v>-2.111639793833664E-3</v>
      </c>
      <c r="O12" s="34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P12" s="35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Q12" s="36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R12" s="34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S12" s="35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T12" s="36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U12" s="34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V12" s="35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W12" s="36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X12" s="34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Y12" s="35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Z12" s="36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AA12" s="37">
        <f>SUMIFS(_book!$AC$2:$AC$379,_book!$C$2:$C$379,$A12,_book!$A$2:$A$379,bkc_lob,_book!$B$2:$B$379,bkc_bu)</f>
        <v>12</v>
      </c>
      <c r="AB12" s="37">
        <f>SUMIFS(_book!$AD$2:$AD$379,_book!$C$2:$C$379,$A12,_book!$A$2:$A$379,bkc_lob,_book!$B$2:$B$379,bkc_bu)</f>
        <v>6</v>
      </c>
      <c r="AC12" s="35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0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0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2">
        <f>IF(COUNTIFS(_book!$D$2:$D$379,"?*",_book!$C$2:$C$379,$A12,_book!$A$2:$A$379,bkc_lob,_book!$B$2:$B$379,bkc_bu)=0,"",IF(COUNTIFS(_book!$D$2:$D$379,"?*",_book!$C$2:$C$379,$A12,_book!$A$2:$A$379,bkc_lob,_book!$B$2:$B$379,bkc_bu)=1,$I12*(1+$AC12)*$AD12*$AE12*$L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5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1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IF(SUMIFS(_book!$V$2:$V$379,_book!$C$2:$C$379,$A12,_book!$A$2:$A$379,bkc_lob,_book!$B$2:$B$379,bkc_bu)=0,"—",($AH12-$M12)*100)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G13" s="42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H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I13" s="43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J13" s="42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K13" s="42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L13" s="42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M13" s="44">
        <f>IF(COUNTIFS(_book!$D$2:$D$379,"?*",_book!$C$2:$C$379,$A13,_book!$A$2:$A$379,bkc_lob,_book!$B$2:$B$379,bkc_bu)=0,"",IF(COUNTIFS(_book!$D$2:$D$379,"?*",_book!$C$2:$C$379,$A13,_book!$A$2:$A$379,bkc_lob,_book!$B$2:$B$379,bkc_bu)=1,$I13*$J13*$K13*$L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N13" s="45">
        <f>IF(COUNTIFS(_book!$D$2:$D$379,"?*",_book!$C$2:$C$379,$A13,_book!$A$2:$A$379,bkc_lob,_book!$B$2:$B$379,bkc_bu)&lt;=1,"",($M13-$I13*$J13*$K13*$L13)*100)</f>
        <v>1.7549483596224213E-3</v>
      </c>
      <c r="O13" s="46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P13" s="47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Q13" s="48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R13" s="46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S13" s="47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T13" s="48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U13" s="46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V13" s="47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W13" s="48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X13" s="46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Y13" s="47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Z13" s="48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AA13" s="49">
        <f>SUMIFS(_book!$AC$2:$AC$379,_book!$C$2:$C$379,$A13,_book!$A$2:$A$379,bkc_lob,_book!$B$2:$B$379,bkc_bu)</f>
        <v>6</v>
      </c>
      <c r="AB13" s="49">
        <f>SUMIFS(_book!$AD$2:$AD$379,_book!$C$2:$C$379,$A13,_book!$A$2:$A$379,bkc_lob,_book!$B$2:$B$379,bkc_bu)</f>
        <v>6</v>
      </c>
      <c r="AC13" s="47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2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2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4">
        <f>IF(COUNTIFS(_book!$D$2:$D$379,"?*",_book!$C$2:$C$379,$A13,_book!$A$2:$A$379,bkc_lob,_book!$B$2:$B$379,bkc_bu)=0,"",IF(COUNTIFS(_book!$D$2:$D$379,"?*",_book!$C$2:$C$379,$A13,_book!$A$2:$A$379,bkc_lob,_book!$B$2:$B$379,bkc_bu)=1,$I13*(1+$AC13)*$AD13*$AE13*$L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7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3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IF(SUMIFS(_book!$V$2:$V$379,_book!$C$2:$C$379,$A13,_book!$A$2:$A$379,bkc_lob,_book!$B$2:$B$379,bkc_bu)=0,"—",($AH13-$M13)*100)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G14" s="30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H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I14" s="31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J14" s="30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K14" s="30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L14" s="30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M14" s="32">
        <f>IF(COUNTIFS(_book!$D$2:$D$379,"?*",_book!$C$2:$C$379,$A14,_book!$A$2:$A$379,bkc_lob,_book!$B$2:$B$379,bkc_bu)=0,"",IF(COUNTIFS(_book!$D$2:$D$379,"?*",_book!$C$2:$C$379,$A14,_book!$A$2:$A$379,bkc_lob,_book!$B$2:$B$379,bkc_bu)=1,$I14*$J14*$K14*$L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N14" s="33">
        <f>IF(COUNTIFS(_book!$D$2:$D$379,"?*",_book!$C$2:$C$379,$A14,_book!$A$2:$A$379,bkc_lob,_book!$B$2:$B$379,bkc_bu)&lt;=1,"",($M14-$I14*$J14*$K14*$L14)*100)</f>
        <v>3.6494961392019576E-3</v>
      </c>
      <c r="O14" s="34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P14" s="35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Q14" s="36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R14" s="34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S14" s="35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T14" s="36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U14" s="34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V14" s="35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W14" s="36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X14" s="34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Y14" s="35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Z14" s="36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AA14" s="37">
        <f>SUMIFS(_book!$AC$2:$AC$379,_book!$C$2:$C$379,$A14,_book!$A$2:$A$379,bkc_lob,_book!$B$2:$B$379,bkc_bu)</f>
        <v>12</v>
      </c>
      <c r="AB14" s="37">
        <f>SUMIFS(_book!$AD$2:$AD$379,_book!$C$2:$C$379,$A14,_book!$A$2:$A$379,bkc_lob,_book!$B$2:$B$379,bkc_bu)</f>
        <v>6</v>
      </c>
      <c r="AC14" s="35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0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0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2">
        <f>IF(COUNTIFS(_book!$D$2:$D$379,"?*",_book!$C$2:$C$379,$A14,_book!$A$2:$A$379,bkc_lob,_book!$B$2:$B$379,bkc_bu)=0,"",IF(COUNTIFS(_book!$D$2:$D$379,"?*",_book!$C$2:$C$379,$A14,_book!$A$2:$A$379,bkc_lob,_book!$B$2:$B$379,bkc_bu)=1,$I14*(1+$AC14)*$AD14*$AE14*$L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5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1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IF(SUMIFS(_book!$V$2:$V$379,_book!$C$2:$C$379,$A14,_book!$A$2:$A$379,bkc_lob,_book!$B$2:$B$379,bkc_bu)=0,"—",($AH14-$M14)*100)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G15" s="42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H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I15" s="43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J15" s="42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K15" s="42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L15" s="42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M15" s="44">
        <f>IF(COUNTIFS(_book!$D$2:$D$379,"?*",_book!$C$2:$C$379,$A15,_book!$A$2:$A$379,bkc_lob,_book!$B$2:$B$379,bkc_bu)=0,"",IF(COUNTIFS(_book!$D$2:$D$379,"?*",_book!$C$2:$C$379,$A15,_book!$A$2:$A$379,bkc_lob,_book!$B$2:$B$379,bkc_bu)=1,$I15*$J15*$K15*$L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N15" s="45">
        <f>IF(COUNTIFS(_book!$D$2:$D$379,"?*",_book!$C$2:$C$379,$A15,_book!$A$2:$A$379,bkc_lob,_book!$B$2:$B$379,bkc_bu)&lt;=1,"",($M15-$I15*$J15*$K15*$L15)*100)</f>
        <v>1.7256661286380037E-3</v>
      </c>
      <c r="O15" s="46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P15" s="47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Q15" s="48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R15" s="46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S15" s="47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T15" s="48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U15" s="46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V15" s="47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W15" s="48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X15" s="46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Y15" s="47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Z15" s="48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AA15" s="49">
        <f>SUMIFS(_book!$AC$2:$AC$379,_book!$C$2:$C$379,$A15,_book!$A$2:$A$379,bkc_lob,_book!$B$2:$B$379,bkc_bu)</f>
        <v>18</v>
      </c>
      <c r="AB15" s="49">
        <f>SUMIFS(_book!$AD$2:$AD$379,_book!$C$2:$C$379,$A15,_book!$A$2:$A$379,bkc_lob,_book!$B$2:$B$379,bkc_bu)</f>
        <v>6</v>
      </c>
      <c r="AC15" s="47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2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2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4">
        <f>IF(COUNTIFS(_book!$D$2:$D$379,"?*",_book!$C$2:$C$379,$A15,_book!$A$2:$A$379,bkc_lob,_book!$B$2:$B$379,bkc_bu)=0,"",IF(COUNTIFS(_book!$D$2:$D$379,"?*",_book!$C$2:$C$379,$A15,_book!$A$2:$A$379,bkc_lob,_book!$B$2:$B$379,bkc_bu)=1,$I15*(1+$AC15)*$AD15*$AE15*$L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7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3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IF(SUMIFS(_book!$V$2:$V$379,_book!$C$2:$C$379,$A15,_book!$A$2:$A$379,bkc_lob,_book!$B$2:$B$379,bkc_bu)=0,"—",($AH15-$M15)*100)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G16" s="30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H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I16" s="31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J16" s="30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K16" s="30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L16" s="30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M16" s="32">
        <f>IF(COUNTIFS(_book!$D$2:$D$379,"?*",_book!$C$2:$C$379,$A16,_book!$A$2:$A$379,bkc_lob,_book!$B$2:$B$379,bkc_bu)=0,"",IF(COUNTIFS(_book!$D$2:$D$379,"?*",_book!$C$2:$C$379,$A16,_book!$A$2:$A$379,bkc_lob,_book!$B$2:$B$379,bkc_bu)=1,$I16*$J16*$K16*$L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N16" s="33">
        <f>IF(COUNTIFS(_book!$D$2:$D$379,"?*",_book!$C$2:$C$379,$A16,_book!$A$2:$A$379,bkc_lob,_book!$B$2:$B$379,bkc_bu)&lt;=1,"",($M16-$I16*$J16*$K16*$L16)*100)</f>
        <v>-2.7462198847538755E-2</v>
      </c>
      <c r="O16" s="34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P16" s="35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Q16" s="36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R16" s="34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S16" s="35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T16" s="36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U16" s="34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V16" s="35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W16" s="36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X16" s="34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Y16" s="35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Z16" s="36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AA16" s="37">
        <f>SUMIFS(_book!$AC$2:$AC$379,_book!$C$2:$C$379,$A16,_book!$A$2:$A$379,bkc_lob,_book!$B$2:$B$379,bkc_bu)</f>
        <v>6</v>
      </c>
      <c r="AB16" s="37">
        <f>SUMIFS(_book!$AD$2:$AD$379,_book!$C$2:$C$379,$A16,_book!$A$2:$A$379,bkc_lob,_book!$B$2:$B$379,bkc_bu)</f>
        <v>12</v>
      </c>
      <c r="AC16" s="35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0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0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2">
        <f>IF(COUNTIFS(_book!$D$2:$D$379,"?*",_book!$C$2:$C$379,$A16,_book!$A$2:$A$379,bkc_lob,_book!$B$2:$B$379,bkc_bu)=0,"",IF(COUNTIFS(_book!$D$2:$D$379,"?*",_book!$C$2:$C$379,$A16,_book!$A$2:$A$379,bkc_lob,_book!$B$2:$B$379,bkc_bu)=1,$I16*(1+$AC16)*$AD16*$AE16*$L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5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1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IF(SUMIFS(_book!$V$2:$V$379,_book!$C$2:$C$379,$A16,_book!$A$2:$A$379,bkc_lob,_book!$B$2:$B$379,bkc_bu)=0,"—",($AH16-$M16)*100)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G17" s="42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H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I17" s="43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J17" s="42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K17" s="42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L17" s="42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M17" s="44">
        <f>IF(COUNTIFS(_book!$D$2:$D$379,"?*",_book!$C$2:$C$379,$A17,_book!$A$2:$A$379,bkc_lob,_book!$B$2:$B$379,bkc_bu)=0,"",IF(COUNTIFS(_book!$D$2:$D$379,"?*",_book!$C$2:$C$379,$A17,_book!$A$2:$A$379,bkc_lob,_book!$B$2:$B$379,bkc_bu)=1,$I17*$J17*$K17*$L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N17" s="45">
        <f>IF(COUNTIFS(_book!$D$2:$D$379,"?*",_book!$C$2:$C$379,$A17,_book!$A$2:$A$379,bkc_lob,_book!$B$2:$B$379,bkc_bu)&lt;=1,"",($M17-$I17*$J17*$K17*$L17)*100)</f>
        <v>9.7496838627142424E-3</v>
      </c>
      <c r="O17" s="46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P17" s="47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Q17" s="48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R17" s="46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S17" s="47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T17" s="48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U17" s="46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V17" s="47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W17" s="48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X17" s="46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Y17" s="47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Z17" s="48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AA17" s="49">
        <f>SUMIFS(_book!$AC$2:$AC$379,_book!$C$2:$C$379,$A17,_book!$A$2:$A$379,bkc_lob,_book!$B$2:$B$379,bkc_bu)</f>
        <v>18</v>
      </c>
      <c r="AB17" s="49">
        <f>SUMIFS(_book!$AD$2:$AD$379,_book!$C$2:$C$379,$A17,_book!$A$2:$A$379,bkc_lob,_book!$B$2:$B$379,bkc_bu)</f>
        <v>6</v>
      </c>
      <c r="AC17" s="47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2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2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4">
        <f>IF(COUNTIFS(_book!$D$2:$D$379,"?*",_book!$C$2:$C$379,$A17,_book!$A$2:$A$379,bkc_lob,_book!$B$2:$B$379,bkc_bu)=0,"",IF(COUNTIFS(_book!$D$2:$D$379,"?*",_book!$C$2:$C$379,$A17,_book!$A$2:$A$379,bkc_lob,_book!$B$2:$B$379,bkc_bu)=1,$I17*(1+$AC17)*$AD17*$AE17*$L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7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3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IF(SUMIFS(_book!$V$2:$V$379,_book!$C$2:$C$379,$A17,_book!$A$2:$A$379,bkc_lob,_book!$B$2:$B$379,bkc_bu)=0,"—",($AH17-$M17)*100)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G18" s="30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H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I18" s="31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J18" s="30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K18" s="30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L18" s="30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M18" s="32">
        <f>IF(COUNTIFS(_book!$D$2:$D$379,"?*",_book!$C$2:$C$379,$A18,_book!$A$2:$A$379,bkc_lob,_book!$B$2:$B$379,bkc_bu)=0,"",IF(COUNTIFS(_book!$D$2:$D$379,"?*",_book!$C$2:$C$379,$A18,_book!$A$2:$A$379,bkc_lob,_book!$B$2:$B$379,bkc_bu)=1,$I18*$J18*$K18*$L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N18" s="33">
        <f>IF(COUNTIFS(_book!$D$2:$D$379,"?*",_book!$C$2:$C$379,$A18,_book!$A$2:$A$379,bkc_lob,_book!$B$2:$B$379,bkc_bu)&lt;=1,"",($M18-$I18*$J18*$K18*$L18)*100)</f>
        <v>2.0251374877378048E-3</v>
      </c>
      <c r="O18" s="34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P18" s="35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Q18" s="36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R18" s="34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S18" s="35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T18" s="36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U18" s="34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V18" s="35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W18" s="36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X18" s="34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Y18" s="35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Z18" s="36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AA18" s="37">
        <f>SUMIFS(_book!$AC$2:$AC$379,_book!$C$2:$C$379,$A18,_book!$A$2:$A$379,bkc_lob,_book!$B$2:$B$379,bkc_bu)</f>
        <v>18</v>
      </c>
      <c r="AB18" s="37">
        <f>SUMIFS(_book!$AD$2:$AD$379,_book!$C$2:$C$379,$A18,_book!$A$2:$A$379,bkc_lob,_book!$B$2:$B$379,bkc_bu)</f>
        <v>0</v>
      </c>
      <c r="AC18" s="35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0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0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2">
        <f>IF(COUNTIFS(_book!$D$2:$D$379,"?*",_book!$C$2:$C$379,$A18,_book!$A$2:$A$379,bkc_lob,_book!$B$2:$B$379,bkc_bu)=0,"",IF(COUNTIFS(_book!$D$2:$D$379,"?*",_book!$C$2:$C$379,$A18,_book!$A$2:$A$379,bkc_lob,_book!$B$2:$B$379,bkc_bu)=1,$I18*(1+$AC18)*$AD18*$AE18*$L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5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1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IF(SUMIFS(_book!$V$2:$V$379,_book!$C$2:$C$379,$A18,_book!$A$2:$A$379,bkc_lob,_book!$B$2:$B$379,bkc_bu)=0,"—",($AH18-$M18)*100)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G19" s="42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H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I19" s="43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J19" s="42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K19" s="42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L19" s="42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M19" s="44">
        <f>IF(COUNTIFS(_book!$D$2:$D$379,"?*",_book!$C$2:$C$379,$A19,_book!$A$2:$A$379,bkc_lob,_book!$B$2:$B$379,bkc_bu)=0,"",IF(COUNTIFS(_book!$D$2:$D$379,"?*",_book!$C$2:$C$379,$A19,_book!$A$2:$A$379,bkc_lob,_book!$B$2:$B$379,bkc_bu)=1,$I19*$J19*$K19*$L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N19" s="45">
        <f>IF(COUNTIFS(_book!$D$2:$D$379,"?*",_book!$C$2:$C$379,$A19,_book!$A$2:$A$379,bkc_lob,_book!$B$2:$B$379,bkc_bu)&lt;=1,"",($M19-$I19*$J19*$K19*$L19)*100)</f>
        <v>-4.8184155341912671E-3</v>
      </c>
      <c r="O19" s="46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P19" s="47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Q19" s="48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R19" s="46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S19" s="47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T19" s="48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U19" s="46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V19" s="47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W19" s="48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X19" s="46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Y19" s="47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Z19" s="48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AA19" s="49">
        <f>SUMIFS(_book!$AC$2:$AC$379,_book!$C$2:$C$379,$A19,_book!$A$2:$A$379,bkc_lob,_book!$B$2:$B$379,bkc_bu)</f>
        <v>0</v>
      </c>
      <c r="AB19" s="49">
        <f>SUMIFS(_book!$AD$2:$AD$379,_book!$C$2:$C$379,$A19,_book!$A$2:$A$379,bkc_lob,_book!$B$2:$B$379,bkc_bu)</f>
        <v>6</v>
      </c>
      <c r="AC19" s="47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2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2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4">
        <f>IF(COUNTIFS(_book!$D$2:$D$379,"?*",_book!$C$2:$C$379,$A19,_book!$A$2:$A$379,bkc_lob,_book!$B$2:$B$379,bkc_bu)=0,"",IF(COUNTIFS(_book!$D$2:$D$379,"?*",_book!$C$2:$C$379,$A19,_book!$A$2:$A$379,bkc_lob,_book!$B$2:$B$379,bkc_bu)=1,$I19*(1+$AC19)*$AD19*$AE19*$L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7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3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IF(SUMIFS(_book!$V$2:$V$379,_book!$C$2:$C$379,$A19,_book!$A$2:$A$379,bkc_lob,_book!$B$2:$B$379,bkc_bu)=0,"—",($AH19-$M19)*100)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G20" s="30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H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I20" s="31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J20" s="30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K20" s="30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L20" s="30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M20" s="32">
        <f>IF(COUNTIFS(_book!$D$2:$D$379,"?*",_book!$C$2:$C$379,$A20,_book!$A$2:$A$379,bkc_lob,_book!$B$2:$B$379,bkc_bu)=0,"",IF(COUNTIFS(_book!$D$2:$D$379,"?*",_book!$C$2:$C$379,$A20,_book!$A$2:$A$379,bkc_lob,_book!$B$2:$B$379,bkc_bu)=1,$I20*$J20*$K20*$L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N20" s="33">
        <f>IF(COUNTIFS(_book!$D$2:$D$379,"?*",_book!$C$2:$C$379,$A20,_book!$A$2:$A$379,bkc_lob,_book!$B$2:$B$379,bkc_bu)&lt;=1,"",($M20-$I20*$J20*$K20*$L20)*100)</f>
        <v>1.5725122430199079E-3</v>
      </c>
      <c r="O20" s="34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P20" s="35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Q20" s="36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R20" s="34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S20" s="35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T20" s="36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U20" s="34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V20" s="35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W20" s="36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X20" s="34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Y20" s="35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Z20" s="36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AA20" s="37">
        <f>SUMIFS(_book!$AC$2:$AC$379,_book!$C$2:$C$379,$A20,_book!$A$2:$A$379,bkc_lob,_book!$B$2:$B$379,bkc_bu)</f>
        <v>18</v>
      </c>
      <c r="AB20" s="37">
        <f>SUMIFS(_book!$AD$2:$AD$379,_book!$C$2:$C$379,$A20,_book!$A$2:$A$379,bkc_lob,_book!$B$2:$B$379,bkc_bu)</f>
        <v>6</v>
      </c>
      <c r="AC20" s="35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0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0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2">
        <f>IF(COUNTIFS(_book!$D$2:$D$379,"?*",_book!$C$2:$C$379,$A20,_book!$A$2:$A$379,bkc_lob,_book!$B$2:$B$379,bkc_bu)=0,"",IF(COUNTIFS(_book!$D$2:$D$379,"?*",_book!$C$2:$C$379,$A20,_book!$A$2:$A$379,bkc_lob,_book!$B$2:$B$379,bkc_bu)=1,$I20*(1+$AC20)*$AD20*$AE20*$L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5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1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IF(SUMIFS(_book!$V$2:$V$379,_book!$C$2:$C$379,$A20,_book!$A$2:$A$379,bkc_lob,_book!$B$2:$B$379,bkc_bu)=0,"—",($AH20-$M20)*100)</f>
        <v>—</v>
      </c>
    </row>
    <row r="21" spans="1:35" x14ac:dyDescent="0.3">
      <c r="A21" s="39" t="s">
        <v>84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G21" s="42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H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I21" s="43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J21" s="42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K21" s="42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L21" s="42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M21" s="44">
        <f>IF(COUNTIFS(_book!$D$2:$D$379,"?*",_book!$C$2:$C$379,$A21,_book!$A$2:$A$379,bkc_lob,_book!$B$2:$B$379,bkc_bu)=0,"",IF(COUNTIFS(_book!$D$2:$D$379,"?*",_book!$C$2:$C$379,$A21,_book!$A$2:$A$379,bkc_lob,_book!$B$2:$B$379,bkc_bu)=1,$I21*$J21*$K21*$L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N21" s="45">
        <f>IF(COUNTIFS(_book!$D$2:$D$379,"?*",_book!$C$2:$C$379,$A21,_book!$A$2:$A$379,bkc_lob,_book!$B$2:$B$379,bkc_bu)&lt;=1,"",($M21-$I21*$J21*$K21*$L21)*100)</f>
        <v>7.9359526654720902E-3</v>
      </c>
      <c r="O21" s="46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P21" s="47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Q21" s="48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R21" s="46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S21" s="47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T21" s="48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U21" s="46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V21" s="47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W21" s="48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X21" s="46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Y21" s="47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Z21" s="48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AA21" s="49">
        <f>SUMIFS(_book!$AC$2:$AC$379,_book!$C$2:$C$379,$A21,_book!$A$2:$A$379,bkc_lob,_book!$B$2:$B$379,bkc_bu)</f>
        <v>18</v>
      </c>
      <c r="AB21" s="49">
        <f>SUMIFS(_book!$AD$2:$AD$379,_book!$C$2:$C$379,$A21,_book!$A$2:$A$379,bkc_lob,_book!$B$2:$B$379,bkc_bu)</f>
        <v>6</v>
      </c>
      <c r="AC21" s="47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2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2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4">
        <f>IF(COUNTIFS(_book!$D$2:$D$379,"?*",_book!$C$2:$C$379,$A21,_book!$A$2:$A$379,bkc_lob,_book!$B$2:$B$379,bkc_bu)=0,"",IF(COUNTIFS(_book!$D$2:$D$379,"?*",_book!$C$2:$C$379,$A21,_book!$A$2:$A$379,bkc_lob,_book!$B$2:$B$379,bkc_bu)=1,$I21*(1+$AC21)*$AD21*$AE21*$L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7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3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IF(SUMIFS(_book!$V$2:$V$379,_book!$C$2:$C$379,$A21,_book!$A$2:$A$379,bkc_lob,_book!$B$2:$B$379,bkc_bu)=0,"—",($AH21-$M21)*100)</f>
        <v>—</v>
      </c>
    </row>
    <row r="22" spans="1:35" x14ac:dyDescent="0.3">
      <c r="A22" s="27" t="s">
        <v>86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G22" s="30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H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I22" s="31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J22" s="30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K22" s="30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L22" s="30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M22" s="32">
        <f>IF(COUNTIFS(_book!$D$2:$D$379,"?*",_book!$C$2:$C$379,$A22,_book!$A$2:$A$379,bkc_lob,_book!$B$2:$B$379,bkc_bu)=0,"",IF(COUNTIFS(_book!$D$2:$D$379,"?*",_book!$C$2:$C$379,$A22,_book!$A$2:$A$379,bkc_lob,_book!$B$2:$B$379,bkc_bu)=1,$I22*$J22*$K22*$L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N22" s="33">
        <f>IF(COUNTIFS(_book!$D$2:$D$379,"?*",_book!$C$2:$C$379,$A22,_book!$A$2:$A$379,bkc_lob,_book!$B$2:$B$379,bkc_bu)&lt;=1,"",($M22-$I22*$J22*$K22*$L22)*100)</f>
        <v>-6.7218418396963742E-4</v>
      </c>
      <c r="O22" s="34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P22" s="35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Q22" s="36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R22" s="34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S22" s="35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T22" s="36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U22" s="34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V22" s="35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W22" s="36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X22" s="34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Y22" s="35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Z22" s="36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AA22" s="37">
        <f>SUMIFS(_book!$AC$2:$AC$379,_book!$C$2:$C$379,$A22,_book!$A$2:$A$379,bkc_lob,_book!$B$2:$B$379,bkc_bu)</f>
        <v>0</v>
      </c>
      <c r="AB22" s="37">
        <f>SUMIFS(_book!$AD$2:$AD$379,_book!$C$2:$C$379,$A22,_book!$A$2:$A$379,bkc_lob,_book!$B$2:$B$379,bkc_bu)</f>
        <v>0</v>
      </c>
      <c r="AC22" s="35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0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0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2">
        <f>IF(COUNTIFS(_book!$D$2:$D$379,"?*",_book!$C$2:$C$379,$A22,_book!$A$2:$A$379,bkc_lob,_book!$B$2:$B$379,bkc_bu)=0,"",IF(COUNTIFS(_book!$D$2:$D$379,"?*",_book!$C$2:$C$379,$A22,_book!$A$2:$A$379,bkc_lob,_book!$B$2:$B$379,bkc_bu)=1,$I22*(1+$AC22)*$AD22*$AE22*$L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5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1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IF(SUMIFS(_book!$V$2:$V$379,_book!$C$2:$C$379,$A22,_book!$A$2:$A$379,bkc_lob,_book!$B$2:$B$379,bkc_bu)=0,"—",($AH22-$M22)*100)</f>
        <v>—</v>
      </c>
    </row>
    <row r="23" spans="1:35" x14ac:dyDescent="0.3">
      <c r="A23" s="39" t="s">
        <v>88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G23" s="42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H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I23" s="43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J23" s="42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K23" s="42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L23" s="42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M23" s="44">
        <f>IF(COUNTIFS(_book!$D$2:$D$379,"?*",_book!$C$2:$C$379,$A23,_book!$A$2:$A$379,bkc_lob,_book!$B$2:$B$379,bkc_bu)=0,"",IF(COUNTIFS(_book!$D$2:$D$379,"?*",_book!$C$2:$C$379,$A23,_book!$A$2:$A$379,bkc_lob,_book!$B$2:$B$379,bkc_bu)=1,$I23*$J23*$K23*$L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N23" s="45">
        <f>IF(COUNTIFS(_book!$D$2:$D$379,"?*",_book!$C$2:$C$379,$A23,_book!$A$2:$A$379,bkc_lob,_book!$B$2:$B$379,bkc_bu)&lt;=1,"",($M23-$I23*$J23*$K23*$L23)*100)</f>
        <v>-1.9465938889684509E-3</v>
      </c>
      <c r="O23" s="46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P23" s="47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Q23" s="48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R23" s="46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S23" s="47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T23" s="48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U23" s="46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V23" s="47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W23" s="48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X23" s="46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Y23" s="47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Z23" s="48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AA23" s="49">
        <f>SUMIFS(_book!$AC$2:$AC$379,_book!$C$2:$C$379,$A23,_book!$A$2:$A$379,bkc_lob,_book!$B$2:$B$379,bkc_bu)</f>
        <v>18</v>
      </c>
      <c r="AB23" s="49">
        <f>SUMIFS(_book!$AD$2:$AD$379,_book!$C$2:$C$379,$A23,_book!$A$2:$A$379,bkc_lob,_book!$B$2:$B$379,bkc_bu)</f>
        <v>6</v>
      </c>
      <c r="AC23" s="47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2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2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4">
        <f>IF(COUNTIFS(_book!$D$2:$D$379,"?*",_book!$C$2:$C$379,$A23,_book!$A$2:$A$379,bkc_lob,_book!$B$2:$B$379,bkc_bu)=0,"",IF(COUNTIFS(_book!$D$2:$D$379,"?*",_book!$C$2:$C$379,$A23,_book!$A$2:$A$379,bkc_lob,_book!$B$2:$B$379,bkc_bu)=1,$I23*(1+$AC23)*$AD23*$AE23*$L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7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3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IF(SUMIFS(_book!$V$2:$V$379,_book!$C$2:$C$379,$A23,_book!$A$2:$A$379,bkc_lob,_book!$B$2:$B$379,bkc_bu)=0,"—",($AH23-$M23)*100)</f>
        <v>—</v>
      </c>
    </row>
    <row r="24" spans="1:35" x14ac:dyDescent="0.3">
      <c r="A24" s="27" t="s">
        <v>90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G24" s="30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H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I24" s="31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J24" s="30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K24" s="30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L24" s="30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M24" s="32">
        <f>IF(COUNTIFS(_book!$D$2:$D$379,"?*",_book!$C$2:$C$379,$A24,_book!$A$2:$A$379,bkc_lob,_book!$B$2:$B$379,bkc_bu)=0,"",IF(COUNTIFS(_book!$D$2:$D$379,"?*",_book!$C$2:$C$379,$A24,_book!$A$2:$A$379,bkc_lob,_book!$B$2:$B$379,bkc_bu)=1,$I24*$J24*$K24*$L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N24" s="33">
        <f>IF(COUNTIFS(_book!$D$2:$D$379,"?*",_book!$C$2:$C$379,$A24,_book!$A$2:$A$379,bkc_lob,_book!$B$2:$B$379,bkc_bu)&lt;=1,"",($M24-$I24*$J24*$K24*$L24)*100)</f>
        <v>1.0712210249375076E-2</v>
      </c>
      <c r="O24" s="34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P24" s="35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Q24" s="36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R24" s="34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S24" s="35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T24" s="36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U24" s="34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V24" s="35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W24" s="36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X24" s="34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Y24" s="35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Z24" s="36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AA24" s="37">
        <f>SUMIFS(_book!$AC$2:$AC$379,_book!$C$2:$C$379,$A24,_book!$A$2:$A$379,bkc_lob,_book!$B$2:$B$379,bkc_bu)</f>
        <v>18</v>
      </c>
      <c r="AB24" s="37">
        <f>SUMIFS(_book!$AD$2:$AD$379,_book!$C$2:$C$379,$A24,_book!$A$2:$A$379,bkc_lob,_book!$B$2:$B$379,bkc_bu)</f>
        <v>6</v>
      </c>
      <c r="AC24" s="35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0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0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2">
        <f>IF(COUNTIFS(_book!$D$2:$D$379,"?*",_book!$C$2:$C$379,$A24,_book!$A$2:$A$379,bkc_lob,_book!$B$2:$B$379,bkc_bu)=0,"",IF(COUNTIFS(_book!$D$2:$D$379,"?*",_book!$C$2:$C$379,$A24,_book!$A$2:$A$379,bkc_lob,_book!$B$2:$B$379,bkc_bu)=1,$I24*(1+$AC24)*$AD24*$AE24*$L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5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1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IF(SUMIFS(_book!$V$2:$V$379,_book!$C$2:$C$379,$A24,_book!$A$2:$A$379,bkc_lob,_book!$B$2:$B$379,bkc_bu)=0,"—",($AH24-$M24)*100)</f>
        <v>—</v>
      </c>
    </row>
    <row r="25" spans="1:35" x14ac:dyDescent="0.3">
      <c r="A25" s="39" t="s">
        <v>91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G25" s="42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H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I25" s="43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J25" s="42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K25" s="42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L25" s="42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M25" s="44">
        <f>IF(COUNTIFS(_book!$D$2:$D$379,"?*",_book!$C$2:$C$379,$A25,_book!$A$2:$A$379,bkc_lob,_book!$B$2:$B$379,bkc_bu)=0,"",IF(COUNTIFS(_book!$D$2:$D$379,"?*",_book!$C$2:$C$379,$A25,_book!$A$2:$A$379,bkc_lob,_book!$B$2:$B$379,bkc_bu)=1,$I25*$J25*$K25*$L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N25" s="45">
        <f>IF(COUNTIFS(_book!$D$2:$D$379,"?*",_book!$C$2:$C$379,$A25,_book!$A$2:$A$379,bkc_lob,_book!$B$2:$B$379,bkc_bu)&lt;=1,"",($M25-$I25*$J25*$K25*$L25)*100)</f>
        <v>-1.3514424191618524E-3</v>
      </c>
      <c r="O25" s="46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P25" s="47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Q25" s="48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R25" s="46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S25" s="47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T25" s="48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U25" s="46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V25" s="47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W25" s="48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X25" s="46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Y25" s="47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Z25" s="48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AA25" s="49">
        <f>SUMIFS(_book!$AC$2:$AC$379,_book!$C$2:$C$379,$A25,_book!$A$2:$A$379,bkc_lob,_book!$B$2:$B$379,bkc_bu)</f>
        <v>0</v>
      </c>
      <c r="AB25" s="49">
        <f>SUMIFS(_book!$AD$2:$AD$379,_book!$C$2:$C$379,$A25,_book!$A$2:$A$379,bkc_lob,_book!$B$2:$B$379,bkc_bu)</f>
        <v>6</v>
      </c>
      <c r="AC25" s="47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2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2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4">
        <f>IF(COUNTIFS(_book!$D$2:$D$379,"?*",_book!$C$2:$C$379,$A25,_book!$A$2:$A$379,bkc_lob,_book!$B$2:$B$379,bkc_bu)=0,"",IF(COUNTIFS(_book!$D$2:$D$379,"?*",_book!$C$2:$C$379,$A25,_book!$A$2:$A$379,bkc_lob,_book!$B$2:$B$379,bkc_bu)=1,$I25*(1+$AC25)*$AD25*$AE25*$L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7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3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IF(SUMIFS(_book!$V$2:$V$379,_book!$C$2:$C$379,$A25,_book!$A$2:$A$379,bkc_lob,_book!$B$2:$B$379,bkc_bu)=0,"—",($AH25-$M25)*100)</f>
        <v>—</v>
      </c>
    </row>
    <row r="26" spans="1:35" x14ac:dyDescent="0.3">
      <c r="A26" s="27" t="s">
        <v>93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G26" s="30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H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I26" s="31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J26" s="30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K26" s="30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L26" s="30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M26" s="32">
        <f>IF(COUNTIFS(_book!$D$2:$D$379,"?*",_book!$C$2:$C$379,$A26,_book!$A$2:$A$379,bkc_lob,_book!$B$2:$B$379,bkc_bu)=0,"",IF(COUNTIFS(_book!$D$2:$D$379,"?*",_book!$C$2:$C$379,$A26,_book!$A$2:$A$379,bkc_lob,_book!$B$2:$B$379,bkc_bu)=1,$I26*$J26*$K26*$L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N26" s="33">
        <f>IF(COUNTIFS(_book!$D$2:$D$379,"?*",_book!$C$2:$C$379,$A26,_book!$A$2:$A$379,bkc_lob,_book!$B$2:$B$379,bkc_bu)&lt;=1,"",($M26-$I26*$J26*$K26*$L26)*100)</f>
        <v>1.9933259055360253E-3</v>
      </c>
      <c r="O26" s="34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P26" s="35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Q26" s="36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R26" s="34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S26" s="35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T26" s="36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U26" s="34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V26" s="35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W26" s="36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X26" s="34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Y26" s="35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Z26" s="36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AA26" s="37">
        <f>SUMIFS(_book!$AC$2:$AC$379,_book!$C$2:$C$379,$A26,_book!$A$2:$A$379,bkc_lob,_book!$B$2:$B$379,bkc_bu)</f>
        <v>18</v>
      </c>
      <c r="AB26" s="37">
        <f>SUMIFS(_book!$AD$2:$AD$379,_book!$C$2:$C$379,$A26,_book!$A$2:$A$379,bkc_lob,_book!$B$2:$B$379,bkc_bu)</f>
        <v>0</v>
      </c>
      <c r="AC26" s="35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0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0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2">
        <f>IF(COUNTIFS(_book!$D$2:$D$379,"?*",_book!$C$2:$C$379,$A26,_book!$A$2:$A$379,bkc_lob,_book!$B$2:$B$379,bkc_bu)=0,"",IF(COUNTIFS(_book!$D$2:$D$379,"?*",_book!$C$2:$C$379,$A26,_book!$A$2:$A$379,bkc_lob,_book!$B$2:$B$379,bkc_bu)=1,$I26*(1+$AC26)*$AD26*$AE26*$L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5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1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IF(SUMIFS(_book!$V$2:$V$379,_book!$C$2:$C$379,$A26,_book!$A$2:$A$379,bkc_lob,_book!$B$2:$B$379,bkc_bu)=0,"—",($AH26-$M26)*100)</f>
        <v>—</v>
      </c>
    </row>
    <row r="27" spans="1:35" x14ac:dyDescent="0.3">
      <c r="A27" s="39" t="s">
        <v>94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G27" s="42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H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I27" s="43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J27" s="42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K27" s="42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L27" s="42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M27" s="44">
        <f>IF(COUNTIFS(_book!$D$2:$D$379,"?*",_book!$C$2:$C$379,$A27,_book!$A$2:$A$379,bkc_lob,_book!$B$2:$B$379,bkc_bu)=0,"",IF(COUNTIFS(_book!$D$2:$D$379,"?*",_book!$C$2:$C$379,$A27,_book!$A$2:$A$379,bkc_lob,_book!$B$2:$B$379,bkc_bu)=1,$I27*$J27*$K27*$L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N27" s="45">
        <f>IF(COUNTIFS(_book!$D$2:$D$379,"?*",_book!$C$2:$C$379,$A27,_book!$A$2:$A$379,bkc_lob,_book!$B$2:$B$379,bkc_bu)&lt;=1,"",($M27-$I27*$J27*$K27*$L27)*100)</f>
        <v>-1.2958903017201706E-2</v>
      </c>
      <c r="O27" s="46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P27" s="47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Q27" s="48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R27" s="46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S27" s="47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T27" s="48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U27" s="46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V27" s="47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W27" s="48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X27" s="46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Y27" s="47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Z27" s="48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AA27" s="49">
        <f>SUMIFS(_book!$AC$2:$AC$379,_book!$C$2:$C$379,$A27,_book!$A$2:$A$379,bkc_lob,_book!$B$2:$B$379,bkc_bu)</f>
        <v>18</v>
      </c>
      <c r="AB27" s="49">
        <f>SUMIFS(_book!$AD$2:$AD$379,_book!$C$2:$C$379,$A27,_book!$A$2:$A$379,bkc_lob,_book!$B$2:$B$379,bkc_bu)</f>
        <v>6</v>
      </c>
      <c r="AC27" s="47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2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2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4">
        <f>IF(COUNTIFS(_book!$D$2:$D$379,"?*",_book!$C$2:$C$379,$A27,_book!$A$2:$A$379,bkc_lob,_book!$B$2:$B$379,bkc_bu)=0,"",IF(COUNTIFS(_book!$D$2:$D$379,"?*",_book!$C$2:$C$379,$A27,_book!$A$2:$A$379,bkc_lob,_book!$B$2:$B$379,bkc_bu)=1,$I27*(1+$AC27)*$AD27*$AE27*$L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7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3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IF(SUMIFS(_book!$V$2:$V$379,_book!$C$2:$C$379,$A27,_book!$A$2:$A$379,bkc_lob,_book!$B$2:$B$379,bkc_bu)=0,"—",($AH27-$M27)*100)</f>
        <v>—</v>
      </c>
    </row>
    <row r="28" spans="1:35" x14ac:dyDescent="0.3">
      <c r="A28" s="27" t="s">
        <v>95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G28" s="30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H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I28" s="31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J28" s="3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K28" s="3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L28" s="30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M28" s="32">
        <f>IF(COUNTIFS(_book!$D$2:$D$379,"?*",_book!$C$2:$C$379,$A28,_book!$A$2:$A$379,bkc_lob,_book!$B$2:$B$379,bkc_bu)=0,"",IF(COUNTIFS(_book!$D$2:$D$379,"?*",_book!$C$2:$C$379,$A28,_book!$A$2:$A$379,bkc_lob,_book!$B$2:$B$379,bkc_bu)=1,$I28*$J28*$K28*$L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N28" s="33">
        <f>IF(COUNTIFS(_book!$D$2:$D$379,"?*",_book!$C$2:$C$379,$A28,_book!$A$2:$A$379,bkc_lob,_book!$B$2:$B$379,bkc_bu)&lt;=1,"",($M28-$I28*$J28*$K28*$L28)*100)</f>
        <v>9.4443291231316451E-3</v>
      </c>
      <c r="O28" s="34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P28" s="35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Q28" s="36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R28" s="34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S28" s="35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T28" s="36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U28" s="34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V28" s="35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W28" s="36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X28" s="34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Y28" s="35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Z28" s="36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AA28" s="37">
        <f>SUMIFS(_book!$AC$2:$AC$379,_book!$C$2:$C$379,$A28,_book!$A$2:$A$379,bkc_lob,_book!$B$2:$B$379,bkc_bu)</f>
        <v>0</v>
      </c>
      <c r="AB28" s="37">
        <f>SUMIFS(_book!$AD$2:$AD$379,_book!$C$2:$C$379,$A28,_book!$A$2:$A$379,bkc_lob,_book!$B$2:$B$379,bkc_bu)</f>
        <v>6</v>
      </c>
      <c r="AC28" s="35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0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0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2">
        <f>IF(COUNTIFS(_book!$D$2:$D$379,"?*",_book!$C$2:$C$379,$A28,_book!$A$2:$A$379,bkc_lob,_book!$B$2:$B$379,bkc_bu)=0,"",IF(COUNTIFS(_book!$D$2:$D$379,"?*",_book!$C$2:$C$379,$A28,_book!$A$2:$A$379,bkc_lob,_book!$B$2:$B$379,bkc_bu)=1,$I28*(1+$AC28)*$AD28*$AE28*$L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5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1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IF(SUMIFS(_book!$V$2:$V$379,_book!$C$2:$C$379,$A28,_book!$A$2:$A$379,bkc_lob,_book!$B$2:$B$379,bkc_bu)=0,"—",($AH28-$M28)*100)</f>
        <v>—</v>
      </c>
    </row>
    <row r="30" spans="1:35" x14ac:dyDescent="0.3">
      <c r="A30" s="51" t="s">
        <v>89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F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G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H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I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J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K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L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M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N30" s="57">
        <f>IF($B$30=0,"",($M30-$I30*$J30*$K30*$L30)*100)</f>
        <v>1.0095531567166915E-3</v>
      </c>
      <c r="AA30" s="58">
        <f>SUMIFS(_book!$AC$2:$AC$379,_book!$A$2:$A$379,bkc_lob,_book!$B$2:$B$379,bkc_bu)</f>
        <v>264</v>
      </c>
      <c r="AB30" s="58">
        <f>SUMIFS(_book!$AD$2:$AD$379,_book!$A$2:$A$379,bkc_lob,_book!$B$2:$B$379,bkc_bu)</f>
        <v>126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IF($B$30=0,"",($AH30-$M30)*100)</f>
        <v>-7.7588101148773347E-3</v>
      </c>
    </row>
    <row r="32" spans="1:35" x14ac:dyDescent="0.3">
      <c r="A32" s="9" t="s">
        <v>134</v>
      </c>
    </row>
    <row r="33" spans="1:1" x14ac:dyDescent="0.3">
      <c r="A33" s="9" t="s">
        <v>135</v>
      </c>
    </row>
    <row r="34" spans="1:1" x14ac:dyDescent="0.3">
      <c r="A34" s="9" t="s">
        <v>136</v>
      </c>
    </row>
    <row r="35" spans="1:1" x14ac:dyDescent="0.3">
      <c r="A35" s="9" t="s">
        <v>137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138</v>
      </c>
    </row>
    <row r="2" spans="1:17" x14ac:dyDescent="0.3">
      <c r="A2" s="2" t="s">
        <v>139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140</v>
      </c>
      <c r="C6" s="19" t="s">
        <v>44</v>
      </c>
      <c r="D6" s="19" t="s">
        <v>105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s">
        <v>145</v>
      </c>
      <c r="J6" s="19" t="s">
        <v>131</v>
      </c>
      <c r="K6" s="19" t="s">
        <v>146</v>
      </c>
      <c r="L6" s="19" t="s">
        <v>147</v>
      </c>
      <c r="M6" s="19" t="s">
        <v>148</v>
      </c>
      <c r="N6" s="19" t="s">
        <v>149</v>
      </c>
      <c r="O6" s="19" t="s">
        <v>133</v>
      </c>
      <c r="P6" s="19" t="s">
        <v>126</v>
      </c>
      <c r="Q6" s="19" t="s">
        <v>127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150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151</v>
      </c>
    </row>
    <row r="2" spans="1:11" x14ac:dyDescent="0.3">
      <c r="A2" s="2" t="s">
        <v>152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153</v>
      </c>
    </row>
    <row r="6" spans="1:11" ht="28.8" x14ac:dyDescent="0.3">
      <c r="A6" s="19"/>
      <c r="B6" s="19" t="s">
        <v>71</v>
      </c>
      <c r="C6" s="19" t="s">
        <v>105</v>
      </c>
      <c r="D6" s="19" t="s">
        <v>141</v>
      </c>
      <c r="E6" s="19" t="s">
        <v>142</v>
      </c>
      <c r="F6" s="19" t="s">
        <v>143</v>
      </c>
      <c r="G6" s="19" t="s">
        <v>145</v>
      </c>
      <c r="H6" s="19" t="s">
        <v>131</v>
      </c>
      <c r="I6" s="19" t="s">
        <v>149</v>
      </c>
      <c r="J6" s="19" t="s">
        <v>133</v>
      </c>
      <c r="K6" s="19" t="s">
        <v>154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89</v>
      </c>
      <c r="B13" s="58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8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155</v>
      </c>
    </row>
    <row r="18" spans="1:11" ht="28.8" x14ac:dyDescent="0.3">
      <c r="A18" s="19"/>
      <c r="B18" s="19" t="s">
        <v>71</v>
      </c>
      <c r="C18" s="19" t="s">
        <v>105</v>
      </c>
      <c r="D18" s="19" t="s">
        <v>141</v>
      </c>
      <c r="E18" s="19" t="s">
        <v>142</v>
      </c>
      <c r="F18" s="19" t="s">
        <v>143</v>
      </c>
      <c r="G18" s="19" t="s">
        <v>145</v>
      </c>
      <c r="H18" s="19" t="s">
        <v>131</v>
      </c>
      <c r="I18" s="19" t="s">
        <v>149</v>
      </c>
      <c r="J18" s="19" t="s">
        <v>133</v>
      </c>
      <c r="K18" s="19" t="s">
        <v>154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89</v>
      </c>
      <c r="B22" s="58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8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156</v>
      </c>
    </row>
    <row r="27" spans="1:11" ht="28.8" x14ac:dyDescent="0.3">
      <c r="A27" s="19"/>
      <c r="B27" s="19" t="s">
        <v>71</v>
      </c>
      <c r="C27" s="19" t="s">
        <v>105</v>
      </c>
      <c r="D27" s="19" t="s">
        <v>141</v>
      </c>
      <c r="E27" s="19" t="s">
        <v>142</v>
      </c>
      <c r="F27" s="19" t="s">
        <v>143</v>
      </c>
      <c r="G27" s="19" t="s">
        <v>145</v>
      </c>
      <c r="H27" s="19" t="s">
        <v>131</v>
      </c>
      <c r="I27" s="19" t="s">
        <v>149</v>
      </c>
      <c r="J27" s="19" t="s">
        <v>133</v>
      </c>
      <c r="K27" s="19" t="s">
        <v>154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84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86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88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90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91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93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94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95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89</v>
      </c>
      <c r="B49" s="58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8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157</v>
      </c>
    </row>
    <row r="2" spans="1:13" x14ac:dyDescent="0.3">
      <c r="A2" s="2" t="s">
        <v>158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159</v>
      </c>
    </row>
    <row r="6" spans="1:13" x14ac:dyDescent="0.3">
      <c r="A6" s="9" t="s">
        <v>160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84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86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88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90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91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93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94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95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161</v>
      </c>
    </row>
    <row r="33" spans="1:13" x14ac:dyDescent="0.3">
      <c r="A33" s="9" t="s">
        <v>160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84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86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88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90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91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93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94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95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162</v>
      </c>
    </row>
    <row r="60" spans="1:13" x14ac:dyDescent="0.3">
      <c r="A60" s="9" t="s">
        <v>160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84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86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88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90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91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93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94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95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163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164</v>
      </c>
    </row>
    <row r="2" spans="1:12" x14ac:dyDescent="0.3">
      <c r="A2" s="2" t="s">
        <v>165</v>
      </c>
    </row>
    <row r="3" spans="1:12" x14ac:dyDescent="0.3">
      <c r="A3" s="10" t="s">
        <v>166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167</v>
      </c>
      <c r="B5" s="19" t="s">
        <v>168</v>
      </c>
      <c r="C5" s="19" t="s">
        <v>169</v>
      </c>
      <c r="D5" s="19" t="s">
        <v>170</v>
      </c>
      <c r="E5" s="19" t="s">
        <v>171</v>
      </c>
      <c r="F5" s="19" t="s">
        <v>172</v>
      </c>
      <c r="G5" s="19" t="s">
        <v>173</v>
      </c>
    </row>
    <row r="6" spans="1:12" x14ac:dyDescent="0.3">
      <c r="A6" s="82">
        <v>1</v>
      </c>
      <c r="B6" s="7" t="s">
        <v>174</v>
      </c>
      <c r="C6" s="83" t="s">
        <v>175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174</v>
      </c>
      <c r="C7" s="83" t="s">
        <v>176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174</v>
      </c>
      <c r="C8" s="83" t="s">
        <v>177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174</v>
      </c>
      <c r="C9" s="83" t="s">
        <v>178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179</v>
      </c>
      <c r="C10" s="83" t="s">
        <v>180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179</v>
      </c>
      <c r="C11" s="83" t="s">
        <v>181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182</v>
      </c>
      <c r="C12" s="83" t="s">
        <v>183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182</v>
      </c>
      <c r="C13" s="83" t="s">
        <v>184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185</v>
      </c>
      <c r="C14" s="83" t="s">
        <v>186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187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188</v>
      </c>
      <c r="B1" s="85" t="s">
        <v>140</v>
      </c>
      <c r="C1" s="85" t="s">
        <v>44</v>
      </c>
      <c r="D1" s="85" t="s">
        <v>189</v>
      </c>
      <c r="E1" s="85" t="s">
        <v>190</v>
      </c>
      <c r="F1" s="85" t="s">
        <v>105</v>
      </c>
      <c r="G1" s="85" t="s">
        <v>191</v>
      </c>
      <c r="H1" s="85" t="s">
        <v>192</v>
      </c>
      <c r="I1" s="85" t="s">
        <v>193</v>
      </c>
      <c r="J1" s="85" t="s">
        <v>194</v>
      </c>
      <c r="K1" s="85" t="s">
        <v>195</v>
      </c>
      <c r="L1" s="85" t="s">
        <v>196</v>
      </c>
      <c r="M1" s="85" t="s">
        <v>197</v>
      </c>
      <c r="N1" s="85" t="s">
        <v>141</v>
      </c>
      <c r="O1" s="85" t="s">
        <v>198</v>
      </c>
      <c r="P1" s="85" t="s">
        <v>199</v>
      </c>
      <c r="Q1" s="85" t="s">
        <v>128</v>
      </c>
      <c r="R1" s="85" t="s">
        <v>200</v>
      </c>
      <c r="S1" s="85" t="s">
        <v>201</v>
      </c>
      <c r="T1" s="85" t="s">
        <v>146</v>
      </c>
      <c r="U1" s="85" t="s">
        <v>147</v>
      </c>
      <c r="V1" s="85" t="s">
        <v>202</v>
      </c>
      <c r="W1" s="85" t="s">
        <v>148</v>
      </c>
      <c r="X1" s="85" t="s">
        <v>203</v>
      </c>
      <c r="Y1" s="85" t="s">
        <v>149</v>
      </c>
      <c r="Z1" s="85" t="s">
        <v>204</v>
      </c>
      <c r="AA1" s="85" t="s">
        <v>133</v>
      </c>
      <c r="AB1" s="85" t="s">
        <v>205</v>
      </c>
      <c r="AC1" s="85" t="s">
        <v>126</v>
      </c>
      <c r="AD1" s="85" t="s">
        <v>127</v>
      </c>
      <c r="AE1" s="85" t="s">
        <v>206</v>
      </c>
      <c r="AF1" s="85" t="s">
        <v>207</v>
      </c>
      <c r="AG1" s="85" t="s">
        <v>208</v>
      </c>
      <c r="AH1" s="85" t="s">
        <v>209</v>
      </c>
      <c r="AI1" s="85" t="s">
        <v>210</v>
      </c>
      <c r="AJ1" s="85" t="s">
        <v>211</v>
      </c>
      <c r="AK1" s="85" t="s">
        <v>212</v>
      </c>
      <c r="AL1" s="85" t="s">
        <v>213</v>
      </c>
      <c r="AM1" s="85" t="s">
        <v>214</v>
      </c>
      <c r="AN1" s="85" t="s">
        <v>215</v>
      </c>
      <c r="AO1" s="85" t="s">
        <v>216</v>
      </c>
      <c r="AP1" s="85" t="s">
        <v>217</v>
      </c>
      <c r="AQ1" s="85" t="s">
        <v>218</v>
      </c>
      <c r="AR1" s="85" t="s">
        <v>219</v>
      </c>
      <c r="AS1" s="85" t="s">
        <v>220</v>
      </c>
      <c r="AT1" s="85" t="s">
        <v>221</v>
      </c>
      <c r="AU1" s="85" t="s">
        <v>222</v>
      </c>
      <c r="AV1" s="85" t="s">
        <v>223</v>
      </c>
      <c r="AW1" s="85" t="s">
        <v>224</v>
      </c>
      <c r="AX1" s="85" t="s">
        <v>225</v>
      </c>
      <c r="AY1" s="85" t="s">
        <v>226</v>
      </c>
      <c r="AZ1" s="85" t="s">
        <v>227</v>
      </c>
      <c r="BA1" s="85" t="s">
        <v>228</v>
      </c>
      <c r="BB1" s="85" t="s">
        <v>229</v>
      </c>
      <c r="BC1" s="85" t="s">
        <v>230</v>
      </c>
      <c r="BD1" s="85" t="s">
        <v>231</v>
      </c>
      <c r="BE1" s="85" t="s">
        <v>232</v>
      </c>
      <c r="BF1" s="85" t="s">
        <v>233</v>
      </c>
      <c r="BG1" s="85" t="s">
        <v>234</v>
      </c>
      <c r="BH1" s="85" t="s">
        <v>235</v>
      </c>
      <c r="BI1" s="85" t="s">
        <v>236</v>
      </c>
      <c r="BJ1" s="85" t="s">
        <v>237</v>
      </c>
      <c r="BK1" s="85" t="s">
        <v>238</v>
      </c>
      <c r="BL1" s="85" t="s">
        <v>239</v>
      </c>
      <c r="BM1" s="85" t="s">
        <v>240</v>
      </c>
      <c r="BN1" s="85" t="s">
        <v>241</v>
      </c>
      <c r="BO1" s="85" t="s">
        <v>242</v>
      </c>
      <c r="BP1" s="85" t="s">
        <v>243</v>
      </c>
      <c r="BQ1" s="85" t="s">
        <v>244</v>
      </c>
      <c r="BR1" s="85" t="s">
        <v>245</v>
      </c>
      <c r="BS1" s="85" t="s">
        <v>246</v>
      </c>
      <c r="BT1" s="85" t="s">
        <v>247</v>
      </c>
      <c r="BU1" s="85" t="s">
        <v>248</v>
      </c>
      <c r="BV1" s="85" t="s">
        <v>249</v>
      </c>
      <c r="BW1" s="85" t="s">
        <v>250</v>
      </c>
      <c r="BX1" s="85" t="s">
        <v>251</v>
      </c>
      <c r="BY1" s="85" t="s">
        <v>252</v>
      </c>
      <c r="BZ1" s="85" t="s">
        <v>253</v>
      </c>
      <c r="CA1" s="85" t="s">
        <v>254</v>
      </c>
      <c r="CB1" s="85" t="s">
        <v>255</v>
      </c>
      <c r="CC1" s="85" t="s">
        <v>256</v>
      </c>
      <c r="CD1" s="85" t="s">
        <v>257</v>
      </c>
      <c r="CE1" s="85" t="s">
        <v>258</v>
      </c>
      <c r="CF1" s="85" t="s">
        <v>259</v>
      </c>
      <c r="CG1" s="85" t="s">
        <v>260</v>
      </c>
      <c r="CH1" s="85" t="s">
        <v>261</v>
      </c>
      <c r="CI1" s="85" t="s">
        <v>262</v>
      </c>
      <c r="CJ1" s="85" t="s">
        <v>263</v>
      </c>
      <c r="CK1" s="85" t="s">
        <v>264</v>
      </c>
      <c r="CL1" s="85" t="s">
        <v>265</v>
      </c>
      <c r="CM1" s="85" t="s">
        <v>266</v>
      </c>
      <c r="CN1" s="85" t="s">
        <v>267</v>
      </c>
      <c r="CO1" s="85" t="s">
        <v>268</v>
      </c>
      <c r="CP1" s="85" t="s">
        <v>269</v>
      </c>
      <c r="CQ1" s="85" t="s">
        <v>270</v>
      </c>
      <c r="CR1" s="85" t="s">
        <v>271</v>
      </c>
      <c r="CS1" s="85" t="s">
        <v>272</v>
      </c>
      <c r="CT1" s="85" t="s">
        <v>273</v>
      </c>
      <c r="CU1" s="85" t="s">
        <v>274</v>
      </c>
      <c r="CV1" s="85" t="s">
        <v>275</v>
      </c>
      <c r="CW1" s="85" t="s">
        <v>276</v>
      </c>
      <c r="CX1" s="85" t="s">
        <v>277</v>
      </c>
      <c r="CY1" s="85" t="s">
        <v>278</v>
      </c>
      <c r="CZ1" s="85" t="s">
        <v>279</v>
      </c>
      <c r="DA1" s="85" t="s">
        <v>280</v>
      </c>
      <c r="DB1" s="85" t="s">
        <v>281</v>
      </c>
      <c r="DC1" s="85" t="s">
        <v>282</v>
      </c>
      <c r="DD1" s="85" t="s">
        <v>283</v>
      </c>
      <c r="DE1" s="85" t="s">
        <v>284</v>
      </c>
      <c r="DF1" s="85" t="s">
        <v>285</v>
      </c>
      <c r="DG1" s="85" t="s">
        <v>286</v>
      </c>
      <c r="DH1" s="85" t="s">
        <v>287</v>
      </c>
      <c r="DI1" s="85" t="s">
        <v>288</v>
      </c>
      <c r="DJ1" s="85" t="s">
        <v>289</v>
      </c>
      <c r="DK1" s="85" t="s">
        <v>290</v>
      </c>
      <c r="DL1" s="85" t="s">
        <v>291</v>
      </c>
      <c r="DM1" s="85" t="s">
        <v>292</v>
      </c>
      <c r="DN1" s="85" t="s">
        <v>293</v>
      </c>
      <c r="DO1" s="85" t="s">
        <v>294</v>
      </c>
      <c r="DP1" s="85" t="s">
        <v>295</v>
      </c>
      <c r="DQ1" s="85" t="s">
        <v>296</v>
      </c>
      <c r="DR1" s="85" t="s">
        <v>297</v>
      </c>
    </row>
    <row r="2" spans="1:122" x14ac:dyDescent="0.3">
      <c r="A2" t="s">
        <v>22</v>
      </c>
      <c r="B2" t="s">
        <v>42</v>
      </c>
      <c r="C2" t="s">
        <v>43</v>
      </c>
      <c r="D2" t="s">
        <v>298</v>
      </c>
      <c r="E2" t="s">
        <v>299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300</v>
      </c>
      <c r="DJ2" s="93">
        <v>46204</v>
      </c>
      <c r="DK2" s="91">
        <v>0.06</v>
      </c>
      <c r="DL2" t="s">
        <v>300</v>
      </c>
      <c r="DM2" s="93">
        <v>46478</v>
      </c>
      <c r="DN2" s="91">
        <v>0.05</v>
      </c>
      <c r="DO2" t="s">
        <v>301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302</v>
      </c>
      <c r="E3" t="s">
        <v>303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300</v>
      </c>
      <c r="DJ3" s="93">
        <v>46419</v>
      </c>
      <c r="DK3" s="91">
        <v>0.04</v>
      </c>
      <c r="DL3" t="s">
        <v>301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304</v>
      </c>
      <c r="E4" t="s">
        <v>305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306</v>
      </c>
      <c r="E5" t="s">
        <v>307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300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308</v>
      </c>
      <c r="E6" t="s">
        <v>309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300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310</v>
      </c>
      <c r="E7" t="s">
        <v>311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300</v>
      </c>
      <c r="DJ7" s="93">
        <v>46539</v>
      </c>
      <c r="DK7" s="91">
        <v>0.04</v>
      </c>
      <c r="DL7" t="s">
        <v>301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312</v>
      </c>
      <c r="E8" t="s">
        <v>313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300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314</v>
      </c>
      <c r="E9" t="s">
        <v>315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300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316</v>
      </c>
      <c r="E10" t="s">
        <v>317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318</v>
      </c>
      <c r="E11" t="s">
        <v>319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300</v>
      </c>
      <c r="DJ11" s="93">
        <v>46661</v>
      </c>
      <c r="DK11" s="91">
        <v>0.04</v>
      </c>
      <c r="DL11" t="s">
        <v>301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320</v>
      </c>
      <c r="E12" t="s">
        <v>321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300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322</v>
      </c>
      <c r="E13" t="s">
        <v>323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324</v>
      </c>
      <c r="E14" t="s">
        <v>325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300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84</v>
      </c>
      <c r="D15" t="s">
        <v>326</v>
      </c>
      <c r="E15" t="s">
        <v>327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300</v>
      </c>
      <c r="DJ15" s="93">
        <v>46478</v>
      </c>
      <c r="DK15" s="91">
        <v>0.04</v>
      </c>
      <c r="DL15" t="s">
        <v>301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86</v>
      </c>
      <c r="D16" t="s">
        <v>328</v>
      </c>
      <c r="E16" t="s">
        <v>329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88</v>
      </c>
      <c r="D17" t="s">
        <v>330</v>
      </c>
      <c r="E17" t="s">
        <v>331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300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90</v>
      </c>
      <c r="D18" t="s">
        <v>332</v>
      </c>
      <c r="E18" t="s">
        <v>333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300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91</v>
      </c>
      <c r="D19" t="s">
        <v>334</v>
      </c>
      <c r="E19" t="s">
        <v>335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301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93</v>
      </c>
      <c r="D20" t="s">
        <v>336</v>
      </c>
      <c r="E20" t="s">
        <v>337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300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94</v>
      </c>
      <c r="D21" t="s">
        <v>338</v>
      </c>
      <c r="E21" t="s">
        <v>339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300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95</v>
      </c>
      <c r="D22" t="s">
        <v>340</v>
      </c>
      <c r="E22" t="s">
        <v>341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342</v>
      </c>
      <c r="E23" t="s">
        <v>343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300</v>
      </c>
      <c r="DJ23" s="93">
        <v>46419</v>
      </c>
      <c r="DK23" s="91">
        <v>0.04</v>
      </c>
      <c r="DL23" t="s">
        <v>301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344</v>
      </c>
      <c r="E24" t="s">
        <v>345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300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346</v>
      </c>
      <c r="E25" t="s">
        <v>347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300</v>
      </c>
      <c r="DJ25" s="93">
        <v>46522</v>
      </c>
      <c r="DK25" s="91">
        <v>0.03</v>
      </c>
      <c r="DL25" t="s">
        <v>301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348</v>
      </c>
      <c r="E26" t="s">
        <v>349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300</v>
      </c>
      <c r="DJ26" s="93">
        <v>46447</v>
      </c>
      <c r="DK26" s="91">
        <v>4.8000000000000001E-2</v>
      </c>
      <c r="DL26" t="s">
        <v>301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350</v>
      </c>
      <c r="E27" t="s">
        <v>351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300</v>
      </c>
      <c r="DJ27" s="93">
        <v>46539</v>
      </c>
      <c r="DK27" s="91">
        <v>0.04</v>
      </c>
      <c r="DL27" t="s">
        <v>301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352</v>
      </c>
      <c r="E28" t="s">
        <v>353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354</v>
      </c>
      <c r="E29" t="s">
        <v>355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300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356</v>
      </c>
      <c r="E30" t="s">
        <v>357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300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358</v>
      </c>
      <c r="E31" t="s">
        <v>359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301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360</v>
      </c>
      <c r="E32" t="s">
        <v>361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300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362</v>
      </c>
      <c r="E33" t="s">
        <v>363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300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364</v>
      </c>
      <c r="E34" t="s">
        <v>365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366</v>
      </c>
      <c r="E35" t="s">
        <v>367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300</v>
      </c>
      <c r="DJ35" s="93">
        <v>46478</v>
      </c>
      <c r="DK35" s="91">
        <v>0.04</v>
      </c>
      <c r="DL35" t="s">
        <v>301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84</v>
      </c>
      <c r="D36" t="s">
        <v>368</v>
      </c>
      <c r="E36" t="s">
        <v>369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300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86</v>
      </c>
      <c r="D37" t="s">
        <v>370</v>
      </c>
      <c r="E37" t="s">
        <v>371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88</v>
      </c>
      <c r="D38" t="s">
        <v>372</v>
      </c>
      <c r="E38" t="s">
        <v>373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300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90</v>
      </c>
      <c r="D39" t="s">
        <v>374</v>
      </c>
      <c r="E39" t="s">
        <v>375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300</v>
      </c>
      <c r="DJ39" s="93">
        <v>46600</v>
      </c>
      <c r="DK39" s="91">
        <v>0.04</v>
      </c>
      <c r="DL39" t="s">
        <v>301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91</v>
      </c>
      <c r="D40" t="s">
        <v>376</v>
      </c>
      <c r="E40" t="s">
        <v>377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93</v>
      </c>
      <c r="D41" t="s">
        <v>378</v>
      </c>
      <c r="E41" t="s">
        <v>379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300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94</v>
      </c>
      <c r="D42" t="s">
        <v>380</v>
      </c>
      <c r="E42" t="s">
        <v>381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300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95</v>
      </c>
      <c r="D43" t="s">
        <v>382</v>
      </c>
      <c r="E43" t="s">
        <v>383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301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384</v>
      </c>
      <c r="E44" t="s">
        <v>385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300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386</v>
      </c>
      <c r="E45" t="s">
        <v>387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300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388</v>
      </c>
      <c r="E46" t="s">
        <v>389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390</v>
      </c>
      <c r="E47" t="s">
        <v>391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300</v>
      </c>
      <c r="DJ47" s="93">
        <v>46539</v>
      </c>
      <c r="DK47" s="91">
        <v>0.04</v>
      </c>
      <c r="DL47" t="s">
        <v>301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392</v>
      </c>
      <c r="E48" t="s">
        <v>393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394</v>
      </c>
      <c r="E49" t="s">
        <v>395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396</v>
      </c>
      <c r="E50" t="s">
        <v>397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301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398</v>
      </c>
      <c r="E51" t="s">
        <v>399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300</v>
      </c>
      <c r="DJ51" s="93">
        <v>46661</v>
      </c>
      <c r="DK51" s="91">
        <v>0.04</v>
      </c>
      <c r="DL51" t="s">
        <v>301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400</v>
      </c>
      <c r="E52" t="s">
        <v>401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402</v>
      </c>
      <c r="DJ52" s="93">
        <v>46478</v>
      </c>
      <c r="DK52" s="91">
        <v>0.04</v>
      </c>
      <c r="DL52" t="s">
        <v>301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403</v>
      </c>
      <c r="E53" t="s">
        <v>404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300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405</v>
      </c>
      <c r="E54" t="s">
        <v>406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300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407</v>
      </c>
      <c r="E55" t="s">
        <v>408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301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409</v>
      </c>
      <c r="E56" t="s">
        <v>410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300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84</v>
      </c>
      <c r="D57" t="s">
        <v>411</v>
      </c>
      <c r="E57" t="s">
        <v>412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300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86</v>
      </c>
      <c r="D58" t="s">
        <v>413</v>
      </c>
      <c r="E58" t="s">
        <v>414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88</v>
      </c>
      <c r="D59" t="s">
        <v>415</v>
      </c>
      <c r="E59" t="s">
        <v>416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300</v>
      </c>
      <c r="DJ59" s="93">
        <v>46600</v>
      </c>
      <c r="DK59" s="91">
        <v>0.04</v>
      </c>
      <c r="DL59" t="s">
        <v>301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90</v>
      </c>
      <c r="D60" t="s">
        <v>417</v>
      </c>
      <c r="E60" t="s">
        <v>418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300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91</v>
      </c>
      <c r="D61" t="s">
        <v>419</v>
      </c>
      <c r="E61" t="s">
        <v>420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93</v>
      </c>
      <c r="D62" t="s">
        <v>421</v>
      </c>
      <c r="E62" t="s">
        <v>422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300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94</v>
      </c>
      <c r="D63" t="s">
        <v>423</v>
      </c>
      <c r="E63" t="s">
        <v>424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300</v>
      </c>
      <c r="DJ63" s="93">
        <v>46419</v>
      </c>
      <c r="DK63" s="91">
        <v>0.04</v>
      </c>
      <c r="DL63" t="s">
        <v>301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95</v>
      </c>
      <c r="D64" t="s">
        <v>425</v>
      </c>
      <c r="E64" t="s">
        <v>426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298</v>
      </c>
      <c r="E65" t="s">
        <v>427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300</v>
      </c>
      <c r="DJ65" s="93">
        <v>46204</v>
      </c>
      <c r="DK65" s="91">
        <v>0.06</v>
      </c>
      <c r="DL65" t="s">
        <v>300</v>
      </c>
      <c r="DM65" s="93">
        <v>46478</v>
      </c>
      <c r="DN65" s="91">
        <v>0.05</v>
      </c>
      <c r="DO65" t="s">
        <v>301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302</v>
      </c>
      <c r="E66" t="s">
        <v>428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300</v>
      </c>
      <c r="DJ66" s="93">
        <v>46419</v>
      </c>
      <c r="DK66" s="91">
        <v>0.04</v>
      </c>
      <c r="DL66" t="s">
        <v>301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304</v>
      </c>
      <c r="E67" t="s">
        <v>429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306</v>
      </c>
      <c r="E68" t="s">
        <v>430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300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308</v>
      </c>
      <c r="E69" t="s">
        <v>431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300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310</v>
      </c>
      <c r="E70" t="s">
        <v>432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300</v>
      </c>
      <c r="DJ70" s="93">
        <v>46539</v>
      </c>
      <c r="DK70" s="91">
        <v>0.04</v>
      </c>
      <c r="DL70" t="s">
        <v>301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312</v>
      </c>
      <c r="E71" t="s">
        <v>433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300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314</v>
      </c>
      <c r="E72" t="s">
        <v>434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300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316</v>
      </c>
      <c r="E73" t="s">
        <v>435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318</v>
      </c>
      <c r="E74" t="s">
        <v>436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300</v>
      </c>
      <c r="DJ74" s="93">
        <v>46661</v>
      </c>
      <c r="DK74" s="91">
        <v>0.04</v>
      </c>
      <c r="DL74" t="s">
        <v>301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320</v>
      </c>
      <c r="E75" t="s">
        <v>437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300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322</v>
      </c>
      <c r="E76" t="s">
        <v>438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324</v>
      </c>
      <c r="E77" t="s">
        <v>439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300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84</v>
      </c>
      <c r="D78" t="s">
        <v>326</v>
      </c>
      <c r="E78" t="s">
        <v>440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300</v>
      </c>
      <c r="DJ78" s="93">
        <v>46478</v>
      </c>
      <c r="DK78" s="91">
        <v>0.04</v>
      </c>
      <c r="DL78" t="s">
        <v>301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86</v>
      </c>
      <c r="D79" t="s">
        <v>328</v>
      </c>
      <c r="E79" t="s">
        <v>441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88</v>
      </c>
      <c r="D80" t="s">
        <v>330</v>
      </c>
      <c r="E80" t="s">
        <v>442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300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90</v>
      </c>
      <c r="D81" t="s">
        <v>332</v>
      </c>
      <c r="E81" t="s">
        <v>443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300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91</v>
      </c>
      <c r="D82" t="s">
        <v>334</v>
      </c>
      <c r="E82" t="s">
        <v>444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301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93</v>
      </c>
      <c r="D83" t="s">
        <v>336</v>
      </c>
      <c r="E83" t="s">
        <v>445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300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94</v>
      </c>
      <c r="D84" t="s">
        <v>338</v>
      </c>
      <c r="E84" t="s">
        <v>446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300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95</v>
      </c>
      <c r="D85" t="s">
        <v>340</v>
      </c>
      <c r="E85" t="s">
        <v>447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342</v>
      </c>
      <c r="E86" t="s">
        <v>448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300</v>
      </c>
      <c r="DJ86" s="93">
        <v>46419</v>
      </c>
      <c r="DK86" s="91">
        <v>0.04</v>
      </c>
      <c r="DL86" t="s">
        <v>301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344</v>
      </c>
      <c r="E87" t="s">
        <v>449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300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346</v>
      </c>
      <c r="E88" t="s">
        <v>450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300</v>
      </c>
      <c r="DJ88" s="93">
        <v>46522</v>
      </c>
      <c r="DK88" s="91">
        <v>0.03</v>
      </c>
      <c r="DL88" t="s">
        <v>301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348</v>
      </c>
      <c r="E89" t="s">
        <v>451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300</v>
      </c>
      <c r="DJ89" s="93">
        <v>46447</v>
      </c>
      <c r="DK89" s="91">
        <v>4.8000000000000001E-2</v>
      </c>
      <c r="DL89" t="s">
        <v>301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350</v>
      </c>
      <c r="E90" t="s">
        <v>452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300</v>
      </c>
      <c r="DJ90" s="93">
        <v>46539</v>
      </c>
      <c r="DK90" s="91">
        <v>0.04</v>
      </c>
      <c r="DL90" t="s">
        <v>301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352</v>
      </c>
      <c r="E91" t="s">
        <v>453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354</v>
      </c>
      <c r="E92" t="s">
        <v>454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300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356</v>
      </c>
      <c r="E93" t="s">
        <v>455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300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358</v>
      </c>
      <c r="E94" t="s">
        <v>456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301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360</v>
      </c>
      <c r="E95" t="s">
        <v>457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300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362</v>
      </c>
      <c r="E96" t="s">
        <v>458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300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364</v>
      </c>
      <c r="E97" t="s">
        <v>459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366</v>
      </c>
      <c r="E98" t="s">
        <v>460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300</v>
      </c>
      <c r="DJ98" s="93">
        <v>46478</v>
      </c>
      <c r="DK98" s="91">
        <v>0.04</v>
      </c>
      <c r="DL98" t="s">
        <v>301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84</v>
      </c>
      <c r="D99" t="s">
        <v>368</v>
      </c>
      <c r="E99" t="s">
        <v>461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300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86</v>
      </c>
      <c r="D100" t="s">
        <v>370</v>
      </c>
      <c r="E100" t="s">
        <v>462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88</v>
      </c>
      <c r="D101" t="s">
        <v>372</v>
      </c>
      <c r="E101" t="s">
        <v>463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300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90</v>
      </c>
      <c r="D102" t="s">
        <v>374</v>
      </c>
      <c r="E102" t="s">
        <v>464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300</v>
      </c>
      <c r="DJ102" s="93">
        <v>46600</v>
      </c>
      <c r="DK102" s="91">
        <v>0.04</v>
      </c>
      <c r="DL102" t="s">
        <v>301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91</v>
      </c>
      <c r="D103" t="s">
        <v>376</v>
      </c>
      <c r="E103" t="s">
        <v>465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93</v>
      </c>
      <c r="D104" t="s">
        <v>378</v>
      </c>
      <c r="E104" t="s">
        <v>466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300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94</v>
      </c>
      <c r="D105" t="s">
        <v>380</v>
      </c>
      <c r="E105" t="s">
        <v>467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300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95</v>
      </c>
      <c r="D106" t="s">
        <v>382</v>
      </c>
      <c r="E106" t="s">
        <v>468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301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384</v>
      </c>
      <c r="E107" t="s">
        <v>469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300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386</v>
      </c>
      <c r="E108" t="s">
        <v>470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300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388</v>
      </c>
      <c r="E109" t="s">
        <v>471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390</v>
      </c>
      <c r="E110" t="s">
        <v>472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300</v>
      </c>
      <c r="DJ110" s="93">
        <v>46539</v>
      </c>
      <c r="DK110" s="91">
        <v>0.04</v>
      </c>
      <c r="DL110" t="s">
        <v>301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392</v>
      </c>
      <c r="E111" t="s">
        <v>473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394</v>
      </c>
      <c r="E112" t="s">
        <v>474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396</v>
      </c>
      <c r="E113" t="s">
        <v>475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301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398</v>
      </c>
      <c r="E114" t="s">
        <v>476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300</v>
      </c>
      <c r="DJ114" s="93">
        <v>46661</v>
      </c>
      <c r="DK114" s="91">
        <v>0.04</v>
      </c>
      <c r="DL114" t="s">
        <v>301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400</v>
      </c>
      <c r="E115" t="s">
        <v>477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402</v>
      </c>
      <c r="DJ115" s="93">
        <v>46478</v>
      </c>
      <c r="DK115" s="91">
        <v>0.04</v>
      </c>
      <c r="DL115" t="s">
        <v>301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403</v>
      </c>
      <c r="E116" t="s">
        <v>478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300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405</v>
      </c>
      <c r="E117" t="s">
        <v>479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300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407</v>
      </c>
      <c r="E118" t="s">
        <v>480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301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409</v>
      </c>
      <c r="E119" t="s">
        <v>481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300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84</v>
      </c>
      <c r="D120" t="s">
        <v>411</v>
      </c>
      <c r="E120" t="s">
        <v>482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300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86</v>
      </c>
      <c r="D121" t="s">
        <v>413</v>
      </c>
      <c r="E121" t="s">
        <v>483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88</v>
      </c>
      <c r="D122" t="s">
        <v>415</v>
      </c>
      <c r="E122" t="s">
        <v>484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300</v>
      </c>
      <c r="DJ122" s="93">
        <v>46600</v>
      </c>
      <c r="DK122" s="91">
        <v>0.04</v>
      </c>
      <c r="DL122" t="s">
        <v>301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90</v>
      </c>
      <c r="D123" t="s">
        <v>417</v>
      </c>
      <c r="E123" t="s">
        <v>485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300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91</v>
      </c>
      <c r="D124" t="s">
        <v>419</v>
      </c>
      <c r="E124" t="s">
        <v>486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93</v>
      </c>
      <c r="D125" t="s">
        <v>421</v>
      </c>
      <c r="E125" t="s">
        <v>487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300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94</v>
      </c>
      <c r="D126" t="s">
        <v>423</v>
      </c>
      <c r="E126" t="s">
        <v>488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300</v>
      </c>
      <c r="DJ126" s="93">
        <v>46419</v>
      </c>
      <c r="DK126" s="91">
        <v>0.04</v>
      </c>
      <c r="DL126" t="s">
        <v>301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95</v>
      </c>
      <c r="D127" t="s">
        <v>425</v>
      </c>
      <c r="E127" t="s">
        <v>489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298</v>
      </c>
      <c r="E128" t="s">
        <v>490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300</v>
      </c>
      <c r="DJ128" s="93">
        <v>46204</v>
      </c>
      <c r="DK128" s="91">
        <v>0.06</v>
      </c>
      <c r="DL128" t="s">
        <v>300</v>
      </c>
      <c r="DM128" s="93">
        <v>46478</v>
      </c>
      <c r="DN128" s="91">
        <v>0.05</v>
      </c>
      <c r="DO128" t="s">
        <v>301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302</v>
      </c>
      <c r="E129" t="s">
        <v>491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300</v>
      </c>
      <c r="DJ129" s="93">
        <v>46419</v>
      </c>
      <c r="DK129" s="91">
        <v>0.04</v>
      </c>
      <c r="DL129" t="s">
        <v>301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304</v>
      </c>
      <c r="E130" t="s">
        <v>492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306</v>
      </c>
      <c r="E131" t="s">
        <v>493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300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308</v>
      </c>
      <c r="E132" t="s">
        <v>494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300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310</v>
      </c>
      <c r="E133" t="s">
        <v>495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300</v>
      </c>
      <c r="DJ133" s="93">
        <v>46539</v>
      </c>
      <c r="DK133" s="91">
        <v>0.04</v>
      </c>
      <c r="DL133" t="s">
        <v>301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312</v>
      </c>
      <c r="E134" t="s">
        <v>496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300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314</v>
      </c>
      <c r="E135" t="s">
        <v>497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300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316</v>
      </c>
      <c r="E136" t="s">
        <v>498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318</v>
      </c>
      <c r="E137" t="s">
        <v>499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300</v>
      </c>
      <c r="DJ137" s="93">
        <v>46661</v>
      </c>
      <c r="DK137" s="91">
        <v>0.04</v>
      </c>
      <c r="DL137" t="s">
        <v>301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320</v>
      </c>
      <c r="E138" t="s">
        <v>500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300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322</v>
      </c>
      <c r="E139" t="s">
        <v>501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324</v>
      </c>
      <c r="E140" t="s">
        <v>502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300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84</v>
      </c>
      <c r="D141" t="s">
        <v>326</v>
      </c>
      <c r="E141" t="s">
        <v>503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300</v>
      </c>
      <c r="DJ141" s="93">
        <v>46478</v>
      </c>
      <c r="DK141" s="91">
        <v>0.04</v>
      </c>
      <c r="DL141" t="s">
        <v>301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86</v>
      </c>
      <c r="D142" t="s">
        <v>328</v>
      </c>
      <c r="E142" t="s">
        <v>504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88</v>
      </c>
      <c r="D143" t="s">
        <v>330</v>
      </c>
      <c r="E143" t="s">
        <v>505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300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90</v>
      </c>
      <c r="D144" t="s">
        <v>332</v>
      </c>
      <c r="E144" t="s">
        <v>506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300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91</v>
      </c>
      <c r="D145" t="s">
        <v>334</v>
      </c>
      <c r="E145" t="s">
        <v>507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301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93</v>
      </c>
      <c r="D146" t="s">
        <v>336</v>
      </c>
      <c r="E146" t="s">
        <v>508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300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94</v>
      </c>
      <c r="D147" t="s">
        <v>338</v>
      </c>
      <c r="E147" t="s">
        <v>509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300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95</v>
      </c>
      <c r="D148" t="s">
        <v>340</v>
      </c>
      <c r="E148" t="s">
        <v>510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342</v>
      </c>
      <c r="E149" t="s">
        <v>511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300</v>
      </c>
      <c r="DJ149" s="93">
        <v>46419</v>
      </c>
      <c r="DK149" s="91">
        <v>0.04</v>
      </c>
      <c r="DL149" t="s">
        <v>301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344</v>
      </c>
      <c r="E150" t="s">
        <v>512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300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346</v>
      </c>
      <c r="E151" t="s">
        <v>513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300</v>
      </c>
      <c r="DJ151" s="93">
        <v>46522</v>
      </c>
      <c r="DK151" s="91">
        <v>0.03</v>
      </c>
      <c r="DL151" t="s">
        <v>301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348</v>
      </c>
      <c r="E152" t="s">
        <v>514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300</v>
      </c>
      <c r="DJ152" s="93">
        <v>46447</v>
      </c>
      <c r="DK152" s="91">
        <v>4.8000000000000001E-2</v>
      </c>
      <c r="DL152" t="s">
        <v>301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350</v>
      </c>
      <c r="E153" t="s">
        <v>515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300</v>
      </c>
      <c r="DJ153" s="93">
        <v>46539</v>
      </c>
      <c r="DK153" s="91">
        <v>0.04</v>
      </c>
      <c r="DL153" t="s">
        <v>301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352</v>
      </c>
      <c r="E154" t="s">
        <v>516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354</v>
      </c>
      <c r="E155" t="s">
        <v>517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300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356</v>
      </c>
      <c r="E156" t="s">
        <v>518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300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358</v>
      </c>
      <c r="E157" t="s">
        <v>519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301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360</v>
      </c>
      <c r="E158" t="s">
        <v>520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300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362</v>
      </c>
      <c r="E159" t="s">
        <v>521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300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364</v>
      </c>
      <c r="E160" t="s">
        <v>522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366</v>
      </c>
      <c r="E161" t="s">
        <v>523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300</v>
      </c>
      <c r="DJ161" s="93">
        <v>46478</v>
      </c>
      <c r="DK161" s="91">
        <v>0.04</v>
      </c>
      <c r="DL161" t="s">
        <v>301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84</v>
      </c>
      <c r="D162" t="s">
        <v>368</v>
      </c>
      <c r="E162" t="s">
        <v>524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300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86</v>
      </c>
      <c r="D163" t="s">
        <v>370</v>
      </c>
      <c r="E163" t="s">
        <v>525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88</v>
      </c>
      <c r="D164" t="s">
        <v>372</v>
      </c>
      <c r="E164" t="s">
        <v>526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300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90</v>
      </c>
      <c r="D165" t="s">
        <v>374</v>
      </c>
      <c r="E165" t="s">
        <v>527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300</v>
      </c>
      <c r="DJ165" s="93">
        <v>46600</v>
      </c>
      <c r="DK165" s="91">
        <v>0.04</v>
      </c>
      <c r="DL165" t="s">
        <v>301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91</v>
      </c>
      <c r="D166" t="s">
        <v>376</v>
      </c>
      <c r="E166" t="s">
        <v>528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93</v>
      </c>
      <c r="D167" t="s">
        <v>378</v>
      </c>
      <c r="E167" t="s">
        <v>529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300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94</v>
      </c>
      <c r="D168" t="s">
        <v>380</v>
      </c>
      <c r="E168" t="s">
        <v>530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300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95</v>
      </c>
      <c r="D169" t="s">
        <v>382</v>
      </c>
      <c r="E169" t="s">
        <v>531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301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384</v>
      </c>
      <c r="E170" t="s">
        <v>532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300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386</v>
      </c>
      <c r="E171" t="s">
        <v>533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300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388</v>
      </c>
      <c r="E172" t="s">
        <v>534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390</v>
      </c>
      <c r="E173" t="s">
        <v>535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300</v>
      </c>
      <c r="DJ173" s="93">
        <v>46539</v>
      </c>
      <c r="DK173" s="91">
        <v>0.04</v>
      </c>
      <c r="DL173" t="s">
        <v>301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392</v>
      </c>
      <c r="E174" t="s">
        <v>536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394</v>
      </c>
      <c r="E175" t="s">
        <v>537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396</v>
      </c>
      <c r="E176" t="s">
        <v>538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301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398</v>
      </c>
      <c r="E177" t="s">
        <v>539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300</v>
      </c>
      <c r="DJ177" s="93">
        <v>46661</v>
      </c>
      <c r="DK177" s="91">
        <v>0.04</v>
      </c>
      <c r="DL177" t="s">
        <v>301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400</v>
      </c>
      <c r="E178" t="s">
        <v>540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402</v>
      </c>
      <c r="DJ178" s="93">
        <v>46478</v>
      </c>
      <c r="DK178" s="91">
        <v>0.04</v>
      </c>
      <c r="DL178" t="s">
        <v>301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403</v>
      </c>
      <c r="E179" t="s">
        <v>541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300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405</v>
      </c>
      <c r="E180" t="s">
        <v>542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300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407</v>
      </c>
      <c r="E181" t="s">
        <v>543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301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409</v>
      </c>
      <c r="E182" t="s">
        <v>544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300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84</v>
      </c>
      <c r="D183" t="s">
        <v>411</v>
      </c>
      <c r="E183" t="s">
        <v>545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300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86</v>
      </c>
      <c r="D184" t="s">
        <v>413</v>
      </c>
      <c r="E184" t="s">
        <v>546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88</v>
      </c>
      <c r="D185" t="s">
        <v>415</v>
      </c>
      <c r="E185" t="s">
        <v>547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300</v>
      </c>
      <c r="DJ185" s="93">
        <v>46600</v>
      </c>
      <c r="DK185" s="91">
        <v>0.04</v>
      </c>
      <c r="DL185" t="s">
        <v>301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90</v>
      </c>
      <c r="D186" t="s">
        <v>417</v>
      </c>
      <c r="E186" t="s">
        <v>548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300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91</v>
      </c>
      <c r="D187" t="s">
        <v>419</v>
      </c>
      <c r="E187" t="s">
        <v>549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93</v>
      </c>
      <c r="D188" t="s">
        <v>421</v>
      </c>
      <c r="E188" t="s">
        <v>550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300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94</v>
      </c>
      <c r="D189" t="s">
        <v>423</v>
      </c>
      <c r="E189" t="s">
        <v>551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300</v>
      </c>
      <c r="DJ189" s="93">
        <v>46419</v>
      </c>
      <c r="DK189" s="91">
        <v>0.04</v>
      </c>
      <c r="DL189" t="s">
        <v>301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95</v>
      </c>
      <c r="D190" t="s">
        <v>425</v>
      </c>
      <c r="E190" t="s">
        <v>552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298</v>
      </c>
      <c r="E191" t="s">
        <v>553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300</v>
      </c>
      <c r="DJ191" s="93">
        <v>46204</v>
      </c>
      <c r="DK191" s="91">
        <v>0.06</v>
      </c>
      <c r="DL191" t="s">
        <v>300</v>
      </c>
      <c r="DM191" s="93">
        <v>46478</v>
      </c>
      <c r="DN191" s="91">
        <v>0.05</v>
      </c>
      <c r="DO191" t="s">
        <v>301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302</v>
      </c>
      <c r="E192" t="s">
        <v>554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300</v>
      </c>
      <c r="DJ192" s="93">
        <v>46419</v>
      </c>
      <c r="DK192" s="91">
        <v>0.04</v>
      </c>
      <c r="DL192" t="s">
        <v>301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304</v>
      </c>
      <c r="E193" t="s">
        <v>555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306</v>
      </c>
      <c r="E194" t="s">
        <v>556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300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308</v>
      </c>
      <c r="E195" t="s">
        <v>557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300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310</v>
      </c>
      <c r="E196" t="s">
        <v>558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300</v>
      </c>
      <c r="DJ196" s="93">
        <v>46539</v>
      </c>
      <c r="DK196" s="91">
        <v>0.04</v>
      </c>
      <c r="DL196" t="s">
        <v>301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312</v>
      </c>
      <c r="E197" t="s">
        <v>559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300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314</v>
      </c>
      <c r="E198" t="s">
        <v>560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300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316</v>
      </c>
      <c r="E199" t="s">
        <v>561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318</v>
      </c>
      <c r="E200" t="s">
        <v>562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300</v>
      </c>
      <c r="DJ200" s="93">
        <v>46661</v>
      </c>
      <c r="DK200" s="91">
        <v>0.04</v>
      </c>
      <c r="DL200" t="s">
        <v>301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320</v>
      </c>
      <c r="E201" t="s">
        <v>563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300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322</v>
      </c>
      <c r="E202" t="s">
        <v>564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324</v>
      </c>
      <c r="E203" t="s">
        <v>565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300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84</v>
      </c>
      <c r="D204" t="s">
        <v>326</v>
      </c>
      <c r="E204" t="s">
        <v>566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300</v>
      </c>
      <c r="DJ204" s="93">
        <v>46478</v>
      </c>
      <c r="DK204" s="91">
        <v>0.04</v>
      </c>
      <c r="DL204" t="s">
        <v>301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86</v>
      </c>
      <c r="D205" t="s">
        <v>328</v>
      </c>
      <c r="E205" t="s">
        <v>567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88</v>
      </c>
      <c r="D206" t="s">
        <v>330</v>
      </c>
      <c r="E206" t="s">
        <v>568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300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90</v>
      </c>
      <c r="D207" t="s">
        <v>332</v>
      </c>
      <c r="E207" t="s">
        <v>569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300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91</v>
      </c>
      <c r="D208" t="s">
        <v>334</v>
      </c>
      <c r="E208" t="s">
        <v>570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301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93</v>
      </c>
      <c r="D209" t="s">
        <v>336</v>
      </c>
      <c r="E209" t="s">
        <v>571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300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94</v>
      </c>
      <c r="D210" t="s">
        <v>338</v>
      </c>
      <c r="E210" t="s">
        <v>572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300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95</v>
      </c>
      <c r="D211" t="s">
        <v>340</v>
      </c>
      <c r="E211" t="s">
        <v>573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342</v>
      </c>
      <c r="E212" t="s">
        <v>574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300</v>
      </c>
      <c r="DJ212" s="93">
        <v>46419</v>
      </c>
      <c r="DK212" s="91">
        <v>0.04</v>
      </c>
      <c r="DL212" t="s">
        <v>301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344</v>
      </c>
      <c r="E213" t="s">
        <v>575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300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346</v>
      </c>
      <c r="E214" t="s">
        <v>576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300</v>
      </c>
      <c r="DJ214" s="93">
        <v>46522</v>
      </c>
      <c r="DK214" s="91">
        <v>0.03</v>
      </c>
      <c r="DL214" t="s">
        <v>301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348</v>
      </c>
      <c r="E215" t="s">
        <v>577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300</v>
      </c>
      <c r="DJ215" s="93">
        <v>46447</v>
      </c>
      <c r="DK215" s="91">
        <v>4.8000000000000001E-2</v>
      </c>
      <c r="DL215" t="s">
        <v>301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350</v>
      </c>
      <c r="E216" t="s">
        <v>578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300</v>
      </c>
      <c r="DJ216" s="93">
        <v>46539</v>
      </c>
      <c r="DK216" s="91">
        <v>0.04</v>
      </c>
      <c r="DL216" t="s">
        <v>301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352</v>
      </c>
      <c r="E217" t="s">
        <v>579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354</v>
      </c>
      <c r="E218" t="s">
        <v>580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300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356</v>
      </c>
      <c r="E219" t="s">
        <v>581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300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358</v>
      </c>
      <c r="E220" t="s">
        <v>582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301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360</v>
      </c>
      <c r="E221" t="s">
        <v>583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300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362</v>
      </c>
      <c r="E222" t="s">
        <v>584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300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364</v>
      </c>
      <c r="E223" t="s">
        <v>585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366</v>
      </c>
      <c r="E224" t="s">
        <v>586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300</v>
      </c>
      <c r="DJ224" s="93">
        <v>46478</v>
      </c>
      <c r="DK224" s="91">
        <v>0.04</v>
      </c>
      <c r="DL224" t="s">
        <v>301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84</v>
      </c>
      <c r="D225" t="s">
        <v>368</v>
      </c>
      <c r="E225" t="s">
        <v>587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300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86</v>
      </c>
      <c r="D226" t="s">
        <v>370</v>
      </c>
      <c r="E226" t="s">
        <v>588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88</v>
      </c>
      <c r="D227" t="s">
        <v>372</v>
      </c>
      <c r="E227" t="s">
        <v>589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300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90</v>
      </c>
      <c r="D228" t="s">
        <v>374</v>
      </c>
      <c r="E228" t="s">
        <v>590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300</v>
      </c>
      <c r="DJ228" s="93">
        <v>46600</v>
      </c>
      <c r="DK228" s="91">
        <v>0.04</v>
      </c>
      <c r="DL228" t="s">
        <v>301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91</v>
      </c>
      <c r="D229" t="s">
        <v>376</v>
      </c>
      <c r="E229" t="s">
        <v>591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93</v>
      </c>
      <c r="D230" t="s">
        <v>378</v>
      </c>
      <c r="E230" t="s">
        <v>592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300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94</v>
      </c>
      <c r="D231" t="s">
        <v>380</v>
      </c>
      <c r="E231" t="s">
        <v>593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300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95</v>
      </c>
      <c r="D232" t="s">
        <v>382</v>
      </c>
      <c r="E232" t="s">
        <v>594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301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384</v>
      </c>
      <c r="E233" t="s">
        <v>595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300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386</v>
      </c>
      <c r="E234" t="s">
        <v>596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300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388</v>
      </c>
      <c r="E235" t="s">
        <v>597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390</v>
      </c>
      <c r="E236" t="s">
        <v>598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300</v>
      </c>
      <c r="DJ236" s="93">
        <v>46539</v>
      </c>
      <c r="DK236" s="91">
        <v>0.04</v>
      </c>
      <c r="DL236" t="s">
        <v>301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392</v>
      </c>
      <c r="E237" t="s">
        <v>599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394</v>
      </c>
      <c r="E238" t="s">
        <v>600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396</v>
      </c>
      <c r="E239" t="s">
        <v>601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301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398</v>
      </c>
      <c r="E240" t="s">
        <v>602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300</v>
      </c>
      <c r="DJ240" s="93">
        <v>46661</v>
      </c>
      <c r="DK240" s="91">
        <v>0.04</v>
      </c>
      <c r="DL240" t="s">
        <v>301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400</v>
      </c>
      <c r="E241" t="s">
        <v>603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402</v>
      </c>
      <c r="DJ241" s="93">
        <v>46478</v>
      </c>
      <c r="DK241" s="91">
        <v>0.04</v>
      </c>
      <c r="DL241" t="s">
        <v>301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403</v>
      </c>
      <c r="E242" t="s">
        <v>604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300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405</v>
      </c>
      <c r="E243" t="s">
        <v>605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300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407</v>
      </c>
      <c r="E244" t="s">
        <v>606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301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409</v>
      </c>
      <c r="E245" t="s">
        <v>607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300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84</v>
      </c>
      <c r="D246" t="s">
        <v>411</v>
      </c>
      <c r="E246" t="s">
        <v>608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300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86</v>
      </c>
      <c r="D247" t="s">
        <v>413</v>
      </c>
      <c r="E247" t="s">
        <v>609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88</v>
      </c>
      <c r="D248" t="s">
        <v>415</v>
      </c>
      <c r="E248" t="s">
        <v>610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300</v>
      </c>
      <c r="DJ248" s="93">
        <v>46600</v>
      </c>
      <c r="DK248" s="91">
        <v>0.04</v>
      </c>
      <c r="DL248" t="s">
        <v>301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90</v>
      </c>
      <c r="D249" t="s">
        <v>417</v>
      </c>
      <c r="E249" t="s">
        <v>611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300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91</v>
      </c>
      <c r="D250" t="s">
        <v>419</v>
      </c>
      <c r="E250" t="s">
        <v>612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93</v>
      </c>
      <c r="D251" t="s">
        <v>421</v>
      </c>
      <c r="E251" t="s">
        <v>613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300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94</v>
      </c>
      <c r="D252" t="s">
        <v>423</v>
      </c>
      <c r="E252" t="s">
        <v>614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300</v>
      </c>
      <c r="DJ252" s="93">
        <v>46419</v>
      </c>
      <c r="DK252" s="91">
        <v>0.04</v>
      </c>
      <c r="DL252" t="s">
        <v>301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95</v>
      </c>
      <c r="D253" t="s">
        <v>425</v>
      </c>
      <c r="E253" t="s">
        <v>615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298</v>
      </c>
      <c r="E254" t="s">
        <v>616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300</v>
      </c>
      <c r="DJ254" s="93">
        <v>46204</v>
      </c>
      <c r="DK254" s="91">
        <v>0.06</v>
      </c>
      <c r="DL254" t="s">
        <v>300</v>
      </c>
      <c r="DM254" s="93">
        <v>46478</v>
      </c>
      <c r="DN254" s="91">
        <v>0.05</v>
      </c>
      <c r="DO254" t="s">
        <v>301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302</v>
      </c>
      <c r="E255" t="s">
        <v>617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300</v>
      </c>
      <c r="DJ255" s="93">
        <v>46419</v>
      </c>
      <c r="DK255" s="91">
        <v>0.04</v>
      </c>
      <c r="DL255" t="s">
        <v>301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304</v>
      </c>
      <c r="E256" t="s">
        <v>618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306</v>
      </c>
      <c r="E257" t="s">
        <v>619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300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308</v>
      </c>
      <c r="E258" t="s">
        <v>620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300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310</v>
      </c>
      <c r="E259" t="s">
        <v>621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300</v>
      </c>
      <c r="DJ259" s="93">
        <v>46539</v>
      </c>
      <c r="DK259" s="91">
        <v>0.04</v>
      </c>
      <c r="DL259" t="s">
        <v>301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312</v>
      </c>
      <c r="E260" t="s">
        <v>622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300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314</v>
      </c>
      <c r="E261" t="s">
        <v>623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300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316</v>
      </c>
      <c r="E262" t="s">
        <v>624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318</v>
      </c>
      <c r="E263" t="s">
        <v>625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300</v>
      </c>
      <c r="DJ263" s="93">
        <v>46661</v>
      </c>
      <c r="DK263" s="91">
        <v>0.04</v>
      </c>
      <c r="DL263" t="s">
        <v>301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320</v>
      </c>
      <c r="E264" t="s">
        <v>626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300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322</v>
      </c>
      <c r="E265" t="s">
        <v>627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324</v>
      </c>
      <c r="E266" t="s">
        <v>628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300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84</v>
      </c>
      <c r="D267" t="s">
        <v>326</v>
      </c>
      <c r="E267" t="s">
        <v>629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300</v>
      </c>
      <c r="DJ267" s="93">
        <v>46478</v>
      </c>
      <c r="DK267" s="91">
        <v>0.04</v>
      </c>
      <c r="DL267" t="s">
        <v>301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86</v>
      </c>
      <c r="D268" t="s">
        <v>328</v>
      </c>
      <c r="E268" t="s">
        <v>630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88</v>
      </c>
      <c r="D269" t="s">
        <v>330</v>
      </c>
      <c r="E269" t="s">
        <v>631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300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90</v>
      </c>
      <c r="D270" t="s">
        <v>332</v>
      </c>
      <c r="E270" t="s">
        <v>632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300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91</v>
      </c>
      <c r="D271" t="s">
        <v>334</v>
      </c>
      <c r="E271" t="s">
        <v>633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301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93</v>
      </c>
      <c r="D272" t="s">
        <v>336</v>
      </c>
      <c r="E272" t="s">
        <v>634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300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94</v>
      </c>
      <c r="D273" t="s">
        <v>338</v>
      </c>
      <c r="E273" t="s">
        <v>635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300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95</v>
      </c>
      <c r="D274" t="s">
        <v>340</v>
      </c>
      <c r="E274" t="s">
        <v>636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342</v>
      </c>
      <c r="E275" t="s">
        <v>637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300</v>
      </c>
      <c r="DJ275" s="93">
        <v>46419</v>
      </c>
      <c r="DK275" s="91">
        <v>0.04</v>
      </c>
      <c r="DL275" t="s">
        <v>301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344</v>
      </c>
      <c r="E276" t="s">
        <v>638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300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346</v>
      </c>
      <c r="E277" t="s">
        <v>639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300</v>
      </c>
      <c r="DJ277" s="93">
        <v>46522</v>
      </c>
      <c r="DK277" s="91">
        <v>0.03</v>
      </c>
      <c r="DL277" t="s">
        <v>301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348</v>
      </c>
      <c r="E278" t="s">
        <v>640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300</v>
      </c>
      <c r="DJ278" s="93">
        <v>46447</v>
      </c>
      <c r="DK278" s="91">
        <v>4.8000000000000001E-2</v>
      </c>
      <c r="DL278" t="s">
        <v>301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350</v>
      </c>
      <c r="E279" t="s">
        <v>641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300</v>
      </c>
      <c r="DJ279" s="93">
        <v>46539</v>
      </c>
      <c r="DK279" s="91">
        <v>0.04</v>
      </c>
      <c r="DL279" t="s">
        <v>301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352</v>
      </c>
      <c r="E280" t="s">
        <v>642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354</v>
      </c>
      <c r="E281" t="s">
        <v>643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300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356</v>
      </c>
      <c r="E282" t="s">
        <v>644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300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358</v>
      </c>
      <c r="E283" t="s">
        <v>645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301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360</v>
      </c>
      <c r="E284" t="s">
        <v>646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300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362</v>
      </c>
      <c r="E285" t="s">
        <v>647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300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364</v>
      </c>
      <c r="E286" t="s">
        <v>648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366</v>
      </c>
      <c r="E287" t="s">
        <v>649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300</v>
      </c>
      <c r="DJ287" s="93">
        <v>46478</v>
      </c>
      <c r="DK287" s="91">
        <v>0.04</v>
      </c>
      <c r="DL287" t="s">
        <v>301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84</v>
      </c>
      <c r="D288" t="s">
        <v>368</v>
      </c>
      <c r="E288" t="s">
        <v>650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300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86</v>
      </c>
      <c r="D289" t="s">
        <v>370</v>
      </c>
      <c r="E289" t="s">
        <v>651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88</v>
      </c>
      <c r="D290" t="s">
        <v>372</v>
      </c>
      <c r="E290" t="s">
        <v>652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300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90</v>
      </c>
      <c r="D291" t="s">
        <v>374</v>
      </c>
      <c r="E291" t="s">
        <v>653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300</v>
      </c>
      <c r="DJ291" s="93">
        <v>46600</v>
      </c>
      <c r="DK291" s="91">
        <v>0.04</v>
      </c>
      <c r="DL291" t="s">
        <v>301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91</v>
      </c>
      <c r="D292" t="s">
        <v>376</v>
      </c>
      <c r="E292" t="s">
        <v>654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93</v>
      </c>
      <c r="D293" t="s">
        <v>378</v>
      </c>
      <c r="E293" t="s">
        <v>655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300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94</v>
      </c>
      <c r="D294" t="s">
        <v>380</v>
      </c>
      <c r="E294" t="s">
        <v>656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300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95</v>
      </c>
      <c r="D295" t="s">
        <v>382</v>
      </c>
      <c r="E295" t="s">
        <v>657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301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384</v>
      </c>
      <c r="E296" t="s">
        <v>658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300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386</v>
      </c>
      <c r="E297" t="s">
        <v>659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300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388</v>
      </c>
      <c r="E298" t="s">
        <v>660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390</v>
      </c>
      <c r="E299" t="s">
        <v>661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300</v>
      </c>
      <c r="DJ299" s="93">
        <v>46539</v>
      </c>
      <c r="DK299" s="91">
        <v>0.04</v>
      </c>
      <c r="DL299" t="s">
        <v>301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392</v>
      </c>
      <c r="E300" t="s">
        <v>662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394</v>
      </c>
      <c r="E301" t="s">
        <v>663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396</v>
      </c>
      <c r="E302" t="s">
        <v>664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301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398</v>
      </c>
      <c r="E303" t="s">
        <v>665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300</v>
      </c>
      <c r="DJ303" s="93">
        <v>46661</v>
      </c>
      <c r="DK303" s="91">
        <v>0.04</v>
      </c>
      <c r="DL303" t="s">
        <v>301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400</v>
      </c>
      <c r="E304" t="s">
        <v>666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402</v>
      </c>
      <c r="DJ304" s="93">
        <v>46478</v>
      </c>
      <c r="DK304" s="91">
        <v>0.04</v>
      </c>
      <c r="DL304" t="s">
        <v>301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403</v>
      </c>
      <c r="E305" t="s">
        <v>667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300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405</v>
      </c>
      <c r="E306" t="s">
        <v>668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300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407</v>
      </c>
      <c r="E307" t="s">
        <v>669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301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409</v>
      </c>
      <c r="E308" t="s">
        <v>670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300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84</v>
      </c>
      <c r="D309" t="s">
        <v>411</v>
      </c>
      <c r="E309" t="s">
        <v>671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300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86</v>
      </c>
      <c r="D310" t="s">
        <v>413</v>
      </c>
      <c r="E310" t="s">
        <v>672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88</v>
      </c>
      <c r="D311" t="s">
        <v>415</v>
      </c>
      <c r="E311" t="s">
        <v>673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300</v>
      </c>
      <c r="DJ311" s="93">
        <v>46600</v>
      </c>
      <c r="DK311" s="91">
        <v>0.04</v>
      </c>
      <c r="DL311" t="s">
        <v>301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90</v>
      </c>
      <c r="D312" t="s">
        <v>417</v>
      </c>
      <c r="E312" t="s">
        <v>674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300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91</v>
      </c>
      <c r="D313" t="s">
        <v>419</v>
      </c>
      <c r="E313" t="s">
        <v>675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93</v>
      </c>
      <c r="D314" t="s">
        <v>421</v>
      </c>
      <c r="E314" t="s">
        <v>676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300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94</v>
      </c>
      <c r="D315" t="s">
        <v>423</v>
      </c>
      <c r="E315" t="s">
        <v>677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300</v>
      </c>
      <c r="DJ315" s="93">
        <v>46419</v>
      </c>
      <c r="DK315" s="91">
        <v>0.04</v>
      </c>
      <c r="DL315" t="s">
        <v>301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95</v>
      </c>
      <c r="D316" t="s">
        <v>425</v>
      </c>
      <c r="E316" t="s">
        <v>678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298</v>
      </c>
      <c r="E317" t="s">
        <v>679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300</v>
      </c>
      <c r="DJ317" s="93">
        <v>46204</v>
      </c>
      <c r="DK317" s="91">
        <v>0.06</v>
      </c>
      <c r="DL317" t="s">
        <v>300</v>
      </c>
      <c r="DM317" s="93">
        <v>46478</v>
      </c>
      <c r="DN317" s="91">
        <v>0.05</v>
      </c>
      <c r="DO317" t="s">
        <v>301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302</v>
      </c>
      <c r="E318" t="s">
        <v>680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300</v>
      </c>
      <c r="DJ318" s="93">
        <v>46419</v>
      </c>
      <c r="DK318" s="91">
        <v>0.04</v>
      </c>
      <c r="DL318" t="s">
        <v>301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304</v>
      </c>
      <c r="E319" t="s">
        <v>681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306</v>
      </c>
      <c r="E320" t="s">
        <v>682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300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308</v>
      </c>
      <c r="E321" t="s">
        <v>683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300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310</v>
      </c>
      <c r="E322" t="s">
        <v>684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300</v>
      </c>
      <c r="DJ322" s="93">
        <v>46539</v>
      </c>
      <c r="DK322" s="91">
        <v>0.04</v>
      </c>
      <c r="DL322" t="s">
        <v>301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312</v>
      </c>
      <c r="E323" t="s">
        <v>685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300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314</v>
      </c>
      <c r="E324" t="s">
        <v>686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300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316</v>
      </c>
      <c r="E325" t="s">
        <v>687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318</v>
      </c>
      <c r="E326" t="s">
        <v>688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300</v>
      </c>
      <c r="DJ326" s="93">
        <v>46661</v>
      </c>
      <c r="DK326" s="91">
        <v>0.04</v>
      </c>
      <c r="DL326" t="s">
        <v>301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320</v>
      </c>
      <c r="E327" t="s">
        <v>689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300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322</v>
      </c>
      <c r="E328" t="s">
        <v>690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324</v>
      </c>
      <c r="E329" t="s">
        <v>691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300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84</v>
      </c>
      <c r="D330" t="s">
        <v>326</v>
      </c>
      <c r="E330" t="s">
        <v>692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300</v>
      </c>
      <c r="DJ330" s="93">
        <v>46478</v>
      </c>
      <c r="DK330" s="91">
        <v>0.04</v>
      </c>
      <c r="DL330" t="s">
        <v>301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86</v>
      </c>
      <c r="D331" t="s">
        <v>328</v>
      </c>
      <c r="E331" t="s">
        <v>693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88</v>
      </c>
      <c r="D332" t="s">
        <v>330</v>
      </c>
      <c r="E332" t="s">
        <v>694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300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90</v>
      </c>
      <c r="D333" t="s">
        <v>332</v>
      </c>
      <c r="E333" t="s">
        <v>695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300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91</v>
      </c>
      <c r="D334" t="s">
        <v>334</v>
      </c>
      <c r="E334" t="s">
        <v>696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301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93</v>
      </c>
      <c r="D335" t="s">
        <v>336</v>
      </c>
      <c r="E335" t="s">
        <v>697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300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94</v>
      </c>
      <c r="D336" t="s">
        <v>338</v>
      </c>
      <c r="E336" t="s">
        <v>698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300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95</v>
      </c>
      <c r="D337" t="s">
        <v>340</v>
      </c>
      <c r="E337" t="s">
        <v>699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342</v>
      </c>
      <c r="E338" t="s">
        <v>700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300</v>
      </c>
      <c r="DJ338" s="93">
        <v>46419</v>
      </c>
      <c r="DK338" s="91">
        <v>0.04</v>
      </c>
      <c r="DL338" t="s">
        <v>301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344</v>
      </c>
      <c r="E339" t="s">
        <v>701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300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346</v>
      </c>
      <c r="E340" t="s">
        <v>702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300</v>
      </c>
      <c r="DJ340" s="93">
        <v>46522</v>
      </c>
      <c r="DK340" s="91">
        <v>0.03</v>
      </c>
      <c r="DL340" t="s">
        <v>301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348</v>
      </c>
      <c r="E341" t="s">
        <v>703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300</v>
      </c>
      <c r="DJ341" s="93">
        <v>46447</v>
      </c>
      <c r="DK341" s="91">
        <v>4.8000000000000001E-2</v>
      </c>
      <c r="DL341" t="s">
        <v>301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350</v>
      </c>
      <c r="E342" t="s">
        <v>704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300</v>
      </c>
      <c r="DJ342" s="93">
        <v>46539</v>
      </c>
      <c r="DK342" s="91">
        <v>0.04</v>
      </c>
      <c r="DL342" t="s">
        <v>301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352</v>
      </c>
      <c r="E343" t="s">
        <v>705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354</v>
      </c>
      <c r="E344" t="s">
        <v>706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300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356</v>
      </c>
      <c r="E345" t="s">
        <v>707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300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358</v>
      </c>
      <c r="E346" t="s">
        <v>708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301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360</v>
      </c>
      <c r="E347" t="s">
        <v>709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300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362</v>
      </c>
      <c r="E348" t="s">
        <v>710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300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364</v>
      </c>
      <c r="E349" t="s">
        <v>711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366</v>
      </c>
      <c r="E350" t="s">
        <v>712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300</v>
      </c>
      <c r="DJ350" s="93">
        <v>46478</v>
      </c>
      <c r="DK350" s="91">
        <v>0.04</v>
      </c>
      <c r="DL350" t="s">
        <v>301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84</v>
      </c>
      <c r="D351" t="s">
        <v>368</v>
      </c>
      <c r="E351" t="s">
        <v>713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300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86</v>
      </c>
      <c r="D352" t="s">
        <v>370</v>
      </c>
      <c r="E352" t="s">
        <v>714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88</v>
      </c>
      <c r="D353" t="s">
        <v>372</v>
      </c>
      <c r="E353" t="s">
        <v>715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300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90</v>
      </c>
      <c r="D354" t="s">
        <v>374</v>
      </c>
      <c r="E354" t="s">
        <v>716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300</v>
      </c>
      <c r="DJ354" s="93">
        <v>46600</v>
      </c>
      <c r="DK354" s="91">
        <v>0.04</v>
      </c>
      <c r="DL354" t="s">
        <v>301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91</v>
      </c>
      <c r="D355" t="s">
        <v>376</v>
      </c>
      <c r="E355" t="s">
        <v>717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93</v>
      </c>
      <c r="D356" t="s">
        <v>378</v>
      </c>
      <c r="E356" t="s">
        <v>718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300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94</v>
      </c>
      <c r="D357" t="s">
        <v>380</v>
      </c>
      <c r="E357" t="s">
        <v>719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300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95</v>
      </c>
      <c r="D358" t="s">
        <v>382</v>
      </c>
      <c r="E358" t="s">
        <v>720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301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384</v>
      </c>
      <c r="E359" t="s">
        <v>721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300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386</v>
      </c>
      <c r="E360" t="s">
        <v>722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300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388</v>
      </c>
      <c r="E361" t="s">
        <v>723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390</v>
      </c>
      <c r="E362" t="s">
        <v>724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300</v>
      </c>
      <c r="DJ362" s="93">
        <v>46539</v>
      </c>
      <c r="DK362" s="91">
        <v>0.04</v>
      </c>
      <c r="DL362" t="s">
        <v>301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392</v>
      </c>
      <c r="E363" t="s">
        <v>725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394</v>
      </c>
      <c r="E364" t="s">
        <v>726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396</v>
      </c>
      <c r="E365" t="s">
        <v>727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301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398</v>
      </c>
      <c r="E366" t="s">
        <v>728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300</v>
      </c>
      <c r="DJ366" s="93">
        <v>46661</v>
      </c>
      <c r="DK366" s="91">
        <v>0.04</v>
      </c>
      <c r="DL366" t="s">
        <v>301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400</v>
      </c>
      <c r="E367" t="s">
        <v>729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402</v>
      </c>
      <c r="DJ367" s="93">
        <v>46478</v>
      </c>
      <c r="DK367" s="91">
        <v>0.04</v>
      </c>
      <c r="DL367" t="s">
        <v>301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403</v>
      </c>
      <c r="E368" t="s">
        <v>730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300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405</v>
      </c>
      <c r="E369" t="s">
        <v>731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300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407</v>
      </c>
      <c r="E370" t="s">
        <v>732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301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409</v>
      </c>
      <c r="E371" t="s">
        <v>733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300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84</v>
      </c>
      <c r="D372" t="s">
        <v>411</v>
      </c>
      <c r="E372" t="s">
        <v>734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300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86</v>
      </c>
      <c r="D373" t="s">
        <v>413</v>
      </c>
      <c r="E373" t="s">
        <v>735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88</v>
      </c>
      <c r="D374" t="s">
        <v>415</v>
      </c>
      <c r="E374" t="s">
        <v>736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300</v>
      </c>
      <c r="DJ374" s="93">
        <v>46600</v>
      </c>
      <c r="DK374" s="91">
        <v>0.04</v>
      </c>
      <c r="DL374" t="s">
        <v>301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90</v>
      </c>
      <c r="D375" t="s">
        <v>417</v>
      </c>
      <c r="E375" t="s">
        <v>737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300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91</v>
      </c>
      <c r="D376" t="s">
        <v>419</v>
      </c>
      <c r="E376" t="s">
        <v>738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93</v>
      </c>
      <c r="D377" t="s">
        <v>421</v>
      </c>
      <c r="E377" t="s">
        <v>739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300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94</v>
      </c>
      <c r="D378" t="s">
        <v>423</v>
      </c>
      <c r="E378" t="s">
        <v>740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300</v>
      </c>
      <c r="DJ378" s="93">
        <v>46419</v>
      </c>
      <c r="DK378" s="91">
        <v>0.04</v>
      </c>
      <c r="DL378" t="s">
        <v>301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95</v>
      </c>
      <c r="D379" t="s">
        <v>425</v>
      </c>
      <c r="E379" t="s">
        <v>741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2026-08-02T23:08:16Z</dcterms:created>
  <dcterms:modified xsi:type="dcterms:W3CDTF">2026-08-02T23:09:23Z</dcterms:modified>
</cp:coreProperties>
</file>