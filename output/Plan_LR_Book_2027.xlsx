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2EAFDD79-4B1F-4DE6-9BCA-B26004BEBDF8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D8" i="7"/>
  <c r="D7" i="7"/>
  <c r="E6" i="7"/>
  <c r="D6" i="7"/>
  <c r="L3" i="7"/>
  <c r="J3" i="7"/>
  <c r="H3" i="7"/>
  <c r="A83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G7" i="7" s="1"/>
  <c r="D9" i="2"/>
  <c r="D8" i="2"/>
  <c r="D9" i="7" s="1"/>
  <c r="D7" i="2"/>
  <c r="M3" i="2"/>
  <c r="K3" i="2"/>
  <c r="I3" i="2"/>
  <c r="G3" i="2"/>
  <c r="E3" i="2"/>
  <c r="C3" i="2"/>
  <c r="B16" i="1"/>
  <c r="B15" i="1"/>
  <c r="B14" i="1"/>
  <c r="B13" i="1"/>
  <c r="B12" i="1"/>
  <c r="B11" i="1"/>
  <c r="G13" i="7" l="1"/>
  <c r="G12" i="7"/>
  <c r="G11" i="7"/>
  <c r="G8" i="7"/>
  <c r="G6" i="7"/>
  <c r="D10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AF27" i="3"/>
  <c r="AA27" i="3"/>
  <c r="O28" i="3"/>
  <c r="AC27" i="3"/>
  <c r="AE27" i="3"/>
  <c r="H28" i="3"/>
  <c r="G28" i="3"/>
  <c r="AI27" i="3"/>
  <c r="AH27" i="3"/>
  <c r="C28" i="3"/>
  <c r="M28" i="3"/>
  <c r="J28" i="3"/>
  <c r="AG27" i="3"/>
  <c r="N28" i="3"/>
  <c r="I28" i="3"/>
  <c r="B28" i="3"/>
  <c r="AD27" i="3"/>
  <c r="K28" i="3"/>
  <c r="F28" i="3"/>
  <c r="L28" i="3"/>
  <c r="E28" i="3"/>
  <c r="D28" i="3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H8" i="5"/>
  <c r="G8" i="5"/>
  <c r="E8" i="5"/>
  <c r="D8" i="5"/>
  <c r="C8" i="5"/>
  <c r="B8" i="5"/>
  <c r="K7" i="5"/>
  <c r="I7" i="5"/>
  <c r="H7" i="5"/>
  <c r="F8" i="5"/>
  <c r="F7" i="5"/>
  <c r="E7" i="5"/>
  <c r="D7" i="5"/>
  <c r="C7" i="5"/>
  <c r="B7" i="5"/>
  <c r="D11" i="5"/>
  <c r="C11" i="5"/>
  <c r="B11" i="5"/>
  <c r="G7" i="5"/>
  <c r="K10" i="5"/>
  <c r="K13" i="5"/>
  <c r="I13" i="5"/>
  <c r="H13" i="5"/>
  <c r="G13" i="5"/>
  <c r="F13" i="5"/>
  <c r="E13" i="5"/>
  <c r="D13" i="5"/>
  <c r="C13" i="5"/>
  <c r="B13" i="5"/>
  <c r="I12" i="5"/>
  <c r="H12" i="5"/>
  <c r="G12" i="5"/>
  <c r="F12" i="5"/>
  <c r="E12" i="5"/>
  <c r="D12" i="5"/>
  <c r="C12" i="5"/>
  <c r="K12" i="5"/>
  <c r="K11" i="5"/>
  <c r="I11" i="5"/>
  <c r="H11" i="5"/>
  <c r="G11" i="5"/>
  <c r="F11" i="5"/>
  <c r="E11" i="5"/>
  <c r="I10" i="5"/>
  <c r="J10" i="5" s="1"/>
  <c r="B12" i="5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AH30" i="3"/>
  <c r="AF30" i="3"/>
  <c r="AE30" i="3"/>
  <c r="AD30" i="3"/>
  <c r="AC30" i="3"/>
  <c r="AA30" i="3"/>
  <c r="Z30" i="3"/>
  <c r="Y30" i="3"/>
  <c r="X30" i="3"/>
  <c r="W30" i="3"/>
  <c r="V30" i="3"/>
  <c r="U30" i="3"/>
  <c r="T30" i="3"/>
  <c r="S30" i="3"/>
  <c r="R30" i="3"/>
  <c r="E30" i="3"/>
  <c r="D30" i="3"/>
  <c r="C30" i="3"/>
  <c r="B30" i="3"/>
  <c r="AI28" i="3"/>
  <c r="AH28" i="3"/>
  <c r="AG28" i="3"/>
  <c r="AF28" i="3"/>
  <c r="AE28" i="3"/>
  <c r="AD28" i="3"/>
  <c r="AC28" i="3"/>
  <c r="AA28" i="3"/>
  <c r="Z28" i="3"/>
  <c r="Y28" i="3"/>
  <c r="X28" i="3"/>
  <c r="W28" i="3"/>
  <c r="V28" i="3"/>
  <c r="U28" i="3"/>
  <c r="T28" i="3"/>
  <c r="S28" i="3"/>
  <c r="R28" i="3"/>
  <c r="Q28" i="3"/>
  <c r="P28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F53" i="6"/>
  <c r="Y17" i="3"/>
  <c r="X17" i="3"/>
  <c r="W17" i="3"/>
  <c r="V17" i="3"/>
  <c r="U17" i="3"/>
  <c r="T17" i="3"/>
  <c r="S17" i="3"/>
  <c r="R17" i="3"/>
  <c r="Q17" i="3"/>
  <c r="Z11" i="3"/>
  <c r="W11" i="3"/>
  <c r="U11" i="3"/>
  <c r="S11" i="3"/>
  <c r="Q11" i="3"/>
  <c r="O11" i="3"/>
  <c r="N11" i="3"/>
  <c r="L11" i="3"/>
  <c r="J11" i="3"/>
  <c r="I11" i="3"/>
  <c r="G11" i="3"/>
  <c r="F11" i="3"/>
  <c r="D11" i="3"/>
  <c r="B11" i="3"/>
  <c r="AI10" i="3"/>
  <c r="AG10" i="3"/>
  <c r="AE10" i="3"/>
  <c r="AC10" i="3"/>
  <c r="AA10" i="3"/>
  <c r="Y10" i="3"/>
  <c r="W10" i="3"/>
  <c r="V10" i="3"/>
  <c r="T10" i="3"/>
  <c r="S10" i="3"/>
  <c r="Q10" i="3"/>
  <c r="O10" i="3"/>
  <c r="N10" i="3"/>
  <c r="L10" i="3"/>
  <c r="J10" i="3"/>
  <c r="H10" i="3"/>
  <c r="G10" i="3"/>
  <c r="E10" i="3"/>
  <c r="C10" i="3"/>
  <c r="AI9" i="3"/>
  <c r="AH9" i="3"/>
  <c r="AF9" i="3"/>
  <c r="AE9" i="3"/>
  <c r="AC9" i="3"/>
  <c r="AA9" i="3"/>
  <c r="Y9" i="3"/>
  <c r="X9" i="3"/>
  <c r="V9" i="3"/>
  <c r="U9" i="3"/>
  <c r="S9" i="3"/>
  <c r="Q9" i="3"/>
  <c r="P9" i="3"/>
  <c r="O9" i="3"/>
  <c r="M9" i="3"/>
  <c r="L9" i="3"/>
  <c r="J9" i="3"/>
  <c r="H9" i="3"/>
  <c r="F9" i="3"/>
  <c r="D9" i="3"/>
  <c r="B9" i="3"/>
  <c r="AH8" i="3"/>
  <c r="AG8" i="3"/>
  <c r="AE8" i="3"/>
  <c r="AC8" i="3"/>
  <c r="AA8" i="3"/>
  <c r="Z8" i="3"/>
  <c r="X8" i="3"/>
  <c r="V8" i="3"/>
  <c r="T8" i="3"/>
  <c r="S8" i="3"/>
  <c r="Q8" i="3"/>
  <c r="O8" i="3"/>
  <c r="N8" i="3"/>
  <c r="L8" i="3"/>
  <c r="J8" i="3"/>
  <c r="I8" i="3"/>
  <c r="G8" i="3"/>
  <c r="E8" i="3"/>
  <c r="C8" i="3"/>
  <c r="E53" i="6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Z17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A12" i="3"/>
  <c r="AB12" i="3" s="1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Y11" i="3"/>
  <c r="X11" i="3"/>
  <c r="V11" i="3"/>
  <c r="T11" i="3"/>
  <c r="R11" i="3"/>
  <c r="P11" i="3"/>
  <c r="M11" i="3"/>
  <c r="K11" i="3"/>
  <c r="H11" i="3"/>
  <c r="E11" i="3"/>
  <c r="C11" i="3"/>
  <c r="AH10" i="3"/>
  <c r="AF10" i="3"/>
  <c r="AD10" i="3"/>
  <c r="Z10" i="3"/>
  <c r="X10" i="3"/>
  <c r="U10" i="3"/>
  <c r="R10" i="3"/>
  <c r="P10" i="3"/>
  <c r="M10" i="3"/>
  <c r="K10" i="3"/>
  <c r="I10" i="3"/>
  <c r="F10" i="3"/>
  <c r="D10" i="3"/>
  <c r="B10" i="3"/>
  <c r="AG9" i="3"/>
  <c r="AD9" i="3"/>
  <c r="Z9" i="3"/>
  <c r="W9" i="3"/>
  <c r="T9" i="3"/>
  <c r="R9" i="3"/>
  <c r="N9" i="3"/>
  <c r="K9" i="3"/>
  <c r="I9" i="3"/>
  <c r="G9" i="3"/>
  <c r="E9" i="3"/>
  <c r="C9" i="3"/>
  <c r="AI8" i="3"/>
  <c r="AF8" i="3"/>
  <c r="AD8" i="3"/>
  <c r="Y8" i="3"/>
  <c r="W8" i="3"/>
  <c r="AB8" i="3" s="1"/>
  <c r="U8" i="3"/>
  <c r="R8" i="3"/>
  <c r="P8" i="3"/>
  <c r="M8" i="3"/>
  <c r="K8" i="3"/>
  <c r="H8" i="3"/>
  <c r="F8" i="3"/>
  <c r="D8" i="3"/>
  <c r="B8" i="3"/>
  <c r="K13" i="2"/>
  <c r="I13" i="2"/>
  <c r="G13" i="2"/>
  <c r="E13" i="2"/>
  <c r="C13" i="2"/>
  <c r="A13" i="2"/>
  <c r="AG14" i="3"/>
  <c r="J12" i="5" l="1"/>
  <c r="J11" i="5"/>
  <c r="AB13" i="3"/>
  <c r="AB11" i="3"/>
  <c r="J36" i="5"/>
  <c r="J49" i="5"/>
  <c r="J9" i="5"/>
  <c r="J8" i="5"/>
  <c r="J7" i="5"/>
  <c r="J22" i="5"/>
  <c r="J21" i="5"/>
  <c r="AB28" i="3"/>
  <c r="AB27" i="3"/>
  <c r="AB26" i="3"/>
  <c r="AB25" i="3"/>
  <c r="AB24" i="3"/>
  <c r="AB23" i="3"/>
  <c r="AB21" i="3"/>
  <c r="AB22" i="3"/>
  <c r="AB20" i="3"/>
  <c r="AB19" i="3"/>
  <c r="AB18" i="3"/>
  <c r="AB17" i="3"/>
  <c r="AB10" i="3"/>
  <c r="AB9" i="3"/>
  <c r="AI16" i="3"/>
  <c r="AB16" i="3"/>
  <c r="AB14" i="3"/>
  <c r="AB15" i="3"/>
  <c r="J13" i="5"/>
  <c r="E9" i="7"/>
  <c r="G9" i="7" s="1"/>
  <c r="AB30" i="3"/>
  <c r="AI30" i="3"/>
  <c r="E10" i="7"/>
  <c r="G10" i="7" s="1"/>
  <c r="A50" i="5"/>
  <c r="A23" i="5"/>
  <c r="A14" i="5"/>
  <c r="C3" i="7" l="1"/>
</calcChain>
</file>

<file path=xl/sharedStrings.xml><?xml version="1.0" encoding="utf-8"?>
<sst xmlns="http://schemas.openxmlformats.org/spreadsheetml/2006/main" count="2787" uniqueCount="737">
  <si>
    <t>The Book — 2027 plan, every line of business</t>
  </si>
  <si>
    <t>Harvested 2026-08-01 18:51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</si>
  <si>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</si>
  <si>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</si>
  <si>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</si>
  <si>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</si>
  <si>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</si>
  <si>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</si>
  <si>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</si>
  <si>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</si>
  <si>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</si>
  <si>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</si>
  <si>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</si>
  <si>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</si>
  <si>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</si>
  <si>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</si>
  <si>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</si>
  <si>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</si>
  <si>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</si>
  <si>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</si>
  <si>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</si>
  <si>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v3.2.0, modified 2026-08-01 18:51</t>
  </si>
  <si>
    <t>General Liability</t>
  </si>
  <si>
    <t>Plan_LR_Workbook_2027_General_Liability.xlsx   —   63 combos, v3.2.0, modified 2026-08-01 18:51</t>
  </si>
  <si>
    <t>Commercial Auto</t>
  </si>
  <si>
    <t>Plan_LR_Workbook_2027_Commercial_Auto.xlsx   —   63 combos, v3.2.0, modified 2026-08-01 18:51</t>
  </si>
  <si>
    <t>Workers Comp</t>
  </si>
  <si>
    <t>Plan_LR_Workbook_2027_Workers_Comp.xlsx   —   63 combos, v3.2.0, modified 2026-08-01 18:51</t>
  </si>
  <si>
    <t>Umbrella</t>
  </si>
  <si>
    <t>Plan_LR_Workbook_2027_Umbrella.xlsx   —   63 combos, v3.2.0, modified 2026-08-01 18:51</t>
  </si>
  <si>
    <t>Inland Marine</t>
  </si>
  <si>
    <t>Plan_LR_Workbook_2027_Inland_Marine.xlsx   —   63 combos, v3.2.0, modified 2026-08-01 18:51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</si>
  <si>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</si>
  <si>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</si>
  <si>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</si>
  <si>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18:51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</si>
  <si>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</si>
  <si>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</si>
  <si>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</si>
  <si>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</si>
  <si>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</si>
  <si>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</si>
  <si>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</si>
  <si>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</si>
  <si>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</si>
  <si>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</si>
  <si>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</si>
  <si>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</si>
  <si>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</si>
  <si>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</si>
  <si>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</si>
  <si>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</si>
  <si>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</si>
  <si>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</si>
  <si>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</si>
  <si>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</si>
  <si>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</si>
  <si>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</si>
  <si>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</si>
  <si>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</si>
  <si>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</si>
  <si>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</si>
  <si>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</si>
  <si>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</si>
  <si>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</si>
  <si>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</si>
  <si>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</si>
  <si>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</si>
  <si>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</si>
  <si>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</si>
  <si>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</si>
  <si>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</si>
  <si>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2026-08-01 18:51</t>
  </si>
  <si>
    <t>3.2.0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</si>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</sst>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72</v>
      </c>
      <c r="D19" s="20" t="s">
        <v>73</v>
      </c>
      <c r="E19" s="21">
        <v>63</v>
      </c>
      <c r="V19" s="12" t="s">
        <v>76</v>
      </c>
    </row>
    <row r="20" spans="1:22" x14ac:dyDescent="0.3">
      <c r="A20" t="s">
        <v>24</v>
      </c>
      <c r="B20" s="7" t="s">
        <v>77</v>
      </c>
      <c r="C20" s="20" t="s">
        <v>72</v>
      </c>
      <c r="D20" s="20" t="s">
        <v>73</v>
      </c>
      <c r="E20" s="21">
        <v>63</v>
      </c>
      <c r="V20" s="12" t="s">
        <v>78</v>
      </c>
    </row>
    <row r="21" spans="1:22" x14ac:dyDescent="0.3">
      <c r="A21" t="s">
        <v>26</v>
      </c>
      <c r="B21" s="7" t="s">
        <v>79</v>
      </c>
      <c r="C21" s="20" t="s">
        <v>72</v>
      </c>
      <c r="D21" s="20" t="s">
        <v>73</v>
      </c>
      <c r="E21" s="21">
        <v>63</v>
      </c>
      <c r="V21" s="12" t="s">
        <v>80</v>
      </c>
    </row>
    <row r="22" spans="1:22" x14ac:dyDescent="0.3">
      <c r="A22" t="s">
        <v>28</v>
      </c>
      <c r="B22" s="7" t="s">
        <v>81</v>
      </c>
      <c r="C22" s="20" t="s">
        <v>72</v>
      </c>
      <c r="D22" s="20" t="s">
        <v>73</v>
      </c>
      <c r="E22" s="21">
        <v>63</v>
      </c>
      <c r="V22" s="12" t="s">
        <v>82</v>
      </c>
    </row>
    <row r="23" spans="1:22" x14ac:dyDescent="0.3">
      <c r="A23" t="s">
        <v>30</v>
      </c>
      <c r="B23" s="7" t="s">
        <v>83</v>
      </c>
      <c r="C23" s="20" t="s">
        <v>72</v>
      </c>
      <c r="D23" s="20" t="s">
        <v>73</v>
      </c>
      <c r="E23" s="21">
        <v>63</v>
      </c>
      <c r="V23" s="12" t="s">
        <v>84</v>
      </c>
    </row>
    <row r="24" spans="1:22" x14ac:dyDescent="0.3">
      <c r="A24" s="22" t="s">
        <v>85</v>
      </c>
      <c r="E24" s="23">
        <f>SUM($E$18:$E$23)</f>
        <v>378</v>
      </c>
      <c r="V24" s="12" t="s">
        <v>86</v>
      </c>
    </row>
    <row r="25" spans="1:22" x14ac:dyDescent="0.3">
      <c r="V25" s="12" t="s">
        <v>87</v>
      </c>
    </row>
    <row r="26" spans="1:22" x14ac:dyDescent="0.3">
      <c r="A26" s="9" t="s">
        <v>88</v>
      </c>
      <c r="V26" s="12" t="s">
        <v>89</v>
      </c>
    </row>
    <row r="27" spans="1:22" x14ac:dyDescent="0.3">
      <c r="V27" s="12" t="s">
        <v>90</v>
      </c>
    </row>
    <row r="28" spans="1:22" x14ac:dyDescent="0.3">
      <c r="V28" s="12" t="s">
        <v>91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92</v>
      </c>
    </row>
    <row r="2" spans="1:35" x14ac:dyDescent="0.3">
      <c r="A2" s="2" t="s">
        <v>93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94</v>
      </c>
      <c r="C6" s="25" t="s">
        <v>95</v>
      </c>
      <c r="D6" s="25"/>
      <c r="E6" s="25"/>
      <c r="F6" s="25" t="s">
        <v>96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97</v>
      </c>
      <c r="U6" s="25"/>
      <c r="V6" s="25"/>
      <c r="W6" s="25" t="s">
        <v>98</v>
      </c>
      <c r="X6" s="25"/>
      <c r="Y6" s="25"/>
      <c r="Z6" s="25"/>
      <c r="AA6" s="25"/>
      <c r="AB6" s="25"/>
      <c r="AC6" s="25" t="s">
        <v>99</v>
      </c>
      <c r="AD6" s="25"/>
      <c r="AE6" s="25"/>
      <c r="AF6" s="25"/>
      <c r="AG6" s="25" t="s">
        <v>100</v>
      </c>
      <c r="AH6" s="25"/>
      <c r="AI6" s="25"/>
    </row>
    <row r="7" spans="1:35" ht="42" customHeight="1" x14ac:dyDescent="0.3">
      <c r="A7" s="19" t="s">
        <v>42</v>
      </c>
      <c r="B7" s="19" t="s">
        <v>101</v>
      </c>
      <c r="C7" s="19" t="s">
        <v>102</v>
      </c>
      <c r="D7" s="19" t="s">
        <v>103</v>
      </c>
      <c r="E7" s="19" t="s">
        <v>104</v>
      </c>
      <c r="F7" s="19" t="s">
        <v>105</v>
      </c>
      <c r="G7" s="19" t="s">
        <v>106</v>
      </c>
      <c r="H7" s="19" t="s">
        <v>107</v>
      </c>
      <c r="I7" s="19" t="s">
        <v>108</v>
      </c>
      <c r="J7" s="19" t="s">
        <v>109</v>
      </c>
      <c r="K7" s="19" t="s">
        <v>107</v>
      </c>
      <c r="L7" s="19" t="s">
        <v>110</v>
      </c>
      <c r="M7" s="19" t="s">
        <v>111</v>
      </c>
      <c r="N7" s="19" t="s">
        <v>107</v>
      </c>
      <c r="O7" s="19" t="s">
        <v>112</v>
      </c>
      <c r="P7" s="19" t="s">
        <v>113</v>
      </c>
      <c r="Q7" s="19" t="s">
        <v>107</v>
      </c>
      <c r="R7" s="19" t="s">
        <v>114</v>
      </c>
      <c r="S7" s="19" t="s">
        <v>115</v>
      </c>
      <c r="T7" s="19" t="s">
        <v>116</v>
      </c>
      <c r="U7" s="19" t="s">
        <v>117</v>
      </c>
      <c r="V7" s="19" t="s">
        <v>118</v>
      </c>
      <c r="W7" s="19" t="s">
        <v>119</v>
      </c>
      <c r="X7" s="19" t="s">
        <v>120</v>
      </c>
      <c r="Y7" s="19" t="s">
        <v>121</v>
      </c>
      <c r="Z7" s="19" t="s">
        <v>122</v>
      </c>
      <c r="AA7" s="19" t="str">
        <f>"=  CY 2027 plan LR"</f>
        <v>=  CY 2027 plan LR</v>
      </c>
      <c r="AB7" s="19" t="s">
        <v>123</v>
      </c>
      <c r="AC7" s="19" t="s">
        <v>124</v>
      </c>
      <c r="AD7" s="19" t="s">
        <v>125</v>
      </c>
      <c r="AE7" s="19" t="s">
        <v>126</v>
      </c>
      <c r="AF7" s="19" t="s">
        <v>127</v>
      </c>
      <c r="AG7" s="19" t="s">
        <v>128</v>
      </c>
      <c r="AH7" s="19" t="s">
        <v>52</v>
      </c>
      <c r="AI7" s="19" t="s">
        <v>129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6">
        <f>IF(COUNTIFS(_book!$D$2:$D$379,"?*",_book!$C$2:$C$379,$A10,_book!$A$2:$A$379,bkc_lob,_book!$B$2:$B$379,bkc_bu)&lt;=1,"",($AA10-$W10*$X10*$Y10*$Z10)*100)</f>
        <v>3.2628341470108957E-3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6">
        <f>IF(COUNTIFS(_book!$D$2:$D$379,"?*",_book!$C$2:$C$379,$A14,_book!$A$2:$A$379,bkc_lob,_book!$B$2:$B$379,bkc_bu)&lt;=1,"",($AA14-$W14*$X14*$Y14*$Z14)*100)</f>
        <v>3.6494961392019576E-3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76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78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80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82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84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86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87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89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90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91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85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7">
        <f>IF($B$30=0,"",($AA30-$W30*$X30*$Y30*$Z30)*100)</f>
        <v>1.0095531567166915E-3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59">
        <f>IF($B$30=0,"",($AH30-$AA30)*100)</f>
        <v>-7.7588101148773347E-3</v>
      </c>
    </row>
    <row r="32" spans="1:35" x14ac:dyDescent="0.3">
      <c r="A32" s="9" t="s">
        <v>130</v>
      </c>
    </row>
    <row r="33" spans="1:1" x14ac:dyDescent="0.3">
      <c r="A33" s="9" t="s">
        <v>131</v>
      </c>
    </row>
    <row r="34" spans="1:1" x14ac:dyDescent="0.3">
      <c r="A34" s="9" t="s">
        <v>132</v>
      </c>
    </row>
    <row r="35" spans="1:1" x14ac:dyDescent="0.3">
      <c r="A35" s="9" t="s">
        <v>133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134</v>
      </c>
    </row>
    <row r="2" spans="1:17" x14ac:dyDescent="0.3">
      <c r="A2" s="2" t="s">
        <v>135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136</v>
      </c>
      <c r="C6" s="19" t="s">
        <v>42</v>
      </c>
      <c r="D6" s="19" t="s">
        <v>101</v>
      </c>
      <c r="E6" s="19" t="s">
        <v>137</v>
      </c>
      <c r="F6" s="19" t="s">
        <v>138</v>
      </c>
      <c r="G6" s="19" t="s">
        <v>139</v>
      </c>
      <c r="H6" s="19" t="s">
        <v>140</v>
      </c>
      <c r="I6" s="19" t="s">
        <v>141</v>
      </c>
      <c r="J6" s="19" t="s">
        <v>127</v>
      </c>
      <c r="K6" s="19" t="s">
        <v>142</v>
      </c>
      <c r="L6" s="19" t="s">
        <v>143</v>
      </c>
      <c r="M6" s="19" t="s">
        <v>144</v>
      </c>
      <c r="N6" s="19" t="s">
        <v>145</v>
      </c>
      <c r="O6" s="19" t="s">
        <v>129</v>
      </c>
      <c r="P6" s="19" t="s">
        <v>114</v>
      </c>
      <c r="Q6" s="19" t="s">
        <v>115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1.0003128930547309</v>
      </c>
      <c r="H30" s="63">
        <f>_book!$M$25</f>
        <v>1.02</v>
      </c>
      <c r="I30" s="62">
        <f>_book!$O$25</f>
        <v>0.66838038512146825</v>
      </c>
      <c r="J30" s="62">
        <f>_book!$P$25</f>
        <v>0.63512004660274513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0.66838038512146825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1.00478705287387</v>
      </c>
      <c r="H55" s="63">
        <f>_book!$M$50</f>
        <v>1</v>
      </c>
      <c r="I55" s="62">
        <f>_book!$O$50</f>
        <v>0.62176769493034711</v>
      </c>
      <c r="J55" s="62">
        <f>_book!$P$50</f>
        <v>0.60611221665959769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0.62176769493034711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0.99948650745358902</v>
      </c>
      <c r="H93" s="63">
        <f>_book!$M$88</f>
        <v>1.02</v>
      </c>
      <c r="I93" s="62">
        <f>_book!$O$88</f>
        <v>0.63738012292041735</v>
      </c>
      <c r="J93" s="62">
        <f>_book!$P$88</f>
        <v>0.60616320557222492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0.63738012292041735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1.0037425882576909</v>
      </c>
      <c r="H118" s="63">
        <f>_book!$M$113</f>
        <v>1</v>
      </c>
      <c r="I118" s="62">
        <f>_book!$O$113</f>
        <v>0.59262956837166114</v>
      </c>
      <c r="J118" s="62">
        <f>_book!$P$113</f>
        <v>0.57794892332517467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0.59262956837166114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0.99913570688790188</v>
      </c>
      <c r="H156" s="63">
        <f>_book!$M$151</f>
        <v>1.02</v>
      </c>
      <c r="I156" s="62">
        <f>_book!$O$151</f>
        <v>0.69803123143518497</v>
      </c>
      <c r="J156" s="62">
        <f>_book!$P$151</f>
        <v>0.66407688763326544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0.69803123143518497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1.0032993480379631</v>
      </c>
      <c r="H181" s="63">
        <f>_book!$M$176</f>
        <v>1</v>
      </c>
      <c r="I181" s="62">
        <f>_book!$O$176</f>
        <v>0.64932631962906395</v>
      </c>
      <c r="J181" s="62">
        <f>_book!$P$176</f>
        <v>0.63335338137876696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0.64932631962906395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0.99987657488405635</v>
      </c>
      <c r="H219" s="63">
        <f>_book!$M$214</f>
        <v>1.02</v>
      </c>
      <c r="I219" s="62">
        <f>_book!$O$214</f>
        <v>0.61732221990729674</v>
      </c>
      <c r="J219" s="62">
        <f>_book!$P$214</f>
        <v>0.58685864488521144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0.61732221990729674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1.0042355369373781</v>
      </c>
      <c r="H244" s="63">
        <f>_book!$M$239</f>
        <v>1</v>
      </c>
      <c r="I244" s="62">
        <f>_book!$O$239</f>
        <v>0.57391674919945712</v>
      </c>
      <c r="J244" s="62">
        <f>_book!$P$239</f>
        <v>0.55958940773450672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0.57391674919945712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0.99913570688790188</v>
      </c>
      <c r="H282" s="63">
        <f>_book!$M$277</f>
        <v>1.02</v>
      </c>
      <c r="I282" s="62">
        <f>_book!$O$277</f>
        <v>0.56613579526283908</v>
      </c>
      <c r="J282" s="62">
        <f>_book!$P$277</f>
        <v>0.53859724316767776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0.56613579526283908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1.0032993480379631</v>
      </c>
      <c r="H307" s="63">
        <f>_book!$M$302</f>
        <v>1</v>
      </c>
      <c r="I307" s="62">
        <f>_book!$O$302</f>
        <v>0.52591634660014819</v>
      </c>
      <c r="J307" s="62">
        <f>_book!$P$302</f>
        <v>0.51297920070736391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0.52591634660014819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0.98909806288509927</v>
      </c>
      <c r="H345" s="63">
        <f>_book!$M$340</f>
        <v>1.02</v>
      </c>
      <c r="I345" s="62">
        <f>_book!$O$340</f>
        <v>0.58655179268240099</v>
      </c>
      <c r="J345" s="62">
        <f>_book!$P$340</f>
        <v>0.56510500613678705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0.58655179268240099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0.99718789505319971</v>
      </c>
      <c r="H370" s="63">
        <f>_book!$M$365</f>
        <v>1</v>
      </c>
      <c r="I370" s="62">
        <f>_book!$O$365</f>
        <v>0.54681477062072181</v>
      </c>
      <c r="J370" s="62">
        <f>_book!$P$365</f>
        <v>0.54054244392028095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0.54681477062072181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146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147</v>
      </c>
    </row>
    <row r="2" spans="1:11" x14ac:dyDescent="0.3">
      <c r="A2" s="2" t="s">
        <v>148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149</v>
      </c>
    </row>
    <row r="6" spans="1:11" ht="28.8" x14ac:dyDescent="0.3">
      <c r="A6" s="19"/>
      <c r="B6" s="19" t="s">
        <v>69</v>
      </c>
      <c r="C6" s="19" t="s">
        <v>101</v>
      </c>
      <c r="D6" s="19" t="s">
        <v>137</v>
      </c>
      <c r="E6" s="19" t="s">
        <v>138</v>
      </c>
      <c r="F6" s="19" t="s">
        <v>139</v>
      </c>
      <c r="G6" s="19" t="s">
        <v>141</v>
      </c>
      <c r="H6" s="19" t="s">
        <v>127</v>
      </c>
      <c r="I6" s="19" t="s">
        <v>145</v>
      </c>
      <c r="J6" s="19" t="s">
        <v>129</v>
      </c>
      <c r="K6" s="19" t="s">
        <v>150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2">
        <f>IF(SUMIFS(_book!$V$2:$V$379,_book!$A$2:$A$379,$A8,_book!$B$2:$B$379,bkc_bu,_book!$C$2:$C$379,bkc_state)=0,"—",($I8-$G8)*100)</f>
        <v>-7.3896713136401004E-3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2">
        <f>IF(SUMIFS(_book!$V$2:$V$379,_book!$A$2:$A$379,$A9,_book!$B$2:$B$379,bkc_bu,_book!$C$2:$C$379,bkc_state)=0,"—",($I9-$G9)*100)</f>
        <v>-7.9992975413945011E-3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85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151</v>
      </c>
    </row>
    <row r="18" spans="1:11" ht="28.8" x14ac:dyDescent="0.3">
      <c r="A18" s="19"/>
      <c r="B18" s="19" t="s">
        <v>69</v>
      </c>
      <c r="C18" s="19" t="s">
        <v>101</v>
      </c>
      <c r="D18" s="19" t="s">
        <v>137</v>
      </c>
      <c r="E18" s="19" t="s">
        <v>138</v>
      </c>
      <c r="F18" s="19" t="s">
        <v>139</v>
      </c>
      <c r="G18" s="19" t="s">
        <v>141</v>
      </c>
      <c r="H18" s="19" t="s">
        <v>127</v>
      </c>
      <c r="I18" s="19" t="s">
        <v>145</v>
      </c>
      <c r="J18" s="19" t="s">
        <v>129</v>
      </c>
      <c r="K18" s="19" t="s">
        <v>150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85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152</v>
      </c>
    </row>
    <row r="27" spans="1:11" ht="28.8" x14ac:dyDescent="0.3">
      <c r="A27" s="19"/>
      <c r="B27" s="19" t="s">
        <v>69</v>
      </c>
      <c r="C27" s="19" t="s">
        <v>101</v>
      </c>
      <c r="D27" s="19" t="s">
        <v>137</v>
      </c>
      <c r="E27" s="19" t="s">
        <v>138</v>
      </c>
      <c r="F27" s="19" t="s">
        <v>139</v>
      </c>
      <c r="G27" s="19" t="s">
        <v>141</v>
      </c>
      <c r="H27" s="19" t="s">
        <v>127</v>
      </c>
      <c r="I27" s="19" t="s">
        <v>145</v>
      </c>
      <c r="J27" s="19" t="s">
        <v>129</v>
      </c>
      <c r="K27" s="19" t="s">
        <v>150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76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78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80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82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84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86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87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89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90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91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85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153</v>
      </c>
    </row>
    <row r="2" spans="1:13" x14ac:dyDescent="0.3">
      <c r="A2" s="2" t="s">
        <v>154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155</v>
      </c>
    </row>
    <row r="6" spans="1:13" x14ac:dyDescent="0.3">
      <c r="A6" s="9" t="s">
        <v>156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76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78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80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82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84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86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87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89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90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91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157</v>
      </c>
    </row>
    <row r="33" spans="1:13" x14ac:dyDescent="0.3">
      <c r="A33" s="9" t="s">
        <v>156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76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78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80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82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84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86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87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89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90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91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158</v>
      </c>
    </row>
    <row r="60" spans="1:13" x14ac:dyDescent="0.3">
      <c r="A60" s="9" t="s">
        <v>156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76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78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80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82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84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86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87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89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90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91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159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160</v>
      </c>
    </row>
    <row r="2" spans="1:12" x14ac:dyDescent="0.3">
      <c r="A2" s="2" t="s">
        <v>161</v>
      </c>
    </row>
    <row r="3" spans="1:12" x14ac:dyDescent="0.3">
      <c r="A3" s="10" t="s">
        <v>162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163</v>
      </c>
      <c r="B5" s="19" t="s">
        <v>164</v>
      </c>
      <c r="C5" s="19" t="s">
        <v>165</v>
      </c>
      <c r="D5" s="19" t="s">
        <v>166</v>
      </c>
      <c r="E5" s="19" t="s">
        <v>167</v>
      </c>
      <c r="F5" s="19" t="s">
        <v>168</v>
      </c>
      <c r="G5" s="19" t="s">
        <v>169</v>
      </c>
    </row>
    <row r="6" spans="1:12" x14ac:dyDescent="0.3">
      <c r="A6" s="81">
        <v>1</v>
      </c>
      <c r="B6" s="7" t="s">
        <v>170</v>
      </c>
      <c r="C6" s="82" t="s">
        <v>171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170</v>
      </c>
      <c r="C7" s="82" t="s">
        <v>172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170</v>
      </c>
      <c r="C8" s="82" t="s">
        <v>173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174</v>
      </c>
      <c r="C9" s="82" t="s">
        <v>175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174</v>
      </c>
      <c r="C10" s="82" t="s">
        <v>176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177</v>
      </c>
      <c r="C11" s="82" t="s">
        <v>178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177</v>
      </c>
      <c r="C12" s="82" t="s">
        <v>179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180</v>
      </c>
      <c r="C13" s="82" t="s">
        <v>181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182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183</v>
      </c>
      <c r="B1" s="84" t="s">
        <v>136</v>
      </c>
      <c r="C1" s="84" t="s">
        <v>42</v>
      </c>
      <c r="D1" s="84" t="s">
        <v>184</v>
      </c>
      <c r="E1" s="84" t="s">
        <v>185</v>
      </c>
      <c r="F1" s="84" t="s">
        <v>101</v>
      </c>
      <c r="G1" s="84" t="s">
        <v>186</v>
      </c>
      <c r="H1" s="84" t="s">
        <v>187</v>
      </c>
      <c r="I1" s="84" t="s">
        <v>188</v>
      </c>
      <c r="J1" s="84" t="s">
        <v>189</v>
      </c>
      <c r="K1" s="84" t="s">
        <v>190</v>
      </c>
      <c r="L1" s="84" t="s">
        <v>191</v>
      </c>
      <c r="M1" s="84" t="s">
        <v>192</v>
      </c>
      <c r="N1" s="84" t="s">
        <v>137</v>
      </c>
      <c r="O1" s="84" t="s">
        <v>193</v>
      </c>
      <c r="P1" s="84" t="s">
        <v>194</v>
      </c>
      <c r="Q1" s="84" t="s">
        <v>124</v>
      </c>
      <c r="R1" s="84" t="s">
        <v>195</v>
      </c>
      <c r="S1" s="84" t="s">
        <v>196</v>
      </c>
      <c r="T1" s="84" t="s">
        <v>142</v>
      </c>
      <c r="U1" s="84" t="s">
        <v>143</v>
      </c>
      <c r="V1" s="84" t="s">
        <v>197</v>
      </c>
      <c r="W1" s="84" t="s">
        <v>144</v>
      </c>
      <c r="X1" s="84" t="s">
        <v>198</v>
      </c>
      <c r="Y1" s="84" t="s">
        <v>145</v>
      </c>
      <c r="Z1" s="84" t="s">
        <v>199</v>
      </c>
      <c r="AA1" s="84" t="s">
        <v>129</v>
      </c>
      <c r="AB1" s="84" t="s">
        <v>200</v>
      </c>
      <c r="AC1" s="84" t="s">
        <v>114</v>
      </c>
      <c r="AD1" s="84" t="s">
        <v>115</v>
      </c>
      <c r="AE1" s="84" t="s">
        <v>201</v>
      </c>
      <c r="AF1" s="84" t="s">
        <v>202</v>
      </c>
      <c r="AG1" s="84" t="s">
        <v>203</v>
      </c>
      <c r="AH1" s="84" t="s">
        <v>204</v>
      </c>
      <c r="AI1" s="84" t="s">
        <v>205</v>
      </c>
      <c r="AJ1" s="84" t="s">
        <v>206</v>
      </c>
      <c r="AK1" s="84" t="s">
        <v>207</v>
      </c>
      <c r="AL1" s="84" t="s">
        <v>208</v>
      </c>
      <c r="AM1" s="84" t="s">
        <v>209</v>
      </c>
      <c r="AN1" s="84" t="s">
        <v>210</v>
      </c>
      <c r="AO1" s="84" t="s">
        <v>211</v>
      </c>
      <c r="AP1" s="84" t="s">
        <v>212</v>
      </c>
      <c r="AQ1" s="84" t="s">
        <v>213</v>
      </c>
      <c r="AR1" s="84" t="s">
        <v>214</v>
      </c>
      <c r="AS1" s="84" t="s">
        <v>215</v>
      </c>
      <c r="AT1" s="84" t="s">
        <v>216</v>
      </c>
      <c r="AU1" s="84" t="s">
        <v>217</v>
      </c>
      <c r="AV1" s="84" t="s">
        <v>218</v>
      </c>
      <c r="AW1" s="84" t="s">
        <v>219</v>
      </c>
      <c r="AX1" s="84" t="s">
        <v>220</v>
      </c>
      <c r="AY1" s="84" t="s">
        <v>221</v>
      </c>
      <c r="AZ1" s="84" t="s">
        <v>222</v>
      </c>
      <c r="BA1" s="84" t="s">
        <v>223</v>
      </c>
      <c r="BB1" s="84" t="s">
        <v>224</v>
      </c>
      <c r="BC1" s="84" t="s">
        <v>225</v>
      </c>
      <c r="BD1" s="84" t="s">
        <v>226</v>
      </c>
      <c r="BE1" s="84" t="s">
        <v>227</v>
      </c>
      <c r="BF1" s="84" t="s">
        <v>228</v>
      </c>
      <c r="BG1" s="84" t="s">
        <v>229</v>
      </c>
      <c r="BH1" s="84" t="s">
        <v>230</v>
      </c>
      <c r="BI1" s="84" t="s">
        <v>231</v>
      </c>
      <c r="BJ1" s="84" t="s">
        <v>232</v>
      </c>
      <c r="BK1" s="84" t="s">
        <v>233</v>
      </c>
      <c r="BL1" s="84" t="s">
        <v>234</v>
      </c>
      <c r="BM1" s="84" t="s">
        <v>235</v>
      </c>
      <c r="BN1" s="84" t="s">
        <v>236</v>
      </c>
      <c r="BO1" s="84" t="s">
        <v>237</v>
      </c>
      <c r="BP1" s="84" t="s">
        <v>238</v>
      </c>
      <c r="BQ1" s="84" t="s">
        <v>239</v>
      </c>
      <c r="BR1" s="84" t="s">
        <v>240</v>
      </c>
      <c r="BS1" s="84" t="s">
        <v>241</v>
      </c>
      <c r="BT1" s="84" t="s">
        <v>242</v>
      </c>
      <c r="BU1" s="84" t="s">
        <v>243</v>
      </c>
      <c r="BV1" s="84" t="s">
        <v>244</v>
      </c>
      <c r="BW1" s="84" t="s">
        <v>245</v>
      </c>
      <c r="BX1" s="84" t="s">
        <v>246</v>
      </c>
      <c r="BY1" s="84" t="s">
        <v>247</v>
      </c>
      <c r="BZ1" s="84" t="s">
        <v>248</v>
      </c>
      <c r="CA1" s="84" t="s">
        <v>249</v>
      </c>
      <c r="CB1" s="84" t="s">
        <v>250</v>
      </c>
      <c r="CC1" s="84" t="s">
        <v>251</v>
      </c>
      <c r="CD1" s="84" t="s">
        <v>252</v>
      </c>
      <c r="CE1" s="84" t="s">
        <v>253</v>
      </c>
      <c r="CF1" s="84" t="s">
        <v>254</v>
      </c>
      <c r="CG1" s="84" t="s">
        <v>255</v>
      </c>
      <c r="CH1" s="84" t="s">
        <v>256</v>
      </c>
      <c r="CI1" s="84" t="s">
        <v>257</v>
      </c>
      <c r="CJ1" s="84" t="s">
        <v>258</v>
      </c>
      <c r="CK1" s="84" t="s">
        <v>259</v>
      </c>
      <c r="CL1" s="84" t="s">
        <v>260</v>
      </c>
      <c r="CM1" s="84" t="s">
        <v>261</v>
      </c>
      <c r="CN1" s="84" t="s">
        <v>262</v>
      </c>
      <c r="CO1" s="84" t="s">
        <v>263</v>
      </c>
      <c r="CP1" s="84" t="s">
        <v>264</v>
      </c>
      <c r="CQ1" s="84" t="s">
        <v>265</v>
      </c>
      <c r="CR1" s="84" t="s">
        <v>266</v>
      </c>
      <c r="CS1" s="84" t="s">
        <v>267</v>
      </c>
      <c r="CT1" s="84" t="s">
        <v>268</v>
      </c>
      <c r="CU1" s="84" t="s">
        <v>269</v>
      </c>
      <c r="CV1" s="84" t="s">
        <v>270</v>
      </c>
      <c r="CW1" s="84" t="s">
        <v>271</v>
      </c>
      <c r="CX1" s="84" t="s">
        <v>272</v>
      </c>
      <c r="CY1" s="84" t="s">
        <v>273</v>
      </c>
      <c r="CZ1" s="84" t="s">
        <v>274</v>
      </c>
      <c r="DA1" s="84" t="s">
        <v>275</v>
      </c>
      <c r="DB1" s="84" t="s">
        <v>276</v>
      </c>
      <c r="DC1" s="84" t="s">
        <v>277</v>
      </c>
      <c r="DD1" s="84" t="s">
        <v>278</v>
      </c>
      <c r="DE1" s="84" t="s">
        <v>279</v>
      </c>
      <c r="DF1" s="84" t="s">
        <v>280</v>
      </c>
      <c r="DG1" s="84" t="s">
        <v>281</v>
      </c>
      <c r="DH1" s="84" t="s">
        <v>282</v>
      </c>
      <c r="DI1" s="84" t="s">
        <v>283</v>
      </c>
      <c r="DJ1" s="84" t="s">
        <v>284</v>
      </c>
      <c r="DK1" s="84" t="s">
        <v>285</v>
      </c>
      <c r="DL1" s="84" t="s">
        <v>286</v>
      </c>
      <c r="DM1" s="84" t="s">
        <v>287</v>
      </c>
      <c r="DN1" s="84" t="s">
        <v>288</v>
      </c>
      <c r="DO1" s="84" t="s">
        <v>289</v>
      </c>
      <c r="DP1" s="84" t="s">
        <v>290</v>
      </c>
      <c r="DQ1" s="84" t="s">
        <v>291</v>
      </c>
      <c r="DR1" s="84" t="s">
        <v>292</v>
      </c>
    </row>
    <row r="2" spans="1:122" x14ac:dyDescent="0.3">
      <c r="A2" t="s">
        <v>20</v>
      </c>
      <c r="B2" t="s">
        <v>40</v>
      </c>
      <c r="C2" t="s">
        <v>41</v>
      </c>
      <c r="D2" t="s">
        <v>293</v>
      </c>
      <c r="E2" t="s">
        <v>294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295</v>
      </c>
      <c r="DJ2" s="92">
        <v>46204</v>
      </c>
      <c r="DK2" s="90">
        <v>0.06</v>
      </c>
      <c r="DL2" t="s">
        <v>295</v>
      </c>
      <c r="DM2" s="92">
        <v>46478</v>
      </c>
      <c r="DN2" s="90">
        <v>0.05</v>
      </c>
      <c r="DO2" t="s">
        <v>296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297</v>
      </c>
      <c r="E3" t="s">
        <v>298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295</v>
      </c>
      <c r="DJ3" s="92">
        <v>46419</v>
      </c>
      <c r="DK3" s="90">
        <v>0.04</v>
      </c>
      <c r="DL3" t="s">
        <v>296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299</v>
      </c>
      <c r="E4" t="s">
        <v>300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301</v>
      </c>
      <c r="E5" t="s">
        <v>302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295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303</v>
      </c>
      <c r="E6" t="s">
        <v>304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295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305</v>
      </c>
      <c r="E7" t="s">
        <v>306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295</v>
      </c>
      <c r="DJ7" s="92">
        <v>46539</v>
      </c>
      <c r="DK7" s="90">
        <v>0.04</v>
      </c>
      <c r="DL7" t="s">
        <v>296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307</v>
      </c>
      <c r="E8" t="s">
        <v>308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295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309</v>
      </c>
      <c r="E9" t="s">
        <v>310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295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311</v>
      </c>
      <c r="E10" t="s">
        <v>312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313</v>
      </c>
      <c r="E11" t="s">
        <v>314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295</v>
      </c>
      <c r="DJ11" s="92">
        <v>46661</v>
      </c>
      <c r="DK11" s="90">
        <v>0.04</v>
      </c>
      <c r="DL11" t="s">
        <v>296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315</v>
      </c>
      <c r="E12" t="s">
        <v>316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295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76</v>
      </c>
      <c r="D13" t="s">
        <v>317</v>
      </c>
      <c r="E13" t="s">
        <v>318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78</v>
      </c>
      <c r="D14" t="s">
        <v>319</v>
      </c>
      <c r="E14" t="s">
        <v>320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295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80</v>
      </c>
      <c r="D15" t="s">
        <v>321</v>
      </c>
      <c r="E15" t="s">
        <v>322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295</v>
      </c>
      <c r="DJ15" s="92">
        <v>46478</v>
      </c>
      <c r="DK15" s="90">
        <v>0.04</v>
      </c>
      <c r="DL15" t="s">
        <v>296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82</v>
      </c>
      <c r="D16" t="s">
        <v>323</v>
      </c>
      <c r="E16" t="s">
        <v>324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84</v>
      </c>
      <c r="D17" t="s">
        <v>325</v>
      </c>
      <c r="E17" t="s">
        <v>326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295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86</v>
      </c>
      <c r="D18" t="s">
        <v>327</v>
      </c>
      <c r="E18" t="s">
        <v>328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295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87</v>
      </c>
      <c r="D19" t="s">
        <v>329</v>
      </c>
      <c r="E19" t="s">
        <v>330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296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89</v>
      </c>
      <c r="D20" t="s">
        <v>331</v>
      </c>
      <c r="E20" t="s">
        <v>332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295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90</v>
      </c>
      <c r="D21" t="s">
        <v>333</v>
      </c>
      <c r="E21" t="s">
        <v>334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295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91</v>
      </c>
      <c r="D22" t="s">
        <v>335</v>
      </c>
      <c r="E22" t="s">
        <v>336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337</v>
      </c>
      <c r="E23" t="s">
        <v>338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295</v>
      </c>
      <c r="DJ23" s="92">
        <v>46419</v>
      </c>
      <c r="DK23" s="90">
        <v>0.04</v>
      </c>
      <c r="DL23" t="s">
        <v>296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339</v>
      </c>
      <c r="E24" t="s">
        <v>340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295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341</v>
      </c>
      <c r="E25" t="s">
        <v>342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0.84973412409420279</v>
      </c>
      <c r="K25" s="87">
        <v>0.99554699171046557</v>
      </c>
      <c r="L25" s="87">
        <v>1.0003128930547309</v>
      </c>
      <c r="M25" s="87">
        <v>1.02</v>
      </c>
      <c r="N25" s="89">
        <v>0.65800000000000003</v>
      </c>
      <c r="O25" s="89">
        <v>0.66838038512146825</v>
      </c>
      <c r="P25" s="89">
        <v>0.63512004660274513</v>
      </c>
      <c r="Q25" s="90">
        <v>0</v>
      </c>
      <c r="R25" s="87">
        <v>0.97284786829941206</v>
      </c>
      <c r="S25" s="87">
        <v>0.97271323225041539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0.66838038512146825</v>
      </c>
      <c r="Z25" s="89">
        <v>0.63512004660274513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1.044795226843638</v>
      </c>
      <c r="AG25" s="87">
        <v>1.077562959620743</v>
      </c>
      <c r="AH25" s="87">
        <v>85050</v>
      </c>
      <c r="AI25" s="87">
        <v>85430.422379032258</v>
      </c>
      <c r="AJ25" s="87">
        <v>68828.464051630421</v>
      </c>
      <c r="AK25" s="87">
        <v>80639.306328547711</v>
      </c>
      <c r="AL25" s="87">
        <v>81025.344337433227</v>
      </c>
      <c r="AM25" s="87">
        <v>82620</v>
      </c>
      <c r="AN25" s="87">
        <v>53298</v>
      </c>
      <c r="AO25" s="87">
        <v>54138.811194838927</v>
      </c>
      <c r="AP25" s="87">
        <v>51444.723774822363</v>
      </c>
      <c r="AQ25" s="87">
        <v>0</v>
      </c>
      <c r="AR25" s="87">
        <v>78800.67733225238</v>
      </c>
      <c r="AS25" s="87">
        <v>78789.771812283652</v>
      </c>
      <c r="AT25" s="87">
        <v>54138.811194838927</v>
      </c>
      <c r="AU25" s="87">
        <v>51444.723774822363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8028.9806572518801</v>
      </c>
      <c r="BL25" s="87">
        <v>7678.7999999999993</v>
      </c>
      <c r="BM25" s="87">
        <v>9097.9905704230132</v>
      </c>
      <c r="BN25" s="87">
        <v>4461.4285714285879</v>
      </c>
      <c r="BO25" s="87">
        <v>5518.3579814326386</v>
      </c>
      <c r="BP25" s="87">
        <v>6320.6996457157857</v>
      </c>
      <c r="BQ25" s="87">
        <v>5972.6265438149567</v>
      </c>
      <c r="BR25" s="87">
        <v>5621.6794012365817</v>
      </c>
      <c r="BS25" s="87">
        <v>6185.0768891481939</v>
      </c>
      <c r="BT25" s="87">
        <v>5841.6734094401709</v>
      </c>
      <c r="BU25" s="87">
        <v>5500.9645029585863</v>
      </c>
      <c r="BV25" s="87">
        <v>5162.9185785124109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3789.5053878589229</v>
      </c>
      <c r="CV25" s="87">
        <v>3455.9999999999968</v>
      </c>
      <c r="CW25" s="87">
        <v>4807.6100670695396</v>
      </c>
      <c r="CX25" s="87">
        <v>4461.4285714285879</v>
      </c>
      <c r="CY25" s="87">
        <v>4118.0291153415455</v>
      </c>
      <c r="CZ25" s="87">
        <v>3777.3782968114401</v>
      </c>
      <c r="DA25" s="87">
        <v>3439.44324642228</v>
      </c>
      <c r="DB25" s="87">
        <v>3098.717865278235</v>
      </c>
      <c r="DC25" s="87">
        <v>3645.705717619609</v>
      </c>
      <c r="DD25" s="87">
        <v>3312.3042810098768</v>
      </c>
      <c r="DE25" s="87">
        <v>2981.5189349112429</v>
      </c>
      <c r="DF25" s="87">
        <v>2653.319008264476</v>
      </c>
      <c r="DG25" s="92">
        <v>46113</v>
      </c>
      <c r="DH25" s="90">
        <v>0.05</v>
      </c>
      <c r="DI25" t="s">
        <v>295</v>
      </c>
      <c r="DJ25" s="92">
        <v>46522</v>
      </c>
      <c r="DK25" s="90">
        <v>0.03</v>
      </c>
      <c r="DL25" t="s">
        <v>296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343</v>
      </c>
      <c r="E26" t="s">
        <v>344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295</v>
      </c>
      <c r="DJ26" s="92">
        <v>46447</v>
      </c>
      <c r="DK26" s="90">
        <v>4.8000000000000001E-2</v>
      </c>
      <c r="DL26" t="s">
        <v>296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345</v>
      </c>
      <c r="E27" t="s">
        <v>346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295</v>
      </c>
      <c r="DJ27" s="92">
        <v>46539</v>
      </c>
      <c r="DK27" s="90">
        <v>0.04</v>
      </c>
      <c r="DL27" t="s">
        <v>296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347</v>
      </c>
      <c r="E28" t="s">
        <v>348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349</v>
      </c>
      <c r="E29" t="s">
        <v>350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295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351</v>
      </c>
      <c r="E30" t="s">
        <v>352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295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353</v>
      </c>
      <c r="E31" t="s">
        <v>354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296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355</v>
      </c>
      <c r="E32" t="s">
        <v>356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295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357</v>
      </c>
      <c r="E33" t="s">
        <v>358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295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76</v>
      </c>
      <c r="D34" t="s">
        <v>359</v>
      </c>
      <c r="E34" t="s">
        <v>360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78</v>
      </c>
      <c r="D35" t="s">
        <v>361</v>
      </c>
      <c r="E35" t="s">
        <v>362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295</v>
      </c>
      <c r="DJ35" s="92">
        <v>46478</v>
      </c>
      <c r="DK35" s="90">
        <v>0.04</v>
      </c>
      <c r="DL35" t="s">
        <v>296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80</v>
      </c>
      <c r="D36" t="s">
        <v>363</v>
      </c>
      <c r="E36" t="s">
        <v>364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295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82</v>
      </c>
      <c r="D37" t="s">
        <v>365</v>
      </c>
      <c r="E37" t="s">
        <v>366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84</v>
      </c>
      <c r="D38" t="s">
        <v>367</v>
      </c>
      <c r="E38" t="s">
        <v>368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295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86</v>
      </c>
      <c r="D39" t="s">
        <v>369</v>
      </c>
      <c r="E39" t="s">
        <v>370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295</v>
      </c>
      <c r="DJ39" s="92">
        <v>46600</v>
      </c>
      <c r="DK39" s="90">
        <v>0.04</v>
      </c>
      <c r="DL39" t="s">
        <v>296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87</v>
      </c>
      <c r="D40" t="s">
        <v>371</v>
      </c>
      <c r="E40" t="s">
        <v>372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89</v>
      </c>
      <c r="D41" t="s">
        <v>373</v>
      </c>
      <c r="E41" t="s">
        <v>374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295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90</v>
      </c>
      <c r="D42" t="s">
        <v>375</v>
      </c>
      <c r="E42" t="s">
        <v>376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295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91</v>
      </c>
      <c r="D43" t="s">
        <v>377</v>
      </c>
      <c r="E43" t="s">
        <v>378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296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379</v>
      </c>
      <c r="E44" t="s">
        <v>380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295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381</v>
      </c>
      <c r="E45" t="s">
        <v>382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295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383</v>
      </c>
      <c r="E46" t="s">
        <v>384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385</v>
      </c>
      <c r="E47" t="s">
        <v>386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295</v>
      </c>
      <c r="DJ47" s="92">
        <v>46539</v>
      </c>
      <c r="DK47" s="90">
        <v>0.04</v>
      </c>
      <c r="DL47" t="s">
        <v>296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387</v>
      </c>
      <c r="E48" t="s">
        <v>388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389</v>
      </c>
      <c r="E49" t="s">
        <v>390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391</v>
      </c>
      <c r="E50" t="s">
        <v>392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0.84595039075080514</v>
      </c>
      <c r="K50" s="87">
        <v>0.94618568894145472</v>
      </c>
      <c r="L50" s="87">
        <v>1.00478705287387</v>
      </c>
      <c r="M50" s="87">
        <v>1</v>
      </c>
      <c r="N50" s="89">
        <v>0.65400000000000003</v>
      </c>
      <c r="O50" s="89">
        <v>0.62176769493034711</v>
      </c>
      <c r="P50" s="89">
        <v>0.60611221665959769</v>
      </c>
      <c r="Q50" s="90">
        <v>0</v>
      </c>
      <c r="R50" s="87">
        <v>0.93896713615023475</v>
      </c>
      <c r="S50" s="87">
        <v>0.98701760052365672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0.62176769493034711</v>
      </c>
      <c r="Z50" s="89">
        <v>0.60611221665959769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1.0263202148345349</v>
      </c>
      <c r="AG50" s="87">
        <v>1.059683686428825</v>
      </c>
      <c r="AH50" s="87">
        <v>90000</v>
      </c>
      <c r="AI50" s="87">
        <v>95118.75</v>
      </c>
      <c r="AJ50" s="87">
        <v>76135.535167572467</v>
      </c>
      <c r="AK50" s="87">
        <v>85156.712004730929</v>
      </c>
      <c r="AL50" s="87">
        <v>90430.834758648271</v>
      </c>
      <c r="AM50" s="87">
        <v>90000</v>
      </c>
      <c r="AN50" s="87">
        <v>58860</v>
      </c>
      <c r="AO50" s="87">
        <v>55959.09254373124</v>
      </c>
      <c r="AP50" s="87">
        <v>54550.099499363787</v>
      </c>
      <c r="AQ50" s="87">
        <v>0</v>
      </c>
      <c r="AR50" s="87">
        <v>84507.042253521126</v>
      </c>
      <c r="AS50" s="87">
        <v>88831.584047129101</v>
      </c>
      <c r="AT50" s="87">
        <v>55959.09254373124</v>
      </c>
      <c r="AU50" s="87">
        <v>54550.099499363787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8054.1369214066981</v>
      </c>
      <c r="BL50" s="87">
        <v>7864.1843971631188</v>
      </c>
      <c r="BM50" s="87">
        <v>7674.9664099623296</v>
      </c>
      <c r="BN50" s="87">
        <v>8519.8897959183814</v>
      </c>
      <c r="BO50" s="87">
        <v>9231.7339165061912</v>
      </c>
      <c r="BP50" s="87">
        <v>9034.5505244641263</v>
      </c>
      <c r="BQ50" s="87">
        <v>2805.7739198283539</v>
      </c>
      <c r="BR50" s="87">
        <v>2619.0843905129691</v>
      </c>
      <c r="BS50" s="87">
        <v>2436.1375558577761</v>
      </c>
      <c r="BT50" s="87">
        <v>2253.9120318004129</v>
      </c>
      <c r="BU50" s="87">
        <v>2072.4035608308582</v>
      </c>
      <c r="BV50" s="87">
        <v>1891.6079188797739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2069.612132776253</v>
      </c>
      <c r="CV50" s="87">
        <v>1891.252955082738</v>
      </c>
      <c r="CW50" s="87">
        <v>1713.5834835327009</v>
      </c>
      <c r="CX50" s="87">
        <v>2506.9387755102189</v>
      </c>
      <c r="CY50" s="87">
        <v>3175.3370108039398</v>
      </c>
      <c r="CZ50" s="87">
        <v>2990.188285881809</v>
      </c>
      <c r="DA50" s="87">
        <v>2805.7739198283539</v>
      </c>
      <c r="DB50" s="87">
        <v>2619.0843905129691</v>
      </c>
      <c r="DC50" s="87">
        <v>2436.1375558577761</v>
      </c>
      <c r="DD50" s="87">
        <v>2253.9120318004129</v>
      </c>
      <c r="DE50" s="87">
        <v>2072.4035608308582</v>
      </c>
      <c r="DF50" s="87">
        <v>1891.6079188797739</v>
      </c>
      <c r="DG50" s="92">
        <v>46204</v>
      </c>
      <c r="DH50" s="90">
        <v>6.5000000000000002E-2</v>
      </c>
      <c r="DI50" t="s">
        <v>296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393</v>
      </c>
      <c r="E51" t="s">
        <v>394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295</v>
      </c>
      <c r="DJ51" s="92">
        <v>46661</v>
      </c>
      <c r="DK51" s="90">
        <v>0.04</v>
      </c>
      <c r="DL51" t="s">
        <v>296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395</v>
      </c>
      <c r="E52" t="s">
        <v>396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397</v>
      </c>
      <c r="DJ52" s="92">
        <v>46478</v>
      </c>
      <c r="DK52" s="90">
        <v>0.04</v>
      </c>
      <c r="DL52" t="s">
        <v>296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398</v>
      </c>
      <c r="E53" t="s">
        <v>399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295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400</v>
      </c>
      <c r="E54" t="s">
        <v>401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295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76</v>
      </c>
      <c r="D55" t="s">
        <v>402</v>
      </c>
      <c r="E55" t="s">
        <v>403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296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78</v>
      </c>
      <c r="D56" t="s">
        <v>404</v>
      </c>
      <c r="E56" t="s">
        <v>405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295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80</v>
      </c>
      <c r="D57" t="s">
        <v>406</v>
      </c>
      <c r="E57" t="s">
        <v>407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295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82</v>
      </c>
      <c r="D58" t="s">
        <v>408</v>
      </c>
      <c r="E58" t="s">
        <v>409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84</v>
      </c>
      <c r="D59" t="s">
        <v>410</v>
      </c>
      <c r="E59" t="s">
        <v>411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295</v>
      </c>
      <c r="DJ59" s="92">
        <v>46600</v>
      </c>
      <c r="DK59" s="90">
        <v>0.04</v>
      </c>
      <c r="DL59" t="s">
        <v>296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86</v>
      </c>
      <c r="D60" t="s">
        <v>412</v>
      </c>
      <c r="E60" t="s">
        <v>413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295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87</v>
      </c>
      <c r="D61" t="s">
        <v>414</v>
      </c>
      <c r="E61" t="s">
        <v>415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89</v>
      </c>
      <c r="D62" t="s">
        <v>416</v>
      </c>
      <c r="E62" t="s">
        <v>417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295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90</v>
      </c>
      <c r="D63" t="s">
        <v>418</v>
      </c>
      <c r="E63" t="s">
        <v>419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295</v>
      </c>
      <c r="DJ63" s="92">
        <v>46419</v>
      </c>
      <c r="DK63" s="90">
        <v>0.04</v>
      </c>
      <c r="DL63" t="s">
        <v>296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91</v>
      </c>
      <c r="D64" t="s">
        <v>420</v>
      </c>
      <c r="E64" t="s">
        <v>421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293</v>
      </c>
      <c r="E65" t="s">
        <v>422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295</v>
      </c>
      <c r="DJ65" s="92">
        <v>46204</v>
      </c>
      <c r="DK65" s="90">
        <v>0.06</v>
      </c>
      <c r="DL65" t="s">
        <v>295</v>
      </c>
      <c r="DM65" s="92">
        <v>46478</v>
      </c>
      <c r="DN65" s="90">
        <v>0.05</v>
      </c>
      <c r="DO65" t="s">
        <v>296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297</v>
      </c>
      <c r="E66" t="s">
        <v>423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295</v>
      </c>
      <c r="DJ66" s="92">
        <v>46419</v>
      </c>
      <c r="DK66" s="90">
        <v>0.04</v>
      </c>
      <c r="DL66" t="s">
        <v>296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299</v>
      </c>
      <c r="E67" t="s">
        <v>424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301</v>
      </c>
      <c r="E68" t="s">
        <v>425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295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303</v>
      </c>
      <c r="E69" t="s">
        <v>426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295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305</v>
      </c>
      <c r="E70" t="s">
        <v>427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295</v>
      </c>
      <c r="DJ70" s="92">
        <v>46539</v>
      </c>
      <c r="DK70" s="90">
        <v>0.04</v>
      </c>
      <c r="DL70" t="s">
        <v>296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307</v>
      </c>
      <c r="E71" t="s">
        <v>428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295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309</v>
      </c>
      <c r="E72" t="s">
        <v>429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295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311</v>
      </c>
      <c r="E73" t="s">
        <v>430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313</v>
      </c>
      <c r="E74" t="s">
        <v>431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295</v>
      </c>
      <c r="DJ74" s="92">
        <v>46661</v>
      </c>
      <c r="DK74" s="90">
        <v>0.04</v>
      </c>
      <c r="DL74" t="s">
        <v>296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315</v>
      </c>
      <c r="E75" t="s">
        <v>432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295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76</v>
      </c>
      <c r="D76" t="s">
        <v>317</v>
      </c>
      <c r="E76" t="s">
        <v>433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78</v>
      </c>
      <c r="D77" t="s">
        <v>319</v>
      </c>
      <c r="E77" t="s">
        <v>434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295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80</v>
      </c>
      <c r="D78" t="s">
        <v>321</v>
      </c>
      <c r="E78" t="s">
        <v>435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295</v>
      </c>
      <c r="DJ78" s="92">
        <v>46478</v>
      </c>
      <c r="DK78" s="90">
        <v>0.04</v>
      </c>
      <c r="DL78" t="s">
        <v>296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82</v>
      </c>
      <c r="D79" t="s">
        <v>323</v>
      </c>
      <c r="E79" t="s">
        <v>436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84</v>
      </c>
      <c r="D80" t="s">
        <v>325</v>
      </c>
      <c r="E80" t="s">
        <v>437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295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86</v>
      </c>
      <c r="D81" t="s">
        <v>327</v>
      </c>
      <c r="E81" t="s">
        <v>438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295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87</v>
      </c>
      <c r="D82" t="s">
        <v>329</v>
      </c>
      <c r="E82" t="s">
        <v>439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296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89</v>
      </c>
      <c r="D83" t="s">
        <v>331</v>
      </c>
      <c r="E83" t="s">
        <v>440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295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90</v>
      </c>
      <c r="D84" t="s">
        <v>333</v>
      </c>
      <c r="E84" t="s">
        <v>441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295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91</v>
      </c>
      <c r="D85" t="s">
        <v>335</v>
      </c>
      <c r="E85" t="s">
        <v>442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337</v>
      </c>
      <c r="E86" t="s">
        <v>443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295</v>
      </c>
      <c r="DJ86" s="92">
        <v>46419</v>
      </c>
      <c r="DK86" s="90">
        <v>0.04</v>
      </c>
      <c r="DL86" t="s">
        <v>296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339</v>
      </c>
      <c r="E87" t="s">
        <v>444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295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341</v>
      </c>
      <c r="E88" t="s">
        <v>445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0.95048806853864709</v>
      </c>
      <c r="K88" s="87">
        <v>0.99554699171046557</v>
      </c>
      <c r="L88" s="87">
        <v>0.99948650745358902</v>
      </c>
      <c r="M88" s="87">
        <v>1.02</v>
      </c>
      <c r="N88" s="89">
        <v>0.628</v>
      </c>
      <c r="O88" s="89">
        <v>0.63738012292041735</v>
      </c>
      <c r="P88" s="89">
        <v>0.60616320557222492</v>
      </c>
      <c r="Q88" s="90">
        <v>0</v>
      </c>
      <c r="R88" s="87">
        <v>0.97284786829941206</v>
      </c>
      <c r="S88" s="87">
        <v>0.9727132322504155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0.63738012292041735</v>
      </c>
      <c r="Z88" s="89">
        <v>0.60616320557222492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1.042135663975982</v>
      </c>
      <c r="AG88" s="87">
        <v>1.0748134274264489</v>
      </c>
      <c r="AH88" s="87">
        <v>66150</v>
      </c>
      <c r="AI88" s="87">
        <v>66445.884072580651</v>
      </c>
      <c r="AJ88" s="87">
        <v>59880.748317934769</v>
      </c>
      <c r="AK88" s="87">
        <v>62719.460477759327</v>
      </c>
      <c r="AL88" s="87">
        <v>62967.649969576109</v>
      </c>
      <c r="AM88" s="87">
        <v>64260</v>
      </c>
      <c r="AN88" s="87">
        <v>39564</v>
      </c>
      <c r="AO88" s="87">
        <v>40154.947743986289</v>
      </c>
      <c r="AP88" s="87">
        <v>38188.281951050172</v>
      </c>
      <c r="AQ88" s="87">
        <v>0</v>
      </c>
      <c r="AR88" s="87">
        <v>61289.415702862963</v>
      </c>
      <c r="AS88" s="87">
        <v>61280.933631776177</v>
      </c>
      <c r="AT88" s="87">
        <v>40154.947743986289</v>
      </c>
      <c r="AU88" s="87">
        <v>38188.281951050172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5905.4287587152194</v>
      </c>
      <c r="BL88" s="87">
        <v>5664.0142517814866</v>
      </c>
      <c r="BM88" s="87">
        <v>6792.7711698917201</v>
      </c>
      <c r="BN88" s="87">
        <v>3230.2358490566098</v>
      </c>
      <c r="BO88" s="87">
        <v>4078.568690289605</v>
      </c>
      <c r="BP88" s="87">
        <v>4729.9346680716544</v>
      </c>
      <c r="BQ88" s="87">
        <v>4488.930992241736</v>
      </c>
      <c r="BR88" s="87">
        <v>4245.7276373147452</v>
      </c>
      <c r="BS88" s="87">
        <v>4711.7371025136072</v>
      </c>
      <c r="BT88" s="87">
        <v>4473.3567733595009</v>
      </c>
      <c r="BU88" s="87">
        <v>4236.6490000000094</v>
      </c>
      <c r="BV88" s="87">
        <v>4001.5962411599512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2624.2178654430681</v>
      </c>
      <c r="CV88" s="87">
        <v>2394.299287410935</v>
      </c>
      <c r="CW88" s="87">
        <v>3469.3058760873491</v>
      </c>
      <c r="CX88" s="87">
        <v>3230.2358490566098</v>
      </c>
      <c r="CY88" s="87">
        <v>2992.87938429</v>
      </c>
      <c r="CZ88" s="87">
        <v>2757.2181243414088</v>
      </c>
      <c r="DA88" s="87">
        <v>2523.2339730502281</v>
      </c>
      <c r="DB88" s="87">
        <v>2287.114210985188</v>
      </c>
      <c r="DC88" s="87">
        <v>2739.5505849646711</v>
      </c>
      <c r="DD88" s="87">
        <v>2508.1133721936931</v>
      </c>
      <c r="DE88" s="87">
        <v>2278.3000000000029</v>
      </c>
      <c r="DF88" s="87">
        <v>2050.0934380193698</v>
      </c>
      <c r="DG88" s="92">
        <v>46113</v>
      </c>
      <c r="DH88" s="90">
        <v>0.05</v>
      </c>
      <c r="DI88" t="s">
        <v>295</v>
      </c>
      <c r="DJ88" s="92">
        <v>46522</v>
      </c>
      <c r="DK88" s="90">
        <v>0.03</v>
      </c>
      <c r="DL88" t="s">
        <v>296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343</v>
      </c>
      <c r="E89" t="s">
        <v>446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295</v>
      </c>
      <c r="DJ89" s="92">
        <v>46447</v>
      </c>
      <c r="DK89" s="90">
        <v>4.8000000000000001E-2</v>
      </c>
      <c r="DL89" t="s">
        <v>296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345</v>
      </c>
      <c r="E90" t="s">
        <v>447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295</v>
      </c>
      <c r="DJ90" s="92">
        <v>46539</v>
      </c>
      <c r="DK90" s="90">
        <v>0.04</v>
      </c>
      <c r="DL90" t="s">
        <v>296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347</v>
      </c>
      <c r="E91" t="s">
        <v>448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349</v>
      </c>
      <c r="E92" t="s">
        <v>449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295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351</v>
      </c>
      <c r="E93" t="s">
        <v>450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295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353</v>
      </c>
      <c r="E94" t="s">
        <v>451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296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355</v>
      </c>
      <c r="E95" t="s">
        <v>452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295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357</v>
      </c>
      <c r="E96" t="s">
        <v>453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295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76</v>
      </c>
      <c r="D97" t="s">
        <v>359</v>
      </c>
      <c r="E97" t="s">
        <v>454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78</v>
      </c>
      <c r="D98" t="s">
        <v>361</v>
      </c>
      <c r="E98" t="s">
        <v>455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295</v>
      </c>
      <c r="DJ98" s="92">
        <v>46478</v>
      </c>
      <c r="DK98" s="90">
        <v>0.04</v>
      </c>
      <c r="DL98" t="s">
        <v>296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80</v>
      </c>
      <c r="D99" t="s">
        <v>363</v>
      </c>
      <c r="E99" t="s">
        <v>456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295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82</v>
      </c>
      <c r="D100" t="s">
        <v>365</v>
      </c>
      <c r="E100" t="s">
        <v>457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84</v>
      </c>
      <c r="D101" t="s">
        <v>367</v>
      </c>
      <c r="E101" t="s">
        <v>458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295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86</v>
      </c>
      <c r="D102" t="s">
        <v>369</v>
      </c>
      <c r="E102" t="s">
        <v>459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295</v>
      </c>
      <c r="DJ102" s="92">
        <v>46600</v>
      </c>
      <c r="DK102" s="90">
        <v>0.04</v>
      </c>
      <c r="DL102" t="s">
        <v>296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87</v>
      </c>
      <c r="D103" t="s">
        <v>371</v>
      </c>
      <c r="E103" t="s">
        <v>460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89</v>
      </c>
      <c r="D104" t="s">
        <v>373</v>
      </c>
      <c r="E104" t="s">
        <v>461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295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90</v>
      </c>
      <c r="D105" t="s">
        <v>375</v>
      </c>
      <c r="E105" t="s">
        <v>462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295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91</v>
      </c>
      <c r="D106" t="s">
        <v>377</v>
      </c>
      <c r="E106" t="s">
        <v>463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296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379</v>
      </c>
      <c r="E107" t="s">
        <v>464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295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381</v>
      </c>
      <c r="E108" t="s">
        <v>465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295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383</v>
      </c>
      <c r="E109" t="s">
        <v>466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385</v>
      </c>
      <c r="E110" t="s">
        <v>467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295</v>
      </c>
      <c r="DJ110" s="92">
        <v>46539</v>
      </c>
      <c r="DK110" s="90">
        <v>0.04</v>
      </c>
      <c r="DL110" t="s">
        <v>296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387</v>
      </c>
      <c r="E111" t="s">
        <v>468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389</v>
      </c>
      <c r="E112" t="s">
        <v>469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391</v>
      </c>
      <c r="E113" t="s">
        <v>470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0.94645779815821252</v>
      </c>
      <c r="K113" s="87">
        <v>0.94618568894145472</v>
      </c>
      <c r="L113" s="87">
        <v>1.0037425882576909</v>
      </c>
      <c r="M113" s="87">
        <v>1</v>
      </c>
      <c r="N113" s="89">
        <v>0.624</v>
      </c>
      <c r="O113" s="89">
        <v>0.59262956837166114</v>
      </c>
      <c r="P113" s="89">
        <v>0.57794892332517467</v>
      </c>
      <c r="Q113" s="90">
        <v>0</v>
      </c>
      <c r="R113" s="87">
        <v>0.93896713615023475</v>
      </c>
      <c r="S113" s="87">
        <v>0.98640321048287027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0.59262956837166114</v>
      </c>
      <c r="Z113" s="89">
        <v>0.57794892332517467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1.025021798760249</v>
      </c>
      <c r="AG113" s="87">
        <v>1.0583219033444811</v>
      </c>
      <c r="AH113" s="87">
        <v>70000</v>
      </c>
      <c r="AI113" s="87">
        <v>73981.25</v>
      </c>
      <c r="AJ113" s="87">
        <v>66252.045871074879</v>
      </c>
      <c r="AK113" s="87">
        <v>66232.998225901829</v>
      </c>
      <c r="AL113" s="87">
        <v>70261.98117803839</v>
      </c>
      <c r="AM113" s="87">
        <v>70000</v>
      </c>
      <c r="AN113" s="87">
        <v>43680</v>
      </c>
      <c r="AO113" s="87">
        <v>41484.069786016284</v>
      </c>
      <c r="AP113" s="87">
        <v>40456.424632762217</v>
      </c>
      <c r="AQ113" s="87">
        <v>0</v>
      </c>
      <c r="AR113" s="87">
        <v>65727.699530516431</v>
      </c>
      <c r="AS113" s="87">
        <v>69048.224733800918</v>
      </c>
      <c r="AT113" s="87">
        <v>41484.069786016284</v>
      </c>
      <c r="AU113" s="87">
        <v>40456.424632762217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6079.1971124218526</v>
      </c>
      <c r="BL113" s="87">
        <v>5947.7033044293366</v>
      </c>
      <c r="BM113" s="87">
        <v>5816.6632548618154</v>
      </c>
      <c r="BN113" s="87">
        <v>6488.9267631947796</v>
      </c>
      <c r="BO113" s="87">
        <v>7058.0708103855241</v>
      </c>
      <c r="BP113" s="87">
        <v>6921.3396939903359</v>
      </c>
      <c r="BQ113" s="87">
        <v>2098.6788234269338</v>
      </c>
      <c r="BR113" s="87">
        <v>1969.1139387264229</v>
      </c>
      <c r="BS113" s="87">
        <v>1842.0924715004919</v>
      </c>
      <c r="BT113" s="87">
        <v>1715.5185859111041</v>
      </c>
      <c r="BU113" s="87">
        <v>1589.389920424413</v>
      </c>
      <c r="BV113" s="87">
        <v>1463.7041300906619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1435.8658332599659</v>
      </c>
      <c r="CV113" s="87">
        <v>1312.3974689477391</v>
      </c>
      <c r="CW113" s="87">
        <v>1189.3551688843379</v>
      </c>
      <c r="CX113" s="87">
        <v>1820.5885100420451</v>
      </c>
      <c r="CY113" s="87">
        <v>2354.9960660896959</v>
      </c>
      <c r="CZ113" s="87">
        <v>2226.6100413054828</v>
      </c>
      <c r="DA113" s="87">
        <v>2098.6788234269338</v>
      </c>
      <c r="DB113" s="87">
        <v>1969.1139387264229</v>
      </c>
      <c r="DC113" s="87">
        <v>1842.0924715004919</v>
      </c>
      <c r="DD113" s="87">
        <v>1715.5185859111041</v>
      </c>
      <c r="DE113" s="87">
        <v>1589.389920424413</v>
      </c>
      <c r="DF113" s="87">
        <v>1463.7041300906619</v>
      </c>
      <c r="DG113" s="92">
        <v>46204</v>
      </c>
      <c r="DH113" s="90">
        <v>6.5000000000000002E-2</v>
      </c>
      <c r="DI113" t="s">
        <v>296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393</v>
      </c>
      <c r="E114" t="s">
        <v>471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295</v>
      </c>
      <c r="DJ114" s="92">
        <v>46661</v>
      </c>
      <c r="DK114" s="90">
        <v>0.04</v>
      </c>
      <c r="DL114" t="s">
        <v>296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395</v>
      </c>
      <c r="E115" t="s">
        <v>472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397</v>
      </c>
      <c r="DJ115" s="92">
        <v>46478</v>
      </c>
      <c r="DK115" s="90">
        <v>0.04</v>
      </c>
      <c r="DL115" t="s">
        <v>296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398</v>
      </c>
      <c r="E116" t="s">
        <v>473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295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400</v>
      </c>
      <c r="E117" t="s">
        <v>474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295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76</v>
      </c>
      <c r="D118" t="s">
        <v>402</v>
      </c>
      <c r="E118" t="s">
        <v>475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296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78</v>
      </c>
      <c r="D119" t="s">
        <v>404</v>
      </c>
      <c r="E119" t="s">
        <v>476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295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80</v>
      </c>
      <c r="D120" t="s">
        <v>406</v>
      </c>
      <c r="E120" t="s">
        <v>477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295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82</v>
      </c>
      <c r="D121" t="s">
        <v>408</v>
      </c>
      <c r="E121" t="s">
        <v>478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84</v>
      </c>
      <c r="D122" t="s">
        <v>410</v>
      </c>
      <c r="E122" t="s">
        <v>479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295</v>
      </c>
      <c r="DJ122" s="92">
        <v>46600</v>
      </c>
      <c r="DK122" s="90">
        <v>0.04</v>
      </c>
      <c r="DL122" t="s">
        <v>296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86</v>
      </c>
      <c r="D123" t="s">
        <v>412</v>
      </c>
      <c r="E123" t="s">
        <v>480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295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87</v>
      </c>
      <c r="D124" t="s">
        <v>414</v>
      </c>
      <c r="E124" t="s">
        <v>481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89</v>
      </c>
      <c r="D125" t="s">
        <v>416</v>
      </c>
      <c r="E125" t="s">
        <v>482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295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90</v>
      </c>
      <c r="D126" t="s">
        <v>418</v>
      </c>
      <c r="E126" t="s">
        <v>483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295</v>
      </c>
      <c r="DJ126" s="92">
        <v>46419</v>
      </c>
      <c r="DK126" s="90">
        <v>0.04</v>
      </c>
      <c r="DL126" t="s">
        <v>296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91</v>
      </c>
      <c r="D127" t="s">
        <v>420</v>
      </c>
      <c r="E127" t="s">
        <v>484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293</v>
      </c>
      <c r="E128" t="s">
        <v>485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295</v>
      </c>
      <c r="DJ128" s="92">
        <v>46204</v>
      </c>
      <c r="DK128" s="90">
        <v>0.06</v>
      </c>
      <c r="DL128" t="s">
        <v>295</v>
      </c>
      <c r="DM128" s="92">
        <v>46478</v>
      </c>
      <c r="DN128" s="90">
        <v>0.05</v>
      </c>
      <c r="DO128" t="s">
        <v>296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297</v>
      </c>
      <c r="E129" t="s">
        <v>486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295</v>
      </c>
      <c r="DJ129" s="92">
        <v>46419</v>
      </c>
      <c r="DK129" s="90">
        <v>0.04</v>
      </c>
      <c r="DL129" t="s">
        <v>296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299</v>
      </c>
      <c r="E130" t="s">
        <v>487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301</v>
      </c>
      <c r="E131" t="s">
        <v>488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295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303</v>
      </c>
      <c r="E132" t="s">
        <v>489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295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305</v>
      </c>
      <c r="E133" t="s">
        <v>490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295</v>
      </c>
      <c r="DJ133" s="92">
        <v>46539</v>
      </c>
      <c r="DK133" s="90">
        <v>0.04</v>
      </c>
      <c r="DL133" t="s">
        <v>296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307</v>
      </c>
      <c r="E134" t="s">
        <v>491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295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309</v>
      </c>
      <c r="E135" t="s">
        <v>492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295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311</v>
      </c>
      <c r="E136" t="s">
        <v>493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313</v>
      </c>
      <c r="E137" t="s">
        <v>494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295</v>
      </c>
      <c r="DJ137" s="92">
        <v>46661</v>
      </c>
      <c r="DK137" s="90">
        <v>0.04</v>
      </c>
      <c r="DL137" t="s">
        <v>296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315</v>
      </c>
      <c r="E138" t="s">
        <v>495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295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76</v>
      </c>
      <c r="D139" t="s">
        <v>317</v>
      </c>
      <c r="E139" t="s">
        <v>496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78</v>
      </c>
      <c r="D140" t="s">
        <v>319</v>
      </c>
      <c r="E140" t="s">
        <v>497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295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80</v>
      </c>
      <c r="D141" t="s">
        <v>321</v>
      </c>
      <c r="E141" t="s">
        <v>498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295</v>
      </c>
      <c r="DJ141" s="92">
        <v>46478</v>
      </c>
      <c r="DK141" s="90">
        <v>0.04</v>
      </c>
      <c r="DL141" t="s">
        <v>296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82</v>
      </c>
      <c r="D142" t="s">
        <v>323</v>
      </c>
      <c r="E142" t="s">
        <v>499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84</v>
      </c>
      <c r="D143" t="s">
        <v>325</v>
      </c>
      <c r="E143" t="s">
        <v>500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295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86</v>
      </c>
      <c r="D144" t="s">
        <v>327</v>
      </c>
      <c r="E144" t="s">
        <v>501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295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87</v>
      </c>
      <c r="D145" t="s">
        <v>329</v>
      </c>
      <c r="E145" t="s">
        <v>502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296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89</v>
      </c>
      <c r="D146" t="s">
        <v>331</v>
      </c>
      <c r="E146" t="s">
        <v>503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295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90</v>
      </c>
      <c r="D147" t="s">
        <v>333</v>
      </c>
      <c r="E147" t="s">
        <v>504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295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91</v>
      </c>
      <c r="D148" t="s">
        <v>335</v>
      </c>
      <c r="E148" t="s">
        <v>505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337</v>
      </c>
      <c r="E149" t="s">
        <v>506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295</v>
      </c>
      <c r="DJ149" s="92">
        <v>46419</v>
      </c>
      <c r="DK149" s="90">
        <v>0.04</v>
      </c>
      <c r="DL149" t="s">
        <v>296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339</v>
      </c>
      <c r="E150" t="s">
        <v>507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295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341</v>
      </c>
      <c r="E151" t="s">
        <v>508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1.000865040760869</v>
      </c>
      <c r="K151" s="87">
        <v>0.99554699171046557</v>
      </c>
      <c r="L151" s="87">
        <v>0.99913570688790188</v>
      </c>
      <c r="M151" s="87">
        <v>1.02</v>
      </c>
      <c r="N151" s="89">
        <v>0.68799999999999994</v>
      </c>
      <c r="O151" s="89">
        <v>0.69803123143518497</v>
      </c>
      <c r="P151" s="89">
        <v>0.66407688763326544</v>
      </c>
      <c r="Q151" s="90">
        <v>0</v>
      </c>
      <c r="R151" s="87">
        <v>0.97284786829941206</v>
      </c>
      <c r="S151" s="87">
        <v>0.97271323225041562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0.69803123143518497</v>
      </c>
      <c r="Z151" s="89">
        <v>0.66407688763326544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1.0410108178186279</v>
      </c>
      <c r="AG151" s="87">
        <v>1.07365054415658</v>
      </c>
      <c r="AH151" s="87">
        <v>75600</v>
      </c>
      <c r="AI151" s="87">
        <v>75938.153225806454</v>
      </c>
      <c r="AJ151" s="87">
        <v>72062.282934782605</v>
      </c>
      <c r="AK151" s="87">
        <v>71679.383403153523</v>
      </c>
      <c r="AL151" s="87">
        <v>71937.77089592893</v>
      </c>
      <c r="AM151" s="87">
        <v>73440</v>
      </c>
      <c r="AN151" s="87">
        <v>49535.999999999993</v>
      </c>
      <c r="AO151" s="87">
        <v>50258.248663333317</v>
      </c>
      <c r="AP151" s="87">
        <v>47813.535909595113</v>
      </c>
      <c r="AQ151" s="87">
        <v>0</v>
      </c>
      <c r="AR151" s="87">
        <v>70045.046517557668</v>
      </c>
      <c r="AS151" s="87">
        <v>70035.352722029929</v>
      </c>
      <c r="AT151" s="87">
        <v>50258.248663333317</v>
      </c>
      <c r="AU151" s="87">
        <v>47813.535909595113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6585.3906558951576</v>
      </c>
      <c r="BL151" s="87">
        <v>6324.3243243243314</v>
      </c>
      <c r="BM151" s="87">
        <v>7626.2865480666824</v>
      </c>
      <c r="BN151" s="87">
        <v>3575.838926174496</v>
      </c>
      <c r="BO151" s="87">
        <v>4557.9955804959218</v>
      </c>
      <c r="BP151" s="87">
        <v>5315.5693811798683</v>
      </c>
      <c r="BQ151" s="87">
        <v>5054.4693572496262</v>
      </c>
      <c r="BR151" s="87">
        <v>4790.8899310344777</v>
      </c>
      <c r="BS151" s="87">
        <v>5336.9155526228924</v>
      </c>
      <c r="BT151" s="87">
        <v>5078.3770614347613</v>
      </c>
      <c r="BU151" s="87">
        <v>4821.561407035173</v>
      </c>
      <c r="BV151" s="87">
        <v>4566.4514257716764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2843.2291960906191</v>
      </c>
      <c r="CV151" s="87">
        <v>2594.5945945946</v>
      </c>
      <c r="CW151" s="87">
        <v>3834.5586172063649</v>
      </c>
      <c r="CX151" s="87">
        <v>3575.838926174496</v>
      </c>
      <c r="CY151" s="87">
        <v>3318.8785463463551</v>
      </c>
      <c r="CZ151" s="87">
        <v>3063.6595933785102</v>
      </c>
      <c r="DA151" s="87">
        <v>2810.1644245142038</v>
      </c>
      <c r="DB151" s="87">
        <v>2554.2620689655141</v>
      </c>
      <c r="DC151" s="87">
        <v>3084.3840316727142</v>
      </c>
      <c r="DD151" s="87">
        <v>2833.3757878007309</v>
      </c>
      <c r="DE151" s="87">
        <v>2584.0402010050188</v>
      </c>
      <c r="DF151" s="87">
        <v>2336.3606075453158</v>
      </c>
      <c r="DG151" s="92">
        <v>46113</v>
      </c>
      <c r="DH151" s="90">
        <v>0.05</v>
      </c>
      <c r="DI151" t="s">
        <v>295</v>
      </c>
      <c r="DJ151" s="92">
        <v>46522</v>
      </c>
      <c r="DK151" s="90">
        <v>0.03</v>
      </c>
      <c r="DL151" t="s">
        <v>296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343</v>
      </c>
      <c r="E152" t="s">
        <v>509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295</v>
      </c>
      <c r="DJ152" s="92">
        <v>46447</v>
      </c>
      <c r="DK152" s="90">
        <v>4.8000000000000001E-2</v>
      </c>
      <c r="DL152" t="s">
        <v>296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345</v>
      </c>
      <c r="E153" t="s">
        <v>510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295</v>
      </c>
      <c r="DJ153" s="92">
        <v>46539</v>
      </c>
      <c r="DK153" s="90">
        <v>0.04</v>
      </c>
      <c r="DL153" t="s">
        <v>296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347</v>
      </c>
      <c r="E154" t="s">
        <v>511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349</v>
      </c>
      <c r="E155" t="s">
        <v>512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295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351</v>
      </c>
      <c r="E156" t="s">
        <v>513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295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353</v>
      </c>
      <c r="E157" t="s">
        <v>514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296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355</v>
      </c>
      <c r="E158" t="s">
        <v>515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295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357</v>
      </c>
      <c r="E159" t="s">
        <v>516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295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76</v>
      </c>
      <c r="D160" t="s">
        <v>359</v>
      </c>
      <c r="E160" t="s">
        <v>517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78</v>
      </c>
      <c r="D161" t="s">
        <v>361</v>
      </c>
      <c r="E161" t="s">
        <v>518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295</v>
      </c>
      <c r="DJ161" s="92">
        <v>46478</v>
      </c>
      <c r="DK161" s="90">
        <v>0.04</v>
      </c>
      <c r="DL161" t="s">
        <v>296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80</v>
      </c>
      <c r="D162" t="s">
        <v>363</v>
      </c>
      <c r="E162" t="s">
        <v>519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295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82</v>
      </c>
      <c r="D163" t="s">
        <v>365</v>
      </c>
      <c r="E163" t="s">
        <v>520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84</v>
      </c>
      <c r="D164" t="s">
        <v>367</v>
      </c>
      <c r="E164" t="s">
        <v>521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295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86</v>
      </c>
      <c r="D165" t="s">
        <v>369</v>
      </c>
      <c r="E165" t="s">
        <v>522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295</v>
      </c>
      <c r="DJ165" s="92">
        <v>46600</v>
      </c>
      <c r="DK165" s="90">
        <v>0.04</v>
      </c>
      <c r="DL165" t="s">
        <v>296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87</v>
      </c>
      <c r="D166" t="s">
        <v>371</v>
      </c>
      <c r="E166" t="s">
        <v>523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89</v>
      </c>
      <c r="D167" t="s">
        <v>373</v>
      </c>
      <c r="E167" t="s">
        <v>524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295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90</v>
      </c>
      <c r="D168" t="s">
        <v>375</v>
      </c>
      <c r="E168" t="s">
        <v>525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295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91</v>
      </c>
      <c r="D169" t="s">
        <v>377</v>
      </c>
      <c r="E169" t="s">
        <v>526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296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379</v>
      </c>
      <c r="E170" t="s">
        <v>527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295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381</v>
      </c>
      <c r="E171" t="s">
        <v>528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295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383</v>
      </c>
      <c r="E172" t="s">
        <v>529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385</v>
      </c>
      <c r="E173" t="s">
        <v>530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295</v>
      </c>
      <c r="DJ173" s="92">
        <v>46539</v>
      </c>
      <c r="DK173" s="90">
        <v>0.04</v>
      </c>
      <c r="DL173" t="s">
        <v>296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387</v>
      </c>
      <c r="E174" t="s">
        <v>531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389</v>
      </c>
      <c r="E175" t="s">
        <v>532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391</v>
      </c>
      <c r="E176" t="s">
        <v>533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0.99671150186191637</v>
      </c>
      <c r="K176" s="87">
        <v>0.94618568894145472</v>
      </c>
      <c r="L176" s="87">
        <v>1.0032993480379631</v>
      </c>
      <c r="M176" s="87">
        <v>1</v>
      </c>
      <c r="N176" s="89">
        <v>0.68400000000000005</v>
      </c>
      <c r="O176" s="89">
        <v>0.64932631962906395</v>
      </c>
      <c r="P176" s="89">
        <v>0.63335338137876696</v>
      </c>
      <c r="Q176" s="90">
        <v>0</v>
      </c>
      <c r="R176" s="87">
        <v>0.93896713615023475</v>
      </c>
      <c r="S176" s="87">
        <v>0.98614232626957132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0.64932631962906395</v>
      </c>
      <c r="Z176" s="89">
        <v>0.63335338137876696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1.0244717843847171</v>
      </c>
      <c r="AG176" s="87">
        <v>1.057745057252871</v>
      </c>
      <c r="AH176" s="87">
        <v>80000</v>
      </c>
      <c r="AI176" s="87">
        <v>84550</v>
      </c>
      <c r="AJ176" s="87">
        <v>79736.920148953315</v>
      </c>
      <c r="AK176" s="87">
        <v>75694.855115316372</v>
      </c>
      <c r="AL176" s="87">
        <v>80263.947843037065</v>
      </c>
      <c r="AM176" s="87">
        <v>80000</v>
      </c>
      <c r="AN176" s="87">
        <v>54720.000000000007</v>
      </c>
      <c r="AO176" s="87">
        <v>51946.105570325119</v>
      </c>
      <c r="AP176" s="87">
        <v>50668.270510301358</v>
      </c>
      <c r="AQ176" s="87">
        <v>0</v>
      </c>
      <c r="AR176" s="87">
        <v>75117.370892018778</v>
      </c>
      <c r="AS176" s="87">
        <v>78891.386101565702</v>
      </c>
      <c r="AT176" s="87">
        <v>51946.105570325119</v>
      </c>
      <c r="AU176" s="87">
        <v>50668.270510301358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6858.1228944510822</v>
      </c>
      <c r="BL176" s="87">
        <v>6715.6771180787264</v>
      </c>
      <c r="BM176" s="87">
        <v>6573.6977938115797</v>
      </c>
      <c r="BN176" s="87">
        <v>7349.2858156028442</v>
      </c>
      <c r="BO176" s="87">
        <v>8007.2147578615304</v>
      </c>
      <c r="BP176" s="87">
        <v>7858.9890109889993</v>
      </c>
      <c r="BQ176" s="87">
        <v>2357.9922269081171</v>
      </c>
      <c r="BR176" s="87">
        <v>2217.4843840290491</v>
      </c>
      <c r="BS176" s="87">
        <v>2079.7099060491141</v>
      </c>
      <c r="BT176" s="87">
        <v>1942.396401831985</v>
      </c>
      <c r="BU176" s="87">
        <v>1805.5415617128469</v>
      </c>
      <c r="BV176" s="87">
        <v>1669.1430914309001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1556.9229055878791</v>
      </c>
      <c r="CV176" s="87">
        <v>1423.1710028908219</v>
      </c>
      <c r="CW176" s="87">
        <v>1289.8570833911549</v>
      </c>
      <c r="CX176" s="87">
        <v>2018.1087470449199</v>
      </c>
      <c r="CY176" s="87">
        <v>2635.8824017479242</v>
      </c>
      <c r="CZ176" s="87">
        <v>2496.7032967032842</v>
      </c>
      <c r="DA176" s="87">
        <v>2357.9922269081171</v>
      </c>
      <c r="DB176" s="87">
        <v>2217.4843840290491</v>
      </c>
      <c r="DC176" s="87">
        <v>2079.7099060491141</v>
      </c>
      <c r="DD176" s="87">
        <v>1942.396401831985</v>
      </c>
      <c r="DE176" s="87">
        <v>1805.5415617128469</v>
      </c>
      <c r="DF176" s="87">
        <v>1669.1430914309001</v>
      </c>
      <c r="DG176" s="92">
        <v>46204</v>
      </c>
      <c r="DH176" s="90">
        <v>6.5000000000000002E-2</v>
      </c>
      <c r="DI176" t="s">
        <v>296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393</v>
      </c>
      <c r="E177" t="s">
        <v>534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295</v>
      </c>
      <c r="DJ177" s="92">
        <v>46661</v>
      </c>
      <c r="DK177" s="90">
        <v>0.04</v>
      </c>
      <c r="DL177" t="s">
        <v>296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395</v>
      </c>
      <c r="E178" t="s">
        <v>535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397</v>
      </c>
      <c r="DJ178" s="92">
        <v>46478</v>
      </c>
      <c r="DK178" s="90">
        <v>0.04</v>
      </c>
      <c r="DL178" t="s">
        <v>296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398</v>
      </c>
      <c r="E179" t="s">
        <v>536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295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400</v>
      </c>
      <c r="E180" t="s">
        <v>537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295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76</v>
      </c>
      <c r="D181" t="s">
        <v>402</v>
      </c>
      <c r="E181" t="s">
        <v>538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296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78</v>
      </c>
      <c r="D182" t="s">
        <v>404</v>
      </c>
      <c r="E182" t="s">
        <v>539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295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80</v>
      </c>
      <c r="D183" t="s">
        <v>406</v>
      </c>
      <c r="E183" t="s">
        <v>540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295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82</v>
      </c>
      <c r="D184" t="s">
        <v>408</v>
      </c>
      <c r="E184" t="s">
        <v>541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84</v>
      </c>
      <c r="D185" t="s">
        <v>410</v>
      </c>
      <c r="E185" t="s">
        <v>542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295</v>
      </c>
      <c r="DJ185" s="92">
        <v>46600</v>
      </c>
      <c r="DK185" s="90">
        <v>0.04</v>
      </c>
      <c r="DL185" t="s">
        <v>296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86</v>
      </c>
      <c r="D186" t="s">
        <v>412</v>
      </c>
      <c r="E186" t="s">
        <v>543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295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87</v>
      </c>
      <c r="D187" t="s">
        <v>414</v>
      </c>
      <c r="E187" t="s">
        <v>544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89</v>
      </c>
      <c r="D188" t="s">
        <v>416</v>
      </c>
      <c r="E188" t="s">
        <v>545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295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90</v>
      </c>
      <c r="D189" t="s">
        <v>418</v>
      </c>
      <c r="E189" t="s">
        <v>546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295</v>
      </c>
      <c r="DJ189" s="92">
        <v>46419</v>
      </c>
      <c r="DK189" s="90">
        <v>0.04</v>
      </c>
      <c r="DL189" t="s">
        <v>296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91</v>
      </c>
      <c r="D190" t="s">
        <v>420</v>
      </c>
      <c r="E190" t="s">
        <v>547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293</v>
      </c>
      <c r="E191" t="s">
        <v>548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295</v>
      </c>
      <c r="DJ191" s="92">
        <v>46204</v>
      </c>
      <c r="DK191" s="90">
        <v>0.06</v>
      </c>
      <c r="DL191" t="s">
        <v>295</v>
      </c>
      <c r="DM191" s="92">
        <v>46478</v>
      </c>
      <c r="DN191" s="90">
        <v>0.05</v>
      </c>
      <c r="DO191" t="s">
        <v>296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297</v>
      </c>
      <c r="E192" t="s">
        <v>549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295</v>
      </c>
      <c r="DJ192" s="92">
        <v>46419</v>
      </c>
      <c r="DK192" s="90">
        <v>0.04</v>
      </c>
      <c r="DL192" t="s">
        <v>296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299</v>
      </c>
      <c r="E193" t="s">
        <v>550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301</v>
      </c>
      <c r="E194" t="s">
        <v>551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295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303</v>
      </c>
      <c r="E195" t="s">
        <v>552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295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305</v>
      </c>
      <c r="E196" t="s">
        <v>553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295</v>
      </c>
      <c r="DJ196" s="92">
        <v>46539</v>
      </c>
      <c r="DK196" s="90">
        <v>0.04</v>
      </c>
      <c r="DL196" t="s">
        <v>296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307</v>
      </c>
      <c r="E197" t="s">
        <v>554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295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309</v>
      </c>
      <c r="E198" t="s">
        <v>555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295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311</v>
      </c>
      <c r="E199" t="s">
        <v>556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313</v>
      </c>
      <c r="E200" t="s">
        <v>557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295</v>
      </c>
      <c r="DJ200" s="92">
        <v>46661</v>
      </c>
      <c r="DK200" s="90">
        <v>0.04</v>
      </c>
      <c r="DL200" t="s">
        <v>296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315</v>
      </c>
      <c r="E201" t="s">
        <v>558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295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76</v>
      </c>
      <c r="D202" t="s">
        <v>317</v>
      </c>
      <c r="E202" t="s">
        <v>559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78</v>
      </c>
      <c r="D203" t="s">
        <v>319</v>
      </c>
      <c r="E203" t="s">
        <v>560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295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80</v>
      </c>
      <c r="D204" t="s">
        <v>321</v>
      </c>
      <c r="E204" t="s">
        <v>561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295</v>
      </c>
      <c r="DJ204" s="92">
        <v>46478</v>
      </c>
      <c r="DK204" s="90">
        <v>0.04</v>
      </c>
      <c r="DL204" t="s">
        <v>296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82</v>
      </c>
      <c r="D205" t="s">
        <v>323</v>
      </c>
      <c r="E205" t="s">
        <v>562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84</v>
      </c>
      <c r="D206" t="s">
        <v>325</v>
      </c>
      <c r="E206" t="s">
        <v>563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295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86</v>
      </c>
      <c r="D207" t="s">
        <v>327</v>
      </c>
      <c r="E207" t="s">
        <v>564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295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87</v>
      </c>
      <c r="D208" t="s">
        <v>329</v>
      </c>
      <c r="E208" t="s">
        <v>565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296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89</v>
      </c>
      <c r="D209" t="s">
        <v>331</v>
      </c>
      <c r="E209" t="s">
        <v>566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295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90</v>
      </c>
      <c r="D210" t="s">
        <v>333</v>
      </c>
      <c r="E210" t="s">
        <v>567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295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91</v>
      </c>
      <c r="D211" t="s">
        <v>335</v>
      </c>
      <c r="E211" t="s">
        <v>568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337</v>
      </c>
      <c r="E212" t="s">
        <v>569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295</v>
      </c>
      <c r="DJ212" s="92">
        <v>46419</v>
      </c>
      <c r="DK212" s="90">
        <v>0.04</v>
      </c>
      <c r="DL212" t="s">
        <v>296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339</v>
      </c>
      <c r="E213" t="s">
        <v>570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295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341</v>
      </c>
      <c r="E214" t="s">
        <v>571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0.90011109631642505</v>
      </c>
      <c r="K214" s="87">
        <v>0.99554699171046557</v>
      </c>
      <c r="L214" s="87">
        <v>0.99987657488405635</v>
      </c>
      <c r="M214" s="87">
        <v>1.02</v>
      </c>
      <c r="N214" s="89">
        <v>0.60799999999999998</v>
      </c>
      <c r="O214" s="89">
        <v>0.61732221990729674</v>
      </c>
      <c r="P214" s="89">
        <v>0.58685864488521144</v>
      </c>
      <c r="Q214" s="90">
        <v>0</v>
      </c>
      <c r="R214" s="87">
        <v>0.97284786829941206</v>
      </c>
      <c r="S214" s="87">
        <v>0.9727132322504155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0.61732221990729674</v>
      </c>
      <c r="Z214" s="89">
        <v>0.58685864488521144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1.0433893106867549</v>
      </c>
      <c r="AG214" s="87">
        <v>1.0761094771062369</v>
      </c>
      <c r="AH214" s="87">
        <v>56700</v>
      </c>
      <c r="AI214" s="87">
        <v>56953.614919354841</v>
      </c>
      <c r="AJ214" s="87">
        <v>48605.999201086946</v>
      </c>
      <c r="AK214" s="87">
        <v>53759.537552365138</v>
      </c>
      <c r="AL214" s="87">
        <v>53993.33504373904</v>
      </c>
      <c r="AM214" s="87">
        <v>55080</v>
      </c>
      <c r="AN214" s="87">
        <v>32832</v>
      </c>
      <c r="AO214" s="87">
        <v>33335.399874994022</v>
      </c>
      <c r="AP214" s="87">
        <v>31690.366823801422</v>
      </c>
      <c r="AQ214" s="87">
        <v>0</v>
      </c>
      <c r="AR214" s="87">
        <v>52533.784888168251</v>
      </c>
      <c r="AS214" s="87">
        <v>52526.51454152244</v>
      </c>
      <c r="AT214" s="87">
        <v>33335.399874994022</v>
      </c>
      <c r="AU214" s="87">
        <v>31690.366823801422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5198.7894836391233</v>
      </c>
      <c r="BL214" s="87">
        <v>4979.3969849246259</v>
      </c>
      <c r="BM214" s="87">
        <v>5936.8571249765446</v>
      </c>
      <c r="BN214" s="87">
        <v>2865.6359102244419</v>
      </c>
      <c r="BO214" s="87">
        <v>3582.1827295840171</v>
      </c>
      <c r="BP214" s="87">
        <v>4129.4730850142269</v>
      </c>
      <c r="BQ214" s="87">
        <v>3910.9008198237111</v>
      </c>
      <c r="BR214" s="87">
        <v>3690.4233343567671</v>
      </c>
      <c r="BS214" s="87">
        <v>4078.62313177536</v>
      </c>
      <c r="BT214" s="87">
        <v>3862.691150850244</v>
      </c>
      <c r="BU214" s="87">
        <v>3648.3588603351982</v>
      </c>
      <c r="BV214" s="87">
        <v>3435.6085493375308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2379.7995082277321</v>
      </c>
      <c r="CV214" s="87">
        <v>2170.8542713567808</v>
      </c>
      <c r="CW214" s="87">
        <v>3082.7210714062312</v>
      </c>
      <c r="CX214" s="87">
        <v>2865.6359102244419</v>
      </c>
      <c r="CY214" s="87">
        <v>2650.1956400223612</v>
      </c>
      <c r="CZ214" s="87">
        <v>2436.381635936144</v>
      </c>
      <c r="DA214" s="87">
        <v>2224.1755532269008</v>
      </c>
      <c r="DB214" s="87">
        <v>2010.1197420939509</v>
      </c>
      <c r="DC214" s="87">
        <v>2387.0127492964648</v>
      </c>
      <c r="DD214" s="87">
        <v>2177.3700493691731</v>
      </c>
      <c r="DE214" s="87">
        <v>1969.2804469273749</v>
      </c>
      <c r="DF214" s="87">
        <v>1762.726746929636</v>
      </c>
      <c r="DG214" s="92">
        <v>46113</v>
      </c>
      <c r="DH214" s="90">
        <v>0.05</v>
      </c>
      <c r="DI214" t="s">
        <v>295</v>
      </c>
      <c r="DJ214" s="92">
        <v>46522</v>
      </c>
      <c r="DK214" s="90">
        <v>0.03</v>
      </c>
      <c r="DL214" t="s">
        <v>296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343</v>
      </c>
      <c r="E215" t="s">
        <v>572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295</v>
      </c>
      <c r="DJ215" s="92">
        <v>46447</v>
      </c>
      <c r="DK215" s="90">
        <v>4.8000000000000001E-2</v>
      </c>
      <c r="DL215" t="s">
        <v>296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345</v>
      </c>
      <c r="E216" t="s">
        <v>573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295</v>
      </c>
      <c r="DJ216" s="92">
        <v>46539</v>
      </c>
      <c r="DK216" s="90">
        <v>0.04</v>
      </c>
      <c r="DL216" t="s">
        <v>296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347</v>
      </c>
      <c r="E217" t="s">
        <v>574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349</v>
      </c>
      <c r="E218" t="s">
        <v>575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295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351</v>
      </c>
      <c r="E219" t="s">
        <v>576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295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353</v>
      </c>
      <c r="E220" t="s">
        <v>577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296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355</v>
      </c>
      <c r="E221" t="s">
        <v>578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295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357</v>
      </c>
      <c r="E222" t="s">
        <v>579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295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76</v>
      </c>
      <c r="D223" t="s">
        <v>359</v>
      </c>
      <c r="E223" t="s">
        <v>580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78</v>
      </c>
      <c r="D224" t="s">
        <v>361</v>
      </c>
      <c r="E224" t="s">
        <v>581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295</v>
      </c>
      <c r="DJ224" s="92">
        <v>46478</v>
      </c>
      <c r="DK224" s="90">
        <v>0.04</v>
      </c>
      <c r="DL224" t="s">
        <v>296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80</v>
      </c>
      <c r="D225" t="s">
        <v>363</v>
      </c>
      <c r="E225" t="s">
        <v>582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295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82</v>
      </c>
      <c r="D226" t="s">
        <v>365</v>
      </c>
      <c r="E226" t="s">
        <v>583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84</v>
      </c>
      <c r="D227" t="s">
        <v>367</v>
      </c>
      <c r="E227" t="s">
        <v>584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295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86</v>
      </c>
      <c r="D228" t="s">
        <v>369</v>
      </c>
      <c r="E228" t="s">
        <v>585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295</v>
      </c>
      <c r="DJ228" s="92">
        <v>46600</v>
      </c>
      <c r="DK228" s="90">
        <v>0.04</v>
      </c>
      <c r="DL228" t="s">
        <v>296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87</v>
      </c>
      <c r="D229" t="s">
        <v>371</v>
      </c>
      <c r="E229" t="s">
        <v>586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89</v>
      </c>
      <c r="D230" t="s">
        <v>373</v>
      </c>
      <c r="E230" t="s">
        <v>587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295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90</v>
      </c>
      <c r="D231" t="s">
        <v>375</v>
      </c>
      <c r="E231" t="s">
        <v>588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295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91</v>
      </c>
      <c r="D232" t="s">
        <v>377</v>
      </c>
      <c r="E232" t="s">
        <v>589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296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379</v>
      </c>
      <c r="E233" t="s">
        <v>590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295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381</v>
      </c>
      <c r="E234" t="s">
        <v>591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295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383</v>
      </c>
      <c r="E235" t="s">
        <v>592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385</v>
      </c>
      <c r="E236" t="s">
        <v>593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295</v>
      </c>
      <c r="DJ236" s="92">
        <v>46539</v>
      </c>
      <c r="DK236" s="90">
        <v>0.04</v>
      </c>
      <c r="DL236" t="s">
        <v>296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387</v>
      </c>
      <c r="E237" t="s">
        <v>594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389</v>
      </c>
      <c r="E238" t="s">
        <v>595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391</v>
      </c>
      <c r="E239" t="s">
        <v>596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0.89620409445450866</v>
      </c>
      <c r="K239" s="87">
        <v>0.94618568894145472</v>
      </c>
      <c r="L239" s="87">
        <v>1.0042355369373781</v>
      </c>
      <c r="M239" s="87">
        <v>1</v>
      </c>
      <c r="N239" s="89">
        <v>0.60399999999999998</v>
      </c>
      <c r="O239" s="89">
        <v>0.57391674919945712</v>
      </c>
      <c r="P239" s="89">
        <v>0.55958940773450672</v>
      </c>
      <c r="Q239" s="90">
        <v>0</v>
      </c>
      <c r="R239" s="87">
        <v>0.93896713615023475</v>
      </c>
      <c r="S239" s="87">
        <v>0.986693243770281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0.57391674919945712</v>
      </c>
      <c r="Z239" s="89">
        <v>0.55958940773450672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1.025634192168233</v>
      </c>
      <c r="AG239" s="87">
        <v>1.05896417911691</v>
      </c>
      <c r="AH239" s="87">
        <v>60000</v>
      </c>
      <c r="AI239" s="87">
        <v>63412.5</v>
      </c>
      <c r="AJ239" s="87">
        <v>53772.245667270523</v>
      </c>
      <c r="AK239" s="87">
        <v>56771.141336487293</v>
      </c>
      <c r="AL239" s="87">
        <v>60254.132216242673</v>
      </c>
      <c r="AM239" s="87">
        <v>60000</v>
      </c>
      <c r="AN239" s="87">
        <v>36240</v>
      </c>
      <c r="AO239" s="87">
        <v>34435.004951967428</v>
      </c>
      <c r="AP239" s="87">
        <v>33575.364464070401</v>
      </c>
      <c r="AQ239" s="87">
        <v>0</v>
      </c>
      <c r="AR239" s="87">
        <v>56338.028169014076</v>
      </c>
      <c r="AS239" s="87">
        <v>59201.594626216858</v>
      </c>
      <c r="AT239" s="87">
        <v>34435.004951967428</v>
      </c>
      <c r="AU239" s="87">
        <v>33575.364464070401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5285.5538666749344</v>
      </c>
      <c r="BL239" s="87">
        <v>5166.2868466683158</v>
      </c>
      <c r="BM239" s="87">
        <v>5047.4547983310194</v>
      </c>
      <c r="BN239" s="87">
        <v>5617.5832181638707</v>
      </c>
      <c r="BO239" s="87">
        <v>6099.165809649905</v>
      </c>
      <c r="BP239" s="87">
        <v>5975.2476489028259</v>
      </c>
      <c r="BQ239" s="87">
        <v>1832.6697137948991</v>
      </c>
      <c r="BR239" s="87">
        <v>1715.2934692752849</v>
      </c>
      <c r="BS239" s="87">
        <v>1600.244483833508</v>
      </c>
      <c r="BT239" s="87">
        <v>1485.6236464020969</v>
      </c>
      <c r="BU239" s="87">
        <v>1371.428571428575</v>
      </c>
      <c r="BV239" s="87">
        <v>1257.6568910499959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1300.9895461736451</v>
      </c>
      <c r="CV239" s="87">
        <v>1189.0017339608639</v>
      </c>
      <c r="CW239" s="87">
        <v>1077.422345850727</v>
      </c>
      <c r="CX239" s="87">
        <v>1612.7541954590411</v>
      </c>
      <c r="CY239" s="87">
        <v>2064.9444222064922</v>
      </c>
      <c r="CZ239" s="87">
        <v>1948.589341692792</v>
      </c>
      <c r="DA239" s="87">
        <v>1832.6697137948991</v>
      </c>
      <c r="DB239" s="87">
        <v>1715.2934692752849</v>
      </c>
      <c r="DC239" s="87">
        <v>1600.244483833508</v>
      </c>
      <c r="DD239" s="87">
        <v>1485.6236464020969</v>
      </c>
      <c r="DE239" s="87">
        <v>1371.428571428575</v>
      </c>
      <c r="DF239" s="87">
        <v>1257.6568910499959</v>
      </c>
      <c r="DG239" s="92">
        <v>46204</v>
      </c>
      <c r="DH239" s="90">
        <v>6.5000000000000002E-2</v>
      </c>
      <c r="DI239" t="s">
        <v>296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393</v>
      </c>
      <c r="E240" t="s">
        <v>597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295</v>
      </c>
      <c r="DJ240" s="92">
        <v>46661</v>
      </c>
      <c r="DK240" s="90">
        <v>0.04</v>
      </c>
      <c r="DL240" t="s">
        <v>296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395</v>
      </c>
      <c r="E241" t="s">
        <v>598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397</v>
      </c>
      <c r="DJ241" s="92">
        <v>46478</v>
      </c>
      <c r="DK241" s="90">
        <v>0.04</v>
      </c>
      <c r="DL241" t="s">
        <v>296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398</v>
      </c>
      <c r="E242" t="s">
        <v>599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295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400</v>
      </c>
      <c r="E243" t="s">
        <v>600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295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76</v>
      </c>
      <c r="D244" t="s">
        <v>402</v>
      </c>
      <c r="E244" t="s">
        <v>601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296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78</v>
      </c>
      <c r="D245" t="s">
        <v>404</v>
      </c>
      <c r="E245" t="s">
        <v>602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295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80</v>
      </c>
      <c r="D246" t="s">
        <v>406</v>
      </c>
      <c r="E246" t="s">
        <v>603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295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82</v>
      </c>
      <c r="D247" t="s">
        <v>408</v>
      </c>
      <c r="E247" t="s">
        <v>604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84</v>
      </c>
      <c r="D248" t="s">
        <v>410</v>
      </c>
      <c r="E248" t="s">
        <v>605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295</v>
      </c>
      <c r="DJ248" s="92">
        <v>46600</v>
      </c>
      <c r="DK248" s="90">
        <v>0.04</v>
      </c>
      <c r="DL248" t="s">
        <v>296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86</v>
      </c>
      <c r="D249" t="s">
        <v>412</v>
      </c>
      <c r="E249" t="s">
        <v>606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295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87</v>
      </c>
      <c r="D250" t="s">
        <v>414</v>
      </c>
      <c r="E250" t="s">
        <v>607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89</v>
      </c>
      <c r="D251" t="s">
        <v>416</v>
      </c>
      <c r="E251" t="s">
        <v>608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295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90</v>
      </c>
      <c r="D252" t="s">
        <v>418</v>
      </c>
      <c r="E252" t="s">
        <v>609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295</v>
      </c>
      <c r="DJ252" s="92">
        <v>46419</v>
      </c>
      <c r="DK252" s="90">
        <v>0.04</v>
      </c>
      <c r="DL252" t="s">
        <v>296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91</v>
      </c>
      <c r="D253" t="s">
        <v>420</v>
      </c>
      <c r="E253" t="s">
        <v>610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293</v>
      </c>
      <c r="E254" t="s">
        <v>611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295</v>
      </c>
      <c r="DJ254" s="92">
        <v>46204</v>
      </c>
      <c r="DK254" s="90">
        <v>0.06</v>
      </c>
      <c r="DL254" t="s">
        <v>295</v>
      </c>
      <c r="DM254" s="92">
        <v>46478</v>
      </c>
      <c r="DN254" s="90">
        <v>0.05</v>
      </c>
      <c r="DO254" t="s">
        <v>296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297</v>
      </c>
      <c r="E255" t="s">
        <v>612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295</v>
      </c>
      <c r="DJ255" s="92">
        <v>46419</v>
      </c>
      <c r="DK255" s="90">
        <v>0.04</v>
      </c>
      <c r="DL255" t="s">
        <v>296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299</v>
      </c>
      <c r="E256" t="s">
        <v>613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301</v>
      </c>
      <c r="E257" t="s">
        <v>614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295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303</v>
      </c>
      <c r="E258" t="s">
        <v>615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295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305</v>
      </c>
      <c r="E259" t="s">
        <v>616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295</v>
      </c>
      <c r="DJ259" s="92">
        <v>46539</v>
      </c>
      <c r="DK259" s="90">
        <v>0.04</v>
      </c>
      <c r="DL259" t="s">
        <v>296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307</v>
      </c>
      <c r="E260" t="s">
        <v>617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295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309</v>
      </c>
      <c r="E261" t="s">
        <v>618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295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311</v>
      </c>
      <c r="E262" t="s">
        <v>619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313</v>
      </c>
      <c r="E263" t="s">
        <v>620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295</v>
      </c>
      <c r="DJ263" s="92">
        <v>46661</v>
      </c>
      <c r="DK263" s="90">
        <v>0.04</v>
      </c>
      <c r="DL263" t="s">
        <v>296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315</v>
      </c>
      <c r="E264" t="s">
        <v>621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295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76</v>
      </c>
      <c r="D265" t="s">
        <v>317</v>
      </c>
      <c r="E265" t="s">
        <v>622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78</v>
      </c>
      <c r="D266" t="s">
        <v>319</v>
      </c>
      <c r="E266" t="s">
        <v>623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295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80</v>
      </c>
      <c r="D267" t="s">
        <v>321</v>
      </c>
      <c r="E267" t="s">
        <v>624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295</v>
      </c>
      <c r="DJ267" s="92">
        <v>46478</v>
      </c>
      <c r="DK267" s="90">
        <v>0.04</v>
      </c>
      <c r="DL267" t="s">
        <v>296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82</v>
      </c>
      <c r="D268" t="s">
        <v>323</v>
      </c>
      <c r="E268" t="s">
        <v>625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84</v>
      </c>
      <c r="D269" t="s">
        <v>325</v>
      </c>
      <c r="E269" t="s">
        <v>626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295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86</v>
      </c>
      <c r="D270" t="s">
        <v>327</v>
      </c>
      <c r="E270" t="s">
        <v>627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295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87</v>
      </c>
      <c r="D271" t="s">
        <v>329</v>
      </c>
      <c r="E271" t="s">
        <v>628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296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89</v>
      </c>
      <c r="D272" t="s">
        <v>331</v>
      </c>
      <c r="E272" t="s">
        <v>629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295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90</v>
      </c>
      <c r="D273" t="s">
        <v>333</v>
      </c>
      <c r="E273" t="s">
        <v>630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295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91</v>
      </c>
      <c r="D274" t="s">
        <v>335</v>
      </c>
      <c r="E274" t="s">
        <v>631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337</v>
      </c>
      <c r="E275" t="s">
        <v>632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295</v>
      </c>
      <c r="DJ275" s="92">
        <v>46419</v>
      </c>
      <c r="DK275" s="90">
        <v>0.04</v>
      </c>
      <c r="DL275" t="s">
        <v>296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339</v>
      </c>
      <c r="E276" t="s">
        <v>633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295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341</v>
      </c>
      <c r="E277" t="s">
        <v>634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1.000865040760869</v>
      </c>
      <c r="K277" s="87">
        <v>0.99554699171046557</v>
      </c>
      <c r="L277" s="87">
        <v>0.99913570688790188</v>
      </c>
      <c r="M277" s="87">
        <v>1.02</v>
      </c>
      <c r="N277" s="89">
        <v>0.55800000000000005</v>
      </c>
      <c r="O277" s="89">
        <v>0.56613579526283908</v>
      </c>
      <c r="P277" s="89">
        <v>0.53859724316767776</v>
      </c>
      <c r="Q277" s="90">
        <v>0</v>
      </c>
      <c r="R277" s="87">
        <v>0.97284786829941206</v>
      </c>
      <c r="S277" s="87">
        <v>0.97271323225041562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0.56613579526283908</v>
      </c>
      <c r="Z277" s="89">
        <v>0.53859724316767776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1.0410108178186279</v>
      </c>
      <c r="AG277" s="87">
        <v>1.07365054415658</v>
      </c>
      <c r="AH277" s="87">
        <v>22680</v>
      </c>
      <c r="AI277" s="87">
        <v>22781.44596774194</v>
      </c>
      <c r="AJ277" s="87">
        <v>21618.684880434779</v>
      </c>
      <c r="AK277" s="87">
        <v>21503.815020946051</v>
      </c>
      <c r="AL277" s="87">
        <v>21581.331268778678</v>
      </c>
      <c r="AM277" s="87">
        <v>22032</v>
      </c>
      <c r="AN277" s="87">
        <v>12052.8</v>
      </c>
      <c r="AO277" s="87">
        <v>12228.53317767732</v>
      </c>
      <c r="AP277" s="87">
        <v>11633.700452421839</v>
      </c>
      <c r="AQ277" s="87">
        <v>0</v>
      </c>
      <c r="AR277" s="87">
        <v>21013.513955267299</v>
      </c>
      <c r="AS277" s="87">
        <v>21010.605816608979</v>
      </c>
      <c r="AT277" s="87">
        <v>12228.53317767732</v>
      </c>
      <c r="AU277" s="87">
        <v>11633.700452421839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1975.617196768548</v>
      </c>
      <c r="BL277" s="87">
        <v>1897.2972972973</v>
      </c>
      <c r="BM277" s="87">
        <v>2287.8859644200052</v>
      </c>
      <c r="BN277" s="87">
        <v>1072.7516778523491</v>
      </c>
      <c r="BO277" s="87">
        <v>1367.398674148777</v>
      </c>
      <c r="BP277" s="87">
        <v>1594.6708143539599</v>
      </c>
      <c r="BQ277" s="87">
        <v>1516.3408071748879</v>
      </c>
      <c r="BR277" s="87">
        <v>1437.266979310343</v>
      </c>
      <c r="BS277" s="87">
        <v>1601.0746657868681</v>
      </c>
      <c r="BT277" s="87">
        <v>1523.513118430428</v>
      </c>
      <c r="BU277" s="87">
        <v>1446.468422110552</v>
      </c>
      <c r="BV277" s="87">
        <v>1369.9354277315031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852.96875882718552</v>
      </c>
      <c r="CV277" s="87">
        <v>778.37837837838003</v>
      </c>
      <c r="CW277" s="87">
        <v>1150.36758516191</v>
      </c>
      <c r="CX277" s="87">
        <v>1072.7516778523491</v>
      </c>
      <c r="CY277" s="87">
        <v>995.66356390390638</v>
      </c>
      <c r="CZ277" s="87">
        <v>919.0978780135531</v>
      </c>
      <c r="DA277" s="87">
        <v>843.0493273542611</v>
      </c>
      <c r="DB277" s="87">
        <v>766.27862068965419</v>
      </c>
      <c r="DC277" s="87">
        <v>925.31520950181425</v>
      </c>
      <c r="DD277" s="87">
        <v>850.01273634021948</v>
      </c>
      <c r="DE277" s="87">
        <v>775.21206030150563</v>
      </c>
      <c r="DF277" s="87">
        <v>700.90818226359488</v>
      </c>
      <c r="DG277" s="92">
        <v>46113</v>
      </c>
      <c r="DH277" s="90">
        <v>0.05</v>
      </c>
      <c r="DI277" t="s">
        <v>295</v>
      </c>
      <c r="DJ277" s="92">
        <v>46522</v>
      </c>
      <c r="DK277" s="90">
        <v>0.03</v>
      </c>
      <c r="DL277" t="s">
        <v>296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343</v>
      </c>
      <c r="E278" t="s">
        <v>635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295</v>
      </c>
      <c r="DJ278" s="92">
        <v>46447</v>
      </c>
      <c r="DK278" s="90">
        <v>4.8000000000000001E-2</v>
      </c>
      <c r="DL278" t="s">
        <v>296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345</v>
      </c>
      <c r="E279" t="s">
        <v>636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295</v>
      </c>
      <c r="DJ279" s="92">
        <v>46539</v>
      </c>
      <c r="DK279" s="90">
        <v>0.04</v>
      </c>
      <c r="DL279" t="s">
        <v>296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347</v>
      </c>
      <c r="E280" t="s">
        <v>637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349</v>
      </c>
      <c r="E281" t="s">
        <v>638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295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351</v>
      </c>
      <c r="E282" t="s">
        <v>639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295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353</v>
      </c>
      <c r="E283" t="s">
        <v>640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296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355</v>
      </c>
      <c r="E284" t="s">
        <v>641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295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357</v>
      </c>
      <c r="E285" t="s">
        <v>642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295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76</v>
      </c>
      <c r="D286" t="s">
        <v>359</v>
      </c>
      <c r="E286" t="s">
        <v>643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78</v>
      </c>
      <c r="D287" t="s">
        <v>361</v>
      </c>
      <c r="E287" t="s">
        <v>644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295</v>
      </c>
      <c r="DJ287" s="92">
        <v>46478</v>
      </c>
      <c r="DK287" s="90">
        <v>0.04</v>
      </c>
      <c r="DL287" t="s">
        <v>296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80</v>
      </c>
      <c r="D288" t="s">
        <v>363</v>
      </c>
      <c r="E288" t="s">
        <v>645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295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82</v>
      </c>
      <c r="D289" t="s">
        <v>365</v>
      </c>
      <c r="E289" t="s">
        <v>646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84</v>
      </c>
      <c r="D290" t="s">
        <v>367</v>
      </c>
      <c r="E290" t="s">
        <v>647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295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86</v>
      </c>
      <c r="D291" t="s">
        <v>369</v>
      </c>
      <c r="E291" t="s">
        <v>648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295</v>
      </c>
      <c r="DJ291" s="92">
        <v>46600</v>
      </c>
      <c r="DK291" s="90">
        <v>0.04</v>
      </c>
      <c r="DL291" t="s">
        <v>296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87</v>
      </c>
      <c r="D292" t="s">
        <v>371</v>
      </c>
      <c r="E292" t="s">
        <v>649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89</v>
      </c>
      <c r="D293" t="s">
        <v>373</v>
      </c>
      <c r="E293" t="s">
        <v>650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295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90</v>
      </c>
      <c r="D294" t="s">
        <v>375</v>
      </c>
      <c r="E294" t="s">
        <v>651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295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91</v>
      </c>
      <c r="D295" t="s">
        <v>377</v>
      </c>
      <c r="E295" t="s">
        <v>652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296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379</v>
      </c>
      <c r="E296" t="s">
        <v>653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295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381</v>
      </c>
      <c r="E297" t="s">
        <v>654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295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383</v>
      </c>
      <c r="E298" t="s">
        <v>655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385</v>
      </c>
      <c r="E299" t="s">
        <v>656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295</v>
      </c>
      <c r="DJ299" s="92">
        <v>46539</v>
      </c>
      <c r="DK299" s="90">
        <v>0.04</v>
      </c>
      <c r="DL299" t="s">
        <v>296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387</v>
      </c>
      <c r="E300" t="s">
        <v>657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389</v>
      </c>
      <c r="E301" t="s">
        <v>658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391</v>
      </c>
      <c r="E302" t="s">
        <v>659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0.99671150186191637</v>
      </c>
      <c r="K302" s="87">
        <v>0.94618568894145472</v>
      </c>
      <c r="L302" s="87">
        <v>1.0032993480379631</v>
      </c>
      <c r="M302" s="87">
        <v>1</v>
      </c>
      <c r="N302" s="89">
        <v>0.55400000000000005</v>
      </c>
      <c r="O302" s="89">
        <v>0.52591634660014819</v>
      </c>
      <c r="P302" s="89">
        <v>0.51297920070736391</v>
      </c>
      <c r="Q302" s="90">
        <v>0</v>
      </c>
      <c r="R302" s="87">
        <v>0.93896713615023475</v>
      </c>
      <c r="S302" s="87">
        <v>0.98614232626957132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0.52591634660014819</v>
      </c>
      <c r="Z302" s="89">
        <v>0.51297920070736391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1.0244717843847171</v>
      </c>
      <c r="AG302" s="87">
        <v>1.057745057252871</v>
      </c>
      <c r="AH302" s="87">
        <v>24000</v>
      </c>
      <c r="AI302" s="87">
        <v>25365</v>
      </c>
      <c r="AJ302" s="87">
        <v>23921.076044685989</v>
      </c>
      <c r="AK302" s="87">
        <v>22708.456534594909</v>
      </c>
      <c r="AL302" s="87">
        <v>24079.184352911121</v>
      </c>
      <c r="AM302" s="87">
        <v>24000</v>
      </c>
      <c r="AN302" s="87">
        <v>13296</v>
      </c>
      <c r="AO302" s="87">
        <v>12621.99231840356</v>
      </c>
      <c r="AP302" s="87">
        <v>12311.50081697673</v>
      </c>
      <c r="AQ302" s="87">
        <v>0</v>
      </c>
      <c r="AR302" s="87">
        <v>22535.211267605631</v>
      </c>
      <c r="AS302" s="87">
        <v>23667.415830469708</v>
      </c>
      <c r="AT302" s="87">
        <v>12621.99231840356</v>
      </c>
      <c r="AU302" s="87">
        <v>12311.50081697673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2057.436868335325</v>
      </c>
      <c r="BL302" s="87">
        <v>2014.7031354236181</v>
      </c>
      <c r="BM302" s="87">
        <v>1972.1093381434739</v>
      </c>
      <c r="BN302" s="87">
        <v>2204.785744680853</v>
      </c>
      <c r="BO302" s="87">
        <v>2402.1644273584589</v>
      </c>
      <c r="BP302" s="87">
        <v>2357.6967032967</v>
      </c>
      <c r="BQ302" s="87">
        <v>707.39766807243495</v>
      </c>
      <c r="BR302" s="87">
        <v>665.24531520871483</v>
      </c>
      <c r="BS302" s="87">
        <v>623.91297181473431</v>
      </c>
      <c r="BT302" s="87">
        <v>582.71892054959551</v>
      </c>
      <c r="BU302" s="87">
        <v>541.66246851385404</v>
      </c>
      <c r="BV302" s="87">
        <v>500.74292742927008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467.07687167636362</v>
      </c>
      <c r="CV302" s="87">
        <v>426.95130086724652</v>
      </c>
      <c r="CW302" s="87">
        <v>386.95712501734653</v>
      </c>
      <c r="CX302" s="87">
        <v>605.43262411347598</v>
      </c>
      <c r="CY302" s="87">
        <v>790.76472052437725</v>
      </c>
      <c r="CZ302" s="87">
        <v>749.01098901098533</v>
      </c>
      <c r="DA302" s="87">
        <v>707.39766807243495</v>
      </c>
      <c r="DB302" s="87">
        <v>665.24531520871483</v>
      </c>
      <c r="DC302" s="87">
        <v>623.91297181473431</v>
      </c>
      <c r="DD302" s="87">
        <v>582.71892054959551</v>
      </c>
      <c r="DE302" s="87">
        <v>541.66246851385404</v>
      </c>
      <c r="DF302" s="87">
        <v>500.74292742927008</v>
      </c>
      <c r="DG302" s="92">
        <v>46204</v>
      </c>
      <c r="DH302" s="90">
        <v>6.5000000000000002E-2</v>
      </c>
      <c r="DI302" t="s">
        <v>296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393</v>
      </c>
      <c r="E303" t="s">
        <v>660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295</v>
      </c>
      <c r="DJ303" s="92">
        <v>46661</v>
      </c>
      <c r="DK303" s="90">
        <v>0.04</v>
      </c>
      <c r="DL303" t="s">
        <v>296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395</v>
      </c>
      <c r="E304" t="s">
        <v>661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397</v>
      </c>
      <c r="DJ304" s="92">
        <v>46478</v>
      </c>
      <c r="DK304" s="90">
        <v>0.04</v>
      </c>
      <c r="DL304" t="s">
        <v>296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398</v>
      </c>
      <c r="E305" t="s">
        <v>662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295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400</v>
      </c>
      <c r="E306" t="s">
        <v>663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295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76</v>
      </c>
      <c r="D307" t="s">
        <v>402</v>
      </c>
      <c r="E307" t="s">
        <v>664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296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78</v>
      </c>
      <c r="D308" t="s">
        <v>404</v>
      </c>
      <c r="E308" t="s">
        <v>665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295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80</v>
      </c>
      <c r="D309" t="s">
        <v>406</v>
      </c>
      <c r="E309" t="s">
        <v>666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295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82</v>
      </c>
      <c r="D310" t="s">
        <v>408</v>
      </c>
      <c r="E310" t="s">
        <v>667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84</v>
      </c>
      <c r="D311" t="s">
        <v>410</v>
      </c>
      <c r="E311" t="s">
        <v>668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295</v>
      </c>
      <c r="DJ311" s="92">
        <v>46600</v>
      </c>
      <c r="DK311" s="90">
        <v>0.04</v>
      </c>
      <c r="DL311" t="s">
        <v>296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86</v>
      </c>
      <c r="D312" t="s">
        <v>412</v>
      </c>
      <c r="E312" t="s">
        <v>669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295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87</v>
      </c>
      <c r="D313" t="s">
        <v>414</v>
      </c>
      <c r="E313" t="s">
        <v>670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89</v>
      </c>
      <c r="D314" t="s">
        <v>416</v>
      </c>
      <c r="E314" t="s">
        <v>671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295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90</v>
      </c>
      <c r="D315" t="s">
        <v>418</v>
      </c>
      <c r="E315" t="s">
        <v>672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295</v>
      </c>
      <c r="DJ315" s="92">
        <v>46419</v>
      </c>
      <c r="DK315" s="90">
        <v>0.04</v>
      </c>
      <c r="DL315" t="s">
        <v>296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91</v>
      </c>
      <c r="D316" t="s">
        <v>420</v>
      </c>
      <c r="E316" t="s">
        <v>673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293</v>
      </c>
      <c r="E317" t="s">
        <v>674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295</v>
      </c>
      <c r="DJ317" s="92">
        <v>46204</v>
      </c>
      <c r="DK317" s="90">
        <v>0.06</v>
      </c>
      <c r="DL317" t="s">
        <v>295</v>
      </c>
      <c r="DM317" s="92">
        <v>46478</v>
      </c>
      <c r="DN317" s="90">
        <v>0.05</v>
      </c>
      <c r="DO317" t="s">
        <v>296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297</v>
      </c>
      <c r="E318" t="s">
        <v>675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295</v>
      </c>
      <c r="DJ318" s="92">
        <v>46419</v>
      </c>
      <c r="DK318" s="90">
        <v>0.04</v>
      </c>
      <c r="DL318" t="s">
        <v>296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299</v>
      </c>
      <c r="E319" t="s">
        <v>676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301</v>
      </c>
      <c r="E320" t="s">
        <v>677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295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303</v>
      </c>
      <c r="E321" t="s">
        <v>678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295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305</v>
      </c>
      <c r="E322" t="s">
        <v>679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295</v>
      </c>
      <c r="DJ322" s="92">
        <v>46539</v>
      </c>
      <c r="DK322" s="90">
        <v>0.04</v>
      </c>
      <c r="DL322" t="s">
        <v>296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307</v>
      </c>
      <c r="E323" t="s">
        <v>680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295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309</v>
      </c>
      <c r="E324" t="s">
        <v>681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295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311</v>
      </c>
      <c r="E325" t="s">
        <v>682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313</v>
      </c>
      <c r="E326" t="s">
        <v>683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295</v>
      </c>
      <c r="DJ326" s="92">
        <v>46661</v>
      </c>
      <c r="DK326" s="90">
        <v>0.04</v>
      </c>
      <c r="DL326" t="s">
        <v>296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315</v>
      </c>
      <c r="E327" t="s">
        <v>684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295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76</v>
      </c>
      <c r="D328" t="s">
        <v>317</v>
      </c>
      <c r="E328" t="s">
        <v>685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78</v>
      </c>
      <c r="D329" t="s">
        <v>319</v>
      </c>
      <c r="E329" t="s">
        <v>686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295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80</v>
      </c>
      <c r="D330" t="s">
        <v>321</v>
      </c>
      <c r="E330" t="s">
        <v>687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295</v>
      </c>
      <c r="DJ330" s="92">
        <v>46478</v>
      </c>
      <c r="DK330" s="90">
        <v>0.04</v>
      </c>
      <c r="DL330" t="s">
        <v>296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82</v>
      </c>
      <c r="D331" t="s">
        <v>323</v>
      </c>
      <c r="E331" t="s">
        <v>688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84</v>
      </c>
      <c r="D332" t="s">
        <v>325</v>
      </c>
      <c r="E332" t="s">
        <v>689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295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86</v>
      </c>
      <c r="D333" t="s">
        <v>327</v>
      </c>
      <c r="E333" t="s">
        <v>690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295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87</v>
      </c>
      <c r="D334" t="s">
        <v>329</v>
      </c>
      <c r="E334" t="s">
        <v>691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296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89</v>
      </c>
      <c r="D335" t="s">
        <v>331</v>
      </c>
      <c r="E335" t="s">
        <v>692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295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90</v>
      </c>
      <c r="D336" t="s">
        <v>333</v>
      </c>
      <c r="E336" t="s">
        <v>693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295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91</v>
      </c>
      <c r="D337" t="s">
        <v>335</v>
      </c>
      <c r="E337" t="s">
        <v>694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337</v>
      </c>
      <c r="E338" t="s">
        <v>695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295</v>
      </c>
      <c r="DJ338" s="92">
        <v>46419</v>
      </c>
      <c r="DK338" s="90">
        <v>0.04</v>
      </c>
      <c r="DL338" t="s">
        <v>296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339</v>
      </c>
      <c r="E339" t="s">
        <v>696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295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341</v>
      </c>
      <c r="E340" t="s">
        <v>697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0.9301403314009663</v>
      </c>
      <c r="K340" s="87">
        <v>0.98875687744199026</v>
      </c>
      <c r="L340" s="87">
        <v>0.98909806288509927</v>
      </c>
      <c r="M340" s="87">
        <v>1.02</v>
      </c>
      <c r="N340" s="89">
        <v>0.58799999999999997</v>
      </c>
      <c r="O340" s="89">
        <v>0.58655179268240099</v>
      </c>
      <c r="P340" s="89">
        <v>0.56510500613678705</v>
      </c>
      <c r="Q340" s="90">
        <v>0</v>
      </c>
      <c r="R340" s="87">
        <v>0.97087378640776689</v>
      </c>
      <c r="S340" s="87">
        <v>0.97048512124998465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0.58655179268240099</v>
      </c>
      <c r="Z340" s="89">
        <v>0.56510500613678705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1.0428710116489071</v>
      </c>
      <c r="AG340" s="87">
        <v>1.0755736459458449</v>
      </c>
      <c r="AH340" s="87">
        <v>15120</v>
      </c>
      <c r="AI340" s="87">
        <v>15291.929032258069</v>
      </c>
      <c r="AJ340" s="87">
        <v>13394.020772173921</v>
      </c>
      <c r="AK340" s="87">
        <v>14238.09903516466</v>
      </c>
      <c r="AL340" s="87">
        <v>14243.012105545429</v>
      </c>
      <c r="AM340" s="87">
        <v>14688</v>
      </c>
      <c r="AN340" s="87">
        <v>8467.1999999999989</v>
      </c>
      <c r="AO340" s="87">
        <v>8446.3458146265748</v>
      </c>
      <c r="AP340" s="87">
        <v>8137.5120883697336</v>
      </c>
      <c r="AQ340" s="87">
        <v>0</v>
      </c>
      <c r="AR340" s="87">
        <v>13980.58252427184</v>
      </c>
      <c r="AS340" s="87">
        <v>13974.98574599978</v>
      </c>
      <c r="AT340" s="87">
        <v>8446.3458146265748</v>
      </c>
      <c r="AU340" s="87">
        <v>8137.5120883697336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1371.2342103641649</v>
      </c>
      <c r="BL340" s="87">
        <v>1314.1060903732809</v>
      </c>
      <c r="BM340" s="87">
        <v>1570.5381537896869</v>
      </c>
      <c r="BN340" s="87">
        <v>753.49000487566968</v>
      </c>
      <c r="BO340" s="87">
        <v>945.73852465727271</v>
      </c>
      <c r="BP340" s="87">
        <v>1092.898845735031</v>
      </c>
      <c r="BQ340" s="87">
        <v>1035.936225664519</v>
      </c>
      <c r="BR340" s="87">
        <v>978.46741848315662</v>
      </c>
      <c r="BS340" s="87">
        <v>1083.2262120473879</v>
      </c>
      <c r="BT340" s="87">
        <v>1026.923571276305</v>
      </c>
      <c r="BU340" s="87">
        <v>971.02892065573735</v>
      </c>
      <c r="BV340" s="87">
        <v>915.53784151979687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620.22305748967983</v>
      </c>
      <c r="CV340" s="87">
        <v>565.81532416502898</v>
      </c>
      <c r="CW340" s="87">
        <v>810.03633694255757</v>
      </c>
      <c r="CX340" s="87">
        <v>753.49000487566968</v>
      </c>
      <c r="CY340" s="87">
        <v>697.36255996113846</v>
      </c>
      <c r="CZ340" s="87">
        <v>641.64936479129005</v>
      </c>
      <c r="DA340" s="87">
        <v>586.34585015972573</v>
      </c>
      <c r="DB340" s="87">
        <v>530.55089173122099</v>
      </c>
      <c r="DC340" s="87">
        <v>632.25845829843342</v>
      </c>
      <c r="DD340" s="87">
        <v>577.59570026825634</v>
      </c>
      <c r="DE340" s="87">
        <v>523.32904918032739</v>
      </c>
      <c r="DF340" s="87">
        <v>469.45421506776228</v>
      </c>
      <c r="DG340" s="92">
        <v>46113</v>
      </c>
      <c r="DH340" s="90">
        <v>0.05</v>
      </c>
      <c r="DI340" t="s">
        <v>295</v>
      </c>
      <c r="DJ340" s="92">
        <v>46522</v>
      </c>
      <c r="DK340" s="90">
        <v>0.03</v>
      </c>
      <c r="DL340" t="s">
        <v>296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343</v>
      </c>
      <c r="E341" t="s">
        <v>698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295</v>
      </c>
      <c r="DJ341" s="92">
        <v>46447</v>
      </c>
      <c r="DK341" s="90">
        <v>4.8000000000000001E-2</v>
      </c>
      <c r="DL341" t="s">
        <v>296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345</v>
      </c>
      <c r="E342" t="s">
        <v>699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295</v>
      </c>
      <c r="DJ342" s="92">
        <v>46539</v>
      </c>
      <c r="DK342" s="90">
        <v>0.04</v>
      </c>
      <c r="DL342" t="s">
        <v>296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347</v>
      </c>
      <c r="E343" t="s">
        <v>700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349</v>
      </c>
      <c r="E344" t="s">
        <v>701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295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351</v>
      </c>
      <c r="E345" t="s">
        <v>702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295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353</v>
      </c>
      <c r="E346" t="s">
        <v>703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296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355</v>
      </c>
      <c r="E347" t="s">
        <v>704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295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357</v>
      </c>
      <c r="E348" t="s">
        <v>705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295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76</v>
      </c>
      <c r="D349" t="s">
        <v>359</v>
      </c>
      <c r="E349" t="s">
        <v>706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78</v>
      </c>
      <c r="D350" t="s">
        <v>361</v>
      </c>
      <c r="E350" t="s">
        <v>707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295</v>
      </c>
      <c r="DJ350" s="92">
        <v>46478</v>
      </c>
      <c r="DK350" s="90">
        <v>0.04</v>
      </c>
      <c r="DL350" t="s">
        <v>296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80</v>
      </c>
      <c r="D351" t="s">
        <v>363</v>
      </c>
      <c r="E351" t="s">
        <v>708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295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82</v>
      </c>
      <c r="D352" t="s">
        <v>365</v>
      </c>
      <c r="E352" t="s">
        <v>709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84</v>
      </c>
      <c r="D353" t="s">
        <v>367</v>
      </c>
      <c r="E353" t="s">
        <v>710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295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86</v>
      </c>
      <c r="D354" t="s">
        <v>369</v>
      </c>
      <c r="E354" t="s">
        <v>711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295</v>
      </c>
      <c r="DJ354" s="92">
        <v>46600</v>
      </c>
      <c r="DK354" s="90">
        <v>0.04</v>
      </c>
      <c r="DL354" t="s">
        <v>296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87</v>
      </c>
      <c r="D355" t="s">
        <v>371</v>
      </c>
      <c r="E355" t="s">
        <v>712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89</v>
      </c>
      <c r="D356" t="s">
        <v>373</v>
      </c>
      <c r="E356" t="s">
        <v>713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295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90</v>
      </c>
      <c r="D357" t="s">
        <v>375</v>
      </c>
      <c r="E357" t="s">
        <v>714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295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91</v>
      </c>
      <c r="D358" t="s">
        <v>377</v>
      </c>
      <c r="E358" t="s">
        <v>715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296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379</v>
      </c>
      <c r="E359" t="s">
        <v>716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295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381</v>
      </c>
      <c r="E360" t="s">
        <v>717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295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383</v>
      </c>
      <c r="E361" t="s">
        <v>718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385</v>
      </c>
      <c r="E362" t="s">
        <v>719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295</v>
      </c>
      <c r="DJ362" s="92">
        <v>46539</v>
      </c>
      <c r="DK362" s="90">
        <v>0.04</v>
      </c>
      <c r="DL362" t="s">
        <v>296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387</v>
      </c>
      <c r="E363" t="s">
        <v>720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389</v>
      </c>
      <c r="E364" t="s">
        <v>721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391</v>
      </c>
      <c r="E365" t="s">
        <v>722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0.92259443236715011</v>
      </c>
      <c r="K365" s="87">
        <v>0.93896713615023497</v>
      </c>
      <c r="L365" s="87">
        <v>0.99718789505319971</v>
      </c>
      <c r="M365" s="87">
        <v>1</v>
      </c>
      <c r="N365" s="89">
        <v>0.58399999999999996</v>
      </c>
      <c r="O365" s="89">
        <v>0.54681477062072181</v>
      </c>
      <c r="P365" s="89">
        <v>0.54054244392028095</v>
      </c>
      <c r="Q365" s="90">
        <v>0</v>
      </c>
      <c r="R365" s="87">
        <v>0.93896713615023497</v>
      </c>
      <c r="S365" s="87">
        <v>0.98574949105325183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0.54681477062072181</v>
      </c>
      <c r="Z365" s="89">
        <v>0.54054244392028095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1.025381085203475</v>
      </c>
      <c r="AG365" s="87">
        <v>1.0586987205714291</v>
      </c>
      <c r="AH365" s="87">
        <v>16000</v>
      </c>
      <c r="AI365" s="87">
        <v>17040</v>
      </c>
      <c r="AJ365" s="87">
        <v>14761.510917874401</v>
      </c>
      <c r="AK365" s="87">
        <v>15023.47417840376</v>
      </c>
      <c r="AL365" s="87">
        <v>15955.006320851189</v>
      </c>
      <c r="AM365" s="87">
        <v>16000</v>
      </c>
      <c r="AN365" s="87">
        <v>9344</v>
      </c>
      <c r="AO365" s="87">
        <v>8749.0363299315486</v>
      </c>
      <c r="AP365" s="87">
        <v>8648.6791027244944</v>
      </c>
      <c r="AQ365" s="87">
        <v>0</v>
      </c>
      <c r="AR365" s="87">
        <v>15023.47417840376</v>
      </c>
      <c r="AS365" s="87">
        <v>15771.99185685203</v>
      </c>
      <c r="AT365" s="87">
        <v>8749.0363299315486</v>
      </c>
      <c r="AU365" s="87">
        <v>8648.6791027244944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1401.233736693659</v>
      </c>
      <c r="BL365" s="87">
        <v>1370.1525793170219</v>
      </c>
      <c r="BM365" s="87">
        <v>1339.1822549938049</v>
      </c>
      <c r="BN365" s="87">
        <v>1491.888957528957</v>
      </c>
      <c r="BO365" s="87">
        <v>1621.0007406738321</v>
      </c>
      <c r="BP365" s="87">
        <v>1588.6968083188081</v>
      </c>
      <c r="BQ365" s="87">
        <v>484.98695065246619</v>
      </c>
      <c r="BR365" s="87">
        <v>454.38332784381782</v>
      </c>
      <c r="BS365" s="87">
        <v>424.38400382568989</v>
      </c>
      <c r="BT365" s="87">
        <v>394.49386914884252</v>
      </c>
      <c r="BU365" s="87">
        <v>364.71232876712281</v>
      </c>
      <c r="BV365" s="87">
        <v>335.03879195029992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339.186607224093</v>
      </c>
      <c r="CV365" s="87">
        <v>310.00242189391969</v>
      </c>
      <c r="CW365" s="87">
        <v>280.92230515850139</v>
      </c>
      <c r="CX365" s="87">
        <v>424.30888030888173</v>
      </c>
      <c r="CY365" s="87">
        <v>545.54060157167328</v>
      </c>
      <c r="CZ365" s="87">
        <v>515.20827072188524</v>
      </c>
      <c r="DA365" s="87">
        <v>484.98695065246619</v>
      </c>
      <c r="DB365" s="87">
        <v>454.38332784381782</v>
      </c>
      <c r="DC365" s="87">
        <v>424.38400382568989</v>
      </c>
      <c r="DD365" s="87">
        <v>394.49386914884252</v>
      </c>
      <c r="DE365" s="87">
        <v>364.71232876712281</v>
      </c>
      <c r="DF365" s="87">
        <v>335.03879195029992</v>
      </c>
      <c r="DG365" s="92">
        <v>46204</v>
      </c>
      <c r="DH365" s="90">
        <v>6.5000000000000002E-2</v>
      </c>
      <c r="DI365" t="s">
        <v>296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393</v>
      </c>
      <c r="E366" t="s">
        <v>723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295</v>
      </c>
      <c r="DJ366" s="92">
        <v>46661</v>
      </c>
      <c r="DK366" s="90">
        <v>0.04</v>
      </c>
      <c r="DL366" t="s">
        <v>296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395</v>
      </c>
      <c r="E367" t="s">
        <v>724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397</v>
      </c>
      <c r="DJ367" s="92">
        <v>46478</v>
      </c>
      <c r="DK367" s="90">
        <v>0.04</v>
      </c>
      <c r="DL367" t="s">
        <v>296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398</v>
      </c>
      <c r="E368" t="s">
        <v>725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295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400</v>
      </c>
      <c r="E369" t="s">
        <v>726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295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76</v>
      </c>
      <c r="D370" t="s">
        <v>402</v>
      </c>
      <c r="E370" t="s">
        <v>727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296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78</v>
      </c>
      <c r="D371" t="s">
        <v>404</v>
      </c>
      <c r="E371" t="s">
        <v>728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295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80</v>
      </c>
      <c r="D372" t="s">
        <v>406</v>
      </c>
      <c r="E372" t="s">
        <v>729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295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82</v>
      </c>
      <c r="D373" t="s">
        <v>408</v>
      </c>
      <c r="E373" t="s">
        <v>730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84</v>
      </c>
      <c r="D374" t="s">
        <v>410</v>
      </c>
      <c r="E374" t="s">
        <v>731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295</v>
      </c>
      <c r="DJ374" s="92">
        <v>46600</v>
      </c>
      <c r="DK374" s="90">
        <v>0.04</v>
      </c>
      <c r="DL374" t="s">
        <v>296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86</v>
      </c>
      <c r="D375" t="s">
        <v>412</v>
      </c>
      <c r="E375" t="s">
        <v>732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295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87</v>
      </c>
      <c r="D376" t="s">
        <v>414</v>
      </c>
      <c r="E376" t="s">
        <v>733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89</v>
      </c>
      <c r="D377" t="s">
        <v>416</v>
      </c>
      <c r="E377" t="s">
        <v>734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295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90</v>
      </c>
      <c r="D378" t="s">
        <v>418</v>
      </c>
      <c r="E378" t="s">
        <v>735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295</v>
      </c>
      <c r="DJ378" s="92">
        <v>46419</v>
      </c>
      <c r="DK378" s="90">
        <v>0.04</v>
      </c>
      <c r="DL378" t="s">
        <v>296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91</v>
      </c>
      <c r="D379" t="s">
        <v>420</v>
      </c>
      <c r="E379" t="s">
        <v>736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2026-08-01T22:51:57Z</dcterms:created>
  <dcterms:modified xsi:type="dcterms:W3CDTF">2026-08-01T23:00:42Z</dcterms:modified>
</cp:coreProperties>
</file>