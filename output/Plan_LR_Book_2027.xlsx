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C829F19F-3FF0-4681-913E-A36B6095C193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Summary'!$M$30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fullCalcOnLoad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A83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M7" i="3"/>
  <c r="A5" i="3"/>
  <c r="K3" i="3"/>
  <c r="I3" i="3"/>
  <c r="G3" i="3"/>
  <c r="E3" i="3"/>
  <c r="C3" i="3"/>
  <c r="E24" i="2"/>
  <c r="E7" i="7" s="1"/>
  <c r="G7" i="7" s="1"/>
  <c r="D9" i="2"/>
  <c r="D8" i="2"/>
  <c r="D10" i="7" s="1"/>
  <c r="D7" i="2"/>
  <c r="M3" i="2"/>
  <c r="K3" i="2"/>
  <c r="I3" i="2"/>
  <c r="G3" i="2"/>
  <c r="E3" i="2"/>
  <c r="C3" i="2"/>
  <c r="B18" i="1"/>
  <c r="B17" i="1"/>
  <c r="B16" i="1"/>
  <c r="B15" i="1"/>
  <c r="B14" i="1"/>
  <c r="B13" i="1"/>
  <c r="G14" i="7" l="1"/>
  <c r="G13" i="7"/>
  <c r="G12" i="7"/>
  <c r="G9" i="7"/>
  <c r="G8" i="7"/>
  <c r="G6" i="7"/>
  <c r="D11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K28" i="3"/>
  <c r="F28" i="3"/>
  <c r="AF27" i="3"/>
  <c r="E30" i="3"/>
  <c r="R28" i="3"/>
  <c r="E28" i="3"/>
  <c r="M30" i="3"/>
  <c r="Y28" i="3"/>
  <c r="H28" i="3"/>
  <c r="L30" i="3"/>
  <c r="N30" i="3" s="1"/>
  <c r="C30" i="3"/>
  <c r="AI28" i="3"/>
  <c r="B28" i="3"/>
  <c r="AB27" i="3"/>
  <c r="AE30" i="3"/>
  <c r="D30" i="3"/>
  <c r="AH28" i="3"/>
  <c r="T28" i="3"/>
  <c r="O28" i="3"/>
  <c r="I28" i="3"/>
  <c r="D28" i="3"/>
  <c r="AI27" i="3"/>
  <c r="AB30" i="3"/>
  <c r="AC27" i="3"/>
  <c r="AC30" i="3"/>
  <c r="X28" i="3"/>
  <c r="L28" i="3"/>
  <c r="AE27" i="3"/>
  <c r="K30" i="3"/>
  <c r="V28" i="3"/>
  <c r="AF30" i="3"/>
  <c r="AG28" i="3"/>
  <c r="U28" i="3"/>
  <c r="Q28" i="3"/>
  <c r="C28" i="3"/>
  <c r="AH27" i="3"/>
  <c r="AA27" i="3"/>
  <c r="J30" i="3"/>
  <c r="AA28" i="3"/>
  <c r="AG27" i="3"/>
  <c r="H30" i="3"/>
  <c r="W28" i="3"/>
  <c r="I30" i="3"/>
  <c r="Z28" i="3"/>
  <c r="P28" i="3"/>
  <c r="AD30" i="3"/>
  <c r="AH30" i="3"/>
  <c r="AI30" i="3" s="1"/>
  <c r="F30" i="3"/>
  <c r="B30" i="3"/>
  <c r="AF28" i="3"/>
  <c r="S28" i="3"/>
  <c r="G28" i="3"/>
  <c r="G30" i="3"/>
  <c r="AE28" i="3"/>
  <c r="AD27" i="3"/>
  <c r="AA30" i="3"/>
  <c r="AC28" i="3"/>
  <c r="M28" i="3"/>
  <c r="AB28" i="3"/>
  <c r="AD28" i="3"/>
  <c r="J28" i="3"/>
  <c r="E11" i="7"/>
  <c r="H8" i="5"/>
  <c r="G8" i="5"/>
  <c r="F8" i="5"/>
  <c r="E8" i="5"/>
  <c r="D8" i="5"/>
  <c r="C8" i="5"/>
  <c r="B8" i="5"/>
  <c r="K7" i="5"/>
  <c r="I7" i="5"/>
  <c r="H7" i="5"/>
  <c r="G7" i="5"/>
  <c r="F7" i="5"/>
  <c r="E7" i="5"/>
  <c r="D7" i="5"/>
  <c r="C7" i="5"/>
  <c r="B7" i="5"/>
  <c r="K13" i="5"/>
  <c r="I13" i="5"/>
  <c r="H13" i="5"/>
  <c r="G13" i="5"/>
  <c r="F13" i="5"/>
  <c r="E13" i="5"/>
  <c r="D13" i="5"/>
  <c r="C13" i="5"/>
  <c r="B13" i="5"/>
  <c r="K12" i="5"/>
  <c r="I12" i="5"/>
  <c r="H12" i="5"/>
  <c r="G12" i="5"/>
  <c r="F12" i="5"/>
  <c r="E12" i="5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B9" i="5"/>
  <c r="H10" i="5"/>
  <c r="G10" i="5"/>
  <c r="F10" i="5"/>
  <c r="E10" i="5"/>
  <c r="D10" i="5"/>
  <c r="C10" i="5"/>
  <c r="B10" i="5"/>
  <c r="K9" i="5"/>
  <c r="I10" i="5"/>
  <c r="J10" i="5" s="1"/>
  <c r="H9" i="5"/>
  <c r="G9" i="5"/>
  <c r="F9" i="5"/>
  <c r="E9" i="5"/>
  <c r="D9" i="5"/>
  <c r="C9" i="5"/>
  <c r="K8" i="5"/>
  <c r="I8" i="5"/>
  <c r="I9" i="5"/>
  <c r="J9" i="5" s="1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G20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I31" i="5"/>
  <c r="H31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Z27" i="3"/>
  <c r="Y27" i="3"/>
  <c r="X27" i="3"/>
  <c r="W27" i="3"/>
  <c r="V27" i="3"/>
  <c r="U27" i="3"/>
  <c r="T27" i="3"/>
  <c r="S27" i="3"/>
  <c r="R27" i="3"/>
  <c r="Q27" i="3"/>
  <c r="P27" i="3"/>
  <c r="O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R12" i="3"/>
  <c r="O12" i="3"/>
  <c r="M12" i="3"/>
  <c r="L12" i="3"/>
  <c r="H53" i="6"/>
  <c r="J12" i="3"/>
  <c r="I12" i="3"/>
  <c r="H12" i="3"/>
  <c r="G12" i="3"/>
  <c r="F12" i="3"/>
  <c r="E12" i="3"/>
  <c r="C12" i="3"/>
  <c r="B12" i="3"/>
  <c r="AH11" i="3"/>
  <c r="AF11" i="3"/>
  <c r="AD11" i="3"/>
  <c r="AC11" i="3"/>
  <c r="AA11" i="3"/>
  <c r="Z11" i="3"/>
  <c r="X11" i="3"/>
  <c r="W11" i="3"/>
  <c r="U11" i="3"/>
  <c r="T11" i="3"/>
  <c r="R11" i="3"/>
  <c r="P11" i="3"/>
  <c r="O11" i="3"/>
  <c r="M11" i="3"/>
  <c r="N11" i="3" s="1"/>
  <c r="L11" i="3"/>
  <c r="J11" i="3"/>
  <c r="I11" i="3"/>
  <c r="G11" i="3"/>
  <c r="E11" i="3"/>
  <c r="D11" i="3"/>
  <c r="B11" i="3"/>
  <c r="AI10" i="3"/>
  <c r="AH10" i="3"/>
  <c r="AF10" i="3"/>
  <c r="AD10" i="3"/>
  <c r="AB10" i="3"/>
  <c r="Z10" i="3"/>
  <c r="Y10" i="3"/>
  <c r="W10" i="3"/>
  <c r="V10" i="3"/>
  <c r="T10" i="3"/>
  <c r="R10" i="3"/>
  <c r="Q10" i="3"/>
  <c r="O10" i="3"/>
  <c r="M10" i="3"/>
  <c r="K10" i="3"/>
  <c r="I10" i="3"/>
  <c r="H10" i="3"/>
  <c r="F10" i="3"/>
  <c r="D10" i="3"/>
  <c r="B10" i="3"/>
  <c r="AI9" i="3"/>
  <c r="AG9" i="3"/>
  <c r="AF9" i="3"/>
  <c r="AD9" i="3"/>
  <c r="AB9" i="3"/>
  <c r="Z9" i="3"/>
  <c r="Y9" i="3"/>
  <c r="W9" i="3"/>
  <c r="V9" i="3"/>
  <c r="T9" i="3"/>
  <c r="R9" i="3"/>
  <c r="Q9" i="3"/>
  <c r="O9" i="3"/>
  <c r="M9" i="3"/>
  <c r="K9" i="3"/>
  <c r="I9" i="3"/>
  <c r="H9" i="3"/>
  <c r="F9" i="3"/>
  <c r="E9" i="3"/>
  <c r="C9" i="3"/>
  <c r="AI8" i="3"/>
  <c r="AG8" i="3"/>
  <c r="AE8" i="3"/>
  <c r="AD8" i="3"/>
  <c r="AC8" i="3"/>
  <c r="AA8" i="3"/>
  <c r="Y8" i="3"/>
  <c r="W8" i="3"/>
  <c r="U8" i="3"/>
  <c r="T8" i="3"/>
  <c r="R8" i="3"/>
  <c r="P8" i="3"/>
  <c r="L8" i="3"/>
  <c r="K8" i="3"/>
  <c r="I8" i="3"/>
  <c r="H8" i="3"/>
  <c r="F8" i="3"/>
  <c r="D8" i="3"/>
  <c r="B8" i="3"/>
  <c r="G53" i="6"/>
  <c r="F53" i="6"/>
  <c r="E53" i="6"/>
  <c r="P17" i="3"/>
  <c r="O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I16" i="3" s="1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K12" i="3"/>
  <c r="M15" i="3"/>
  <c r="N15" i="3" s="1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Q12" i="3"/>
  <c r="P12" i="3"/>
  <c r="D12" i="3"/>
  <c r="AI11" i="3"/>
  <c r="AG11" i="3"/>
  <c r="AE11" i="3"/>
  <c r="AB11" i="3"/>
  <c r="Y11" i="3"/>
  <c r="V11" i="3"/>
  <c r="S11" i="3"/>
  <c r="Q11" i="3"/>
  <c r="K11" i="3"/>
  <c r="H11" i="3"/>
  <c r="F11" i="3"/>
  <c r="C11" i="3"/>
  <c r="AG10" i="3"/>
  <c r="AE10" i="3"/>
  <c r="AC10" i="3"/>
  <c r="AA10" i="3"/>
  <c r="X10" i="3"/>
  <c r="U10" i="3"/>
  <c r="S10" i="3"/>
  <c r="P10" i="3"/>
  <c r="L10" i="3"/>
  <c r="J10" i="3"/>
  <c r="G10" i="3"/>
  <c r="E10" i="3"/>
  <c r="C10" i="3"/>
  <c r="AH9" i="3"/>
  <c r="AE9" i="3"/>
  <c r="AC9" i="3"/>
  <c r="AA9" i="3"/>
  <c r="X9" i="3"/>
  <c r="U9" i="3"/>
  <c r="S9" i="3"/>
  <c r="P9" i="3"/>
  <c r="L9" i="3"/>
  <c r="J9" i="3"/>
  <c r="G9" i="3"/>
  <c r="D9" i="3"/>
  <c r="B9" i="3"/>
  <c r="AH8" i="3"/>
  <c r="AF8" i="3"/>
  <c r="AB8" i="3"/>
  <c r="Z8" i="3"/>
  <c r="X8" i="3"/>
  <c r="V8" i="3"/>
  <c r="S8" i="3"/>
  <c r="Q8" i="3"/>
  <c r="O8" i="3"/>
  <c r="M8" i="3"/>
  <c r="J8" i="3"/>
  <c r="G8" i="3"/>
  <c r="E8" i="3"/>
  <c r="C8" i="3"/>
  <c r="K13" i="2"/>
  <c r="I13" i="2"/>
  <c r="G13" i="2"/>
  <c r="E13" i="2"/>
  <c r="C13" i="2"/>
  <c r="A13" i="2"/>
  <c r="J8" i="5" l="1"/>
  <c r="J21" i="5"/>
  <c r="N27" i="3"/>
  <c r="N24" i="3"/>
  <c r="N18" i="3"/>
  <c r="N9" i="3"/>
  <c r="N8" i="3"/>
  <c r="A50" i="5"/>
  <c r="J36" i="5"/>
  <c r="N28" i="3"/>
  <c r="G11" i="7"/>
  <c r="J7" i="5"/>
  <c r="J12" i="5"/>
  <c r="J11" i="5"/>
  <c r="N26" i="3"/>
  <c r="N25" i="3"/>
  <c r="N20" i="3"/>
  <c r="N23" i="3"/>
  <c r="N22" i="3"/>
  <c r="N21" i="3"/>
  <c r="N19" i="3"/>
  <c r="N12" i="3"/>
  <c r="N10" i="3"/>
  <c r="N17" i="3"/>
  <c r="N16" i="3"/>
  <c r="N14" i="3"/>
  <c r="N13" i="3"/>
  <c r="J13" i="5"/>
  <c r="E10" i="7"/>
  <c r="G10" i="7" s="1"/>
  <c r="A14" i="5"/>
  <c r="J22" i="5"/>
  <c r="A23" i="5"/>
  <c r="C3" i="7" l="1"/>
</calcChain>
</file>

<file path=xl/sharedStrings.xml><?xml version="1.0" encoding="utf-8"?>
<sst xmlns="http://schemas.openxmlformats.org/spreadsheetml/2006/main" count="2798" uniqueCount="742">
  <si>
    <t>The Book — 2027 plan, every line of business</t>
  </si>
  <si>
    <t>Harvested 2026-08-02 12:11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</si>
  <si>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</si>
  <si>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</si>
  <si>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</si>
  <si>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</si>
  <si>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</si>
  <si>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</si>
  <si>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</si>
  <si>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</si>
  <si>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</si>
  <si>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</si>
  <si>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</si>
  <si>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</si>
  <si>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</si>
  <si>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</si>
  <si>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</si>
  <si>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</si>
  <si>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</si>
  <si>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</si>
  <si>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</si>
  <si>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</si>
  <si>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</si>
  <si>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v3.5.0, modified 2026-08-02 12:11</t>
  </si>
  <si>
    <t>General Liability</t>
  </si>
  <si>
    <t>Plan_LR_Workbook_2027_General_Liability.xlsx   —   63 combos, v3.5.0, modified 2026-08-02 12:11</t>
  </si>
  <si>
    <t>Commercial Auto</t>
  </si>
  <si>
    <t>Plan_LR_Workbook_2027_Commercial_Auto.xlsx   —   63 combos, v3.5.0, modified 2026-08-02 12:11</t>
  </si>
  <si>
    <t>Workers Comp</t>
  </si>
  <si>
    <t>Plan_LR_Workbook_2027_Workers_Comp.xlsx   —   63 combos, v3.5.0, modified 2026-08-02 12:11</t>
  </si>
  <si>
    <t>Umbrella</t>
  </si>
  <si>
    <t>Plan_LR_Workbook_2027_Umbrella.xlsx   —   63 combos, v3.5.0, modified 2026-08-02 12:11</t>
  </si>
  <si>
    <t>Inland Marine</t>
  </si>
  <si>
    <t>Plan_LR_Workbook_2027_Inland_Marine.xlsx   —   63 combos, v3.5.0, modified 2026-08-02 12:11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</si>
  <si>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</si>
  <si>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</si>
  <si>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</si>
  <si>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2026-08-02 12:11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</si>
  <si>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</si>
  <si>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</si>
  <si>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</si>
  <si>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</si>
  <si>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</si>
  <si>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</si>
  <si>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</si>
  <si>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</si>
  <si>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</si>
  <si>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</si>
  <si>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</si>
  <si>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</si>
  <si>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</si>
  <si>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</si>
  <si>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</si>
  <si>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</si>
  <si>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</si>
  <si>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</si>
  <si>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</si>
  <si>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</si>
  <si>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</si>
  <si>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</si>
  <si>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</si>
  <si>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</si>
  <si>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</si>
  <si>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</si>
  <si>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</si>
  <si>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</si>
  <si>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</si>
  <si>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</si>
  <si>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</si>
  <si>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</si>
  <si>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</si>
  <si>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</si>
  <si>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</si>
  <si>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</si>
  <si>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</si>
  <si>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2026-08-02 12:11</t>
  </si>
  <si>
    <t>3.5.0</t>
  </si>
  <si>
    <t>PASS WITH 1 WARNING(S)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</si>
  <si>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</si>
  <si>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</si>
  <si>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</si>
  <si>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</si>
  <si>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</si>
  <si>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</si>
  <si>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</si>
  <si>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</si>
  <si>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</si>
  <si>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</si>
  <si>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</si>
  <si>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</si>
  <si>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</si>
  <si>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</si>
  <si>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</si>
  <si>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</si>
  <si>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</si>
  <si>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</si>
  <si>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</si>
  <si>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</si>
  <si>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</si>
  <si>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</si>
  <si>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Engine levels</t>
  </si>
  <si>
    <t>CY 2027 plan — the bridge, left to right</t>
  </si>
  <si>
    <t>Rate change history — single-combo views only. T = taken, P = planned, * = not in the indication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</si>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</sst>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\ &quot;pts&quot;;\-0.00\ &quot;pts&quot;;0.00\ &quot;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75</v>
      </c>
      <c r="D19" s="20" t="s">
        <v>76</v>
      </c>
      <c r="E19" s="21">
        <v>63</v>
      </c>
      <c r="F19" s="22" t="s">
        <v>77</v>
      </c>
      <c r="V19" s="12" t="s">
        <v>80</v>
      </c>
    </row>
    <row r="20" spans="1:22" x14ac:dyDescent="0.3">
      <c r="A20" t="s">
        <v>26</v>
      </c>
      <c r="B20" s="7" t="s">
        <v>81</v>
      </c>
      <c r="C20" s="20" t="s">
        <v>75</v>
      </c>
      <c r="D20" s="20" t="s">
        <v>76</v>
      </c>
      <c r="E20" s="21">
        <v>63</v>
      </c>
      <c r="F20" s="22" t="s">
        <v>77</v>
      </c>
      <c r="V20" s="12" t="s">
        <v>82</v>
      </c>
    </row>
    <row r="21" spans="1:22" x14ac:dyDescent="0.3">
      <c r="A21" t="s">
        <v>28</v>
      </c>
      <c r="B21" s="7" t="s">
        <v>83</v>
      </c>
      <c r="C21" s="20" t="s">
        <v>75</v>
      </c>
      <c r="D21" s="20" t="s">
        <v>76</v>
      </c>
      <c r="E21" s="21">
        <v>63</v>
      </c>
      <c r="F21" s="22" t="s">
        <v>77</v>
      </c>
      <c r="V21" s="12" t="s">
        <v>84</v>
      </c>
    </row>
    <row r="22" spans="1:22" x14ac:dyDescent="0.3">
      <c r="A22" t="s">
        <v>30</v>
      </c>
      <c r="B22" s="7" t="s">
        <v>85</v>
      </c>
      <c r="C22" s="20" t="s">
        <v>75</v>
      </c>
      <c r="D22" s="20" t="s">
        <v>76</v>
      </c>
      <c r="E22" s="21">
        <v>63</v>
      </c>
      <c r="F22" s="22" t="s">
        <v>77</v>
      </c>
      <c r="V22" s="12" t="s">
        <v>86</v>
      </c>
    </row>
    <row r="23" spans="1:22" x14ac:dyDescent="0.3">
      <c r="A23" t="s">
        <v>32</v>
      </c>
      <c r="B23" s="7" t="s">
        <v>87</v>
      </c>
      <c r="C23" s="20" t="s">
        <v>75</v>
      </c>
      <c r="D23" s="20" t="s">
        <v>76</v>
      </c>
      <c r="E23" s="21">
        <v>63</v>
      </c>
      <c r="F23" s="22" t="s">
        <v>77</v>
      </c>
      <c r="V23" s="12" t="s">
        <v>88</v>
      </c>
    </row>
    <row r="24" spans="1:22" x14ac:dyDescent="0.3">
      <c r="A24" s="23" t="s">
        <v>89</v>
      </c>
      <c r="E24" s="24">
        <f>SUM($E$18:$E$23)</f>
        <v>378</v>
      </c>
      <c r="V24" s="12" t="s">
        <v>90</v>
      </c>
    </row>
    <row r="25" spans="1:22" x14ac:dyDescent="0.3">
      <c r="V25" s="12" t="s">
        <v>91</v>
      </c>
    </row>
    <row r="26" spans="1:22" x14ac:dyDescent="0.3">
      <c r="A26" s="9" t="s">
        <v>92</v>
      </c>
      <c r="V26" s="12" t="s">
        <v>93</v>
      </c>
    </row>
    <row r="27" spans="1:22" x14ac:dyDescent="0.3">
      <c r="V27" s="12" t="s">
        <v>94</v>
      </c>
    </row>
    <row r="28" spans="1:22" x14ac:dyDescent="0.3">
      <c r="V28" s="12" t="s">
        <v>95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5" width="9" customWidth="1"/>
    <col min="6" max="7" width="9.44140625" customWidth="1"/>
    <col min="8" max="8" width="9" customWidth="1"/>
    <col min="9" max="9" width="11" customWidth="1"/>
    <col min="10" max="11" width="9.44140625" customWidth="1"/>
    <col min="12" max="12" width="8.44140625" customWidth="1"/>
    <col min="13" max="13" width="10" customWidth="1"/>
    <col min="14" max="14" width="7" customWidth="1"/>
    <col min="15" max="15" width="9" customWidth="1"/>
    <col min="16" max="16" width="7" customWidth="1"/>
    <col min="17" max="17" width="4" customWidth="1"/>
    <col min="18" max="18" width="9" customWidth="1"/>
    <col min="19" max="19" width="7" customWidth="1"/>
    <col min="20" max="20" width="4" customWidth="1"/>
    <col min="21" max="21" width="9" customWidth="1"/>
    <col min="22" max="22" width="7" customWidth="1"/>
    <col min="23" max="23" width="4" customWidth="1"/>
    <col min="24" max="24" width="9" customWidth="1"/>
    <col min="25" max="25" width="7" customWidth="1"/>
    <col min="26" max="26" width="4" customWidth="1"/>
    <col min="27" max="27" width="7" customWidth="1"/>
    <col min="28" max="28" width="8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96</v>
      </c>
    </row>
    <row r="2" spans="1:35" x14ac:dyDescent="0.3">
      <c r="A2" s="2" t="s">
        <v>97</v>
      </c>
    </row>
    <row r="3" spans="1:35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6"/>
      <c r="B6" s="26" t="s">
        <v>98</v>
      </c>
      <c r="C6" s="26" t="s">
        <v>99</v>
      </c>
      <c r="D6" s="26"/>
      <c r="E6" s="26"/>
      <c r="F6" s="26" t="s">
        <v>100</v>
      </c>
      <c r="G6" s="26"/>
      <c r="H6" s="26"/>
      <c r="I6" s="26" t="s">
        <v>101</v>
      </c>
      <c r="J6" s="26"/>
      <c r="K6" s="26"/>
      <c r="L6" s="26"/>
      <c r="M6" s="26"/>
      <c r="N6" s="26"/>
      <c r="O6" s="26" t="s">
        <v>102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 t="s">
        <v>103</v>
      </c>
      <c r="AD6" s="26"/>
      <c r="AE6" s="26"/>
      <c r="AF6" s="26"/>
      <c r="AG6" s="26" t="s">
        <v>104</v>
      </c>
      <c r="AH6" s="26"/>
      <c r="AI6" s="26"/>
    </row>
    <row r="7" spans="1:35" ht="42" customHeight="1" x14ac:dyDescent="0.3">
      <c r="A7" s="19" t="s">
        <v>44</v>
      </c>
      <c r="B7" s="19" t="s">
        <v>105</v>
      </c>
      <c r="C7" s="19" t="s">
        <v>106</v>
      </c>
      <c r="D7" s="19" t="s">
        <v>107</v>
      </c>
      <c r="E7" s="19" t="s">
        <v>108</v>
      </c>
      <c r="F7" s="19" t="s">
        <v>109</v>
      </c>
      <c r="G7" s="19" t="s">
        <v>110</v>
      </c>
      <c r="H7" s="19" t="s">
        <v>111</v>
      </c>
      <c r="I7" s="19" t="s">
        <v>112</v>
      </c>
      <c r="J7" s="19" t="s">
        <v>113</v>
      </c>
      <c r="K7" s="19" t="s">
        <v>114</v>
      </c>
      <c r="L7" s="19" t="s">
        <v>115</v>
      </c>
      <c r="M7" s="19" t="str">
        <f>"=  CY 2027 plan LR"</f>
        <v>=  CY 2027 plan LR</v>
      </c>
      <c r="N7" s="19" t="s">
        <v>116</v>
      </c>
      <c r="O7" s="19" t="s">
        <v>117</v>
      </c>
      <c r="P7" s="19" t="s">
        <v>118</v>
      </c>
      <c r="Q7" s="19" t="s">
        <v>119</v>
      </c>
      <c r="R7" s="19" t="s">
        <v>120</v>
      </c>
      <c r="S7" s="19" t="s">
        <v>121</v>
      </c>
      <c r="T7" s="19" t="s">
        <v>119</v>
      </c>
      <c r="U7" s="19" t="s">
        <v>122</v>
      </c>
      <c r="V7" s="19" t="s">
        <v>123</v>
      </c>
      <c r="W7" s="19" t="s">
        <v>119</v>
      </c>
      <c r="X7" s="19" t="s">
        <v>124</v>
      </c>
      <c r="Y7" s="19" t="s">
        <v>125</v>
      </c>
      <c r="Z7" s="19" t="s">
        <v>119</v>
      </c>
      <c r="AA7" s="19" t="s">
        <v>126</v>
      </c>
      <c r="AB7" s="19" t="s">
        <v>127</v>
      </c>
      <c r="AC7" s="19" t="s">
        <v>128</v>
      </c>
      <c r="AD7" s="19" t="s">
        <v>129</v>
      </c>
      <c r="AE7" s="19" t="s">
        <v>130</v>
      </c>
      <c r="AF7" s="19" t="s">
        <v>131</v>
      </c>
      <c r="AG7" s="19" t="s">
        <v>132</v>
      </c>
      <c r="AH7" s="19" t="s">
        <v>54</v>
      </c>
      <c r="AI7" s="19" t="s">
        <v>133</v>
      </c>
    </row>
    <row r="8" spans="1:35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G8" s="30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H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I8" s="31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J8" s="30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K8" s="30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L8" s="30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M8" s="32">
        <f>IF(COUNTIFS(_book!$D$2:$D$379,"?*",_book!$C$2:$C$379,$A8,_book!$A$2:$A$379,bkc_lob,_book!$B$2:$B$379,bkc_bu)=0,"",IF(COUNTIFS(_book!$D$2:$D$379,"?*",_book!$C$2:$C$379,$A8,_book!$A$2:$A$379,bkc_lob,_book!$B$2:$B$379,bkc_bu)=1,$I8*$J8*$K8*$L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N8" s="33">
        <f>IF(COUNTIFS(_book!$D$2:$D$379,"?*",_book!$C$2:$C$379,$A8,_book!$A$2:$A$379,bkc_lob,_book!$B$2:$B$379,bkc_bu)&lt;=1,"",($M8-$I8*$J8*$K8*$L8)*100)</f>
        <v>-3.1464289182214777E-3</v>
      </c>
      <c r="O8" s="34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P8" s="35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Q8" s="36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R8" s="34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S8" s="35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T8" s="36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U8" s="34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V8" s="35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W8" s="36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X8" s="34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Y8" s="35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Z8" s="36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AA8" s="37">
        <f>SUMIFS(_book!$AC$2:$AC$379,_book!$C$2:$C$379,$A8,_book!$A$2:$A$379,bkc_lob,_book!$B$2:$B$379,bkc_bu)</f>
        <v>24</v>
      </c>
      <c r="AB8" s="37">
        <f>SUMIFS(_book!$AD$2:$AD$379,_book!$C$2:$C$379,$A8,_book!$A$2:$A$379,bkc_lob,_book!$B$2:$B$379,bkc_bu)</f>
        <v>12</v>
      </c>
      <c r="AC8" s="35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0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0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2">
        <f>IF(COUNTIFS(_book!$D$2:$D$379,"?*",_book!$C$2:$C$379,$A8,_book!$A$2:$A$379,bkc_lob,_book!$B$2:$B$379,bkc_bu)=0,"",IF(COUNTIFS(_book!$D$2:$D$379,"?*",_book!$C$2:$C$379,$A8,_book!$A$2:$A$379,bkc_lob,_book!$B$2:$B$379,bkc_bu)=1,$I8*(1+$AC8)*$AD8*$AE8*$L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5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1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8" t="str">
        <f>IF(SUMIFS(_book!$V$2:$V$379,_book!$C$2:$C$379,$A8,_book!$A$2:$A$379,bkc_lob,_book!$B$2:$B$379,bkc_bu)=0,"—",($AH8-$M8)*100)</f>
        <v>—</v>
      </c>
    </row>
    <row r="9" spans="1:35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G9" s="42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H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I9" s="43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J9" s="42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K9" s="42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L9" s="42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M9" s="44">
        <f>IF(COUNTIFS(_book!$D$2:$D$379,"?*",_book!$C$2:$C$379,$A9,_book!$A$2:$A$379,bkc_lob,_book!$B$2:$B$379,bkc_bu)=0,"",IF(COUNTIFS(_book!$D$2:$D$379,"?*",_book!$C$2:$C$379,$A9,_book!$A$2:$A$379,bkc_lob,_book!$B$2:$B$379,bkc_bu)=1,$I9*$J9*$K9*$L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N9" s="45">
        <f>IF(COUNTIFS(_book!$D$2:$D$379,"?*",_book!$C$2:$C$379,$A9,_book!$A$2:$A$379,bkc_lob,_book!$B$2:$B$379,bkc_bu)&lt;=1,"",($M9-$I9*$J9*$K9*$L9)*100)</f>
        <v>7.8916435402365259E-3</v>
      </c>
      <c r="O9" s="46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P9" s="47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Q9" s="48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R9" s="46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S9" s="47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T9" s="48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U9" s="46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V9" s="47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W9" s="48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X9" s="46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Y9" s="47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Z9" s="48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AA9" s="49">
        <f>SUMIFS(_book!$AC$2:$AC$379,_book!$C$2:$C$379,$A9,_book!$A$2:$A$379,bkc_lob,_book!$B$2:$B$379,bkc_bu)</f>
        <v>18</v>
      </c>
      <c r="AB9" s="49">
        <f>SUMIFS(_book!$AD$2:$AD$379,_book!$C$2:$C$379,$A9,_book!$A$2:$A$379,bkc_lob,_book!$B$2:$B$379,bkc_bu)</f>
        <v>6</v>
      </c>
      <c r="AC9" s="47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2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2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4">
        <f>IF(COUNTIFS(_book!$D$2:$D$379,"?*",_book!$C$2:$C$379,$A9,_book!$A$2:$A$379,bkc_lob,_book!$B$2:$B$379,bkc_bu)=0,"",IF(COUNTIFS(_book!$D$2:$D$379,"?*",_book!$C$2:$C$379,$A9,_book!$A$2:$A$379,bkc_lob,_book!$B$2:$B$379,bkc_bu)=1,$I9*(1+$AC9)*$AD9*$AE9*$L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7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3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50" t="str">
        <f>IF(SUMIFS(_book!$V$2:$V$379,_book!$C$2:$C$379,$A9,_book!$A$2:$A$379,bkc_lob,_book!$B$2:$B$379,bkc_bu)=0,"—",($AH9-$M9)*100)</f>
        <v>—</v>
      </c>
    </row>
    <row r="10" spans="1:35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G10" s="30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H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I10" s="31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J10" s="30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K10" s="30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L10" s="30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M10" s="32">
        <f>IF(COUNTIFS(_book!$D$2:$D$379,"?*",_book!$C$2:$C$379,$A10,_book!$A$2:$A$379,bkc_lob,_book!$B$2:$B$379,bkc_bu)=0,"",IF(COUNTIFS(_book!$D$2:$D$379,"?*",_book!$C$2:$C$379,$A10,_book!$A$2:$A$379,bkc_lob,_book!$B$2:$B$379,bkc_bu)=1,$I10*$J10*$K10*$L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N10" s="33">
        <f>IF(COUNTIFS(_book!$D$2:$D$379,"?*",_book!$C$2:$C$379,$A10,_book!$A$2:$A$379,bkc_lob,_book!$B$2:$B$379,bkc_bu)&lt;=1,"",($M10-$I10*$J10*$K10*$L10)*100)</f>
        <v>3.2628341470108957E-3</v>
      </c>
      <c r="O10" s="34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P10" s="35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Q10" s="36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R10" s="34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S10" s="35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T10" s="36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U10" s="34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V10" s="35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W10" s="36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X10" s="34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Y10" s="35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Z10" s="36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AA10" s="37">
        <f>SUMIFS(_book!$AC$2:$AC$379,_book!$C$2:$C$379,$A10,_book!$A$2:$A$379,bkc_lob,_book!$B$2:$B$379,bkc_bu)</f>
        <v>6</v>
      </c>
      <c r="AB10" s="37">
        <f>SUMIFS(_book!$AD$2:$AD$379,_book!$C$2:$C$379,$A10,_book!$A$2:$A$379,bkc_lob,_book!$B$2:$B$379,bkc_bu)</f>
        <v>6</v>
      </c>
      <c r="AC10" s="35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0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0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2">
        <f>IF(COUNTIFS(_book!$D$2:$D$379,"?*",_book!$C$2:$C$379,$A10,_book!$A$2:$A$379,bkc_lob,_book!$B$2:$B$379,bkc_bu)=0,"",IF(COUNTIFS(_book!$D$2:$D$379,"?*",_book!$C$2:$C$379,$A10,_book!$A$2:$A$379,bkc_lob,_book!$B$2:$B$379,bkc_bu)=1,$I10*(1+$AC10)*$AD10*$AE10*$L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5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1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8" t="str">
        <f>IF(SUMIFS(_book!$V$2:$V$379,_book!$C$2:$C$379,$A10,_book!$A$2:$A$379,bkc_lob,_book!$B$2:$B$379,bkc_bu)=0,"—",($AH10-$M10)*100)</f>
        <v>—</v>
      </c>
    </row>
    <row r="11" spans="1:35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G11" s="42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H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I11" s="43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J11" s="42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K11" s="42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L11" s="42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M11" s="44">
        <f>IF(COUNTIFS(_book!$D$2:$D$379,"?*",_book!$C$2:$C$379,$A11,_book!$A$2:$A$379,bkc_lob,_book!$B$2:$B$379,bkc_bu)=0,"",IF(COUNTIFS(_book!$D$2:$D$379,"?*",_book!$C$2:$C$379,$A11,_book!$A$2:$A$379,bkc_lob,_book!$B$2:$B$379,bkc_bu)=1,$I11*$J11*$K11*$L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N11" s="45">
        <f>IF(COUNTIFS(_book!$D$2:$D$379,"?*",_book!$C$2:$C$379,$A11,_book!$A$2:$A$379,bkc_lob,_book!$B$2:$B$379,bkc_bu)&lt;=1,"",($M11-$I11*$J11*$K11*$L11)*100)</f>
        <v>-2.4762514753584597E-3</v>
      </c>
      <c r="O11" s="46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P11" s="47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Q11" s="48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R11" s="46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S11" s="47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T11" s="48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U11" s="46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V11" s="47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W11" s="48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X11" s="46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Y11" s="47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Z11" s="48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AA11" s="49">
        <f>SUMIFS(_book!$AC$2:$AC$379,_book!$C$2:$C$379,$A11,_book!$A$2:$A$379,bkc_lob,_book!$B$2:$B$379,bkc_bu)</f>
        <v>18</v>
      </c>
      <c r="AB11" s="49">
        <f>SUMIFS(_book!$AD$2:$AD$379,_book!$C$2:$C$379,$A11,_book!$A$2:$A$379,bkc_lob,_book!$B$2:$B$379,bkc_bu)</f>
        <v>12</v>
      </c>
      <c r="AC11" s="47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2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2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4">
        <f>IF(COUNTIFS(_book!$D$2:$D$379,"?*",_book!$C$2:$C$379,$A11,_book!$A$2:$A$379,bkc_lob,_book!$B$2:$B$379,bkc_bu)=0,"",IF(COUNTIFS(_book!$D$2:$D$379,"?*",_book!$C$2:$C$379,$A11,_book!$A$2:$A$379,bkc_lob,_book!$B$2:$B$379,bkc_bu)=1,$I11*(1+$AC11)*$AD11*$AE11*$L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7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3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50" t="str">
        <f>IF(SUMIFS(_book!$V$2:$V$379,_book!$C$2:$C$379,$A11,_book!$A$2:$A$379,bkc_lob,_book!$B$2:$B$379,bkc_bu)=0,"—",($AH11-$M11)*100)</f>
        <v>—</v>
      </c>
    </row>
    <row r="12" spans="1:35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G12" s="30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H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I12" s="31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J12" s="30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K12" s="30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L12" s="30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M12" s="32">
        <f>IF(COUNTIFS(_book!$D$2:$D$379,"?*",_book!$C$2:$C$379,$A12,_book!$A$2:$A$379,bkc_lob,_book!$B$2:$B$379,bkc_bu)=0,"",IF(COUNTIFS(_book!$D$2:$D$379,"?*",_book!$C$2:$C$379,$A12,_book!$A$2:$A$379,bkc_lob,_book!$B$2:$B$379,bkc_bu)=1,$I12*$J12*$K12*$L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N12" s="33">
        <f>IF(COUNTIFS(_book!$D$2:$D$379,"?*",_book!$C$2:$C$379,$A12,_book!$A$2:$A$379,bkc_lob,_book!$B$2:$B$379,bkc_bu)&lt;=1,"",($M12-$I12*$J12*$K12*$L12)*100)</f>
        <v>-2.111639793833664E-3</v>
      </c>
      <c r="O12" s="34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P12" s="35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Q12" s="36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R12" s="34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S12" s="35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T12" s="36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U12" s="34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V12" s="35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W12" s="36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X12" s="34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Y12" s="35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Z12" s="36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AA12" s="37">
        <f>SUMIFS(_book!$AC$2:$AC$379,_book!$C$2:$C$379,$A12,_book!$A$2:$A$379,bkc_lob,_book!$B$2:$B$379,bkc_bu)</f>
        <v>12</v>
      </c>
      <c r="AB12" s="37">
        <f>SUMIFS(_book!$AD$2:$AD$379,_book!$C$2:$C$379,$A12,_book!$A$2:$A$379,bkc_lob,_book!$B$2:$B$379,bkc_bu)</f>
        <v>6</v>
      </c>
      <c r="AC12" s="35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0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0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2">
        <f>IF(COUNTIFS(_book!$D$2:$D$379,"?*",_book!$C$2:$C$379,$A12,_book!$A$2:$A$379,bkc_lob,_book!$B$2:$B$379,bkc_bu)=0,"",IF(COUNTIFS(_book!$D$2:$D$379,"?*",_book!$C$2:$C$379,$A12,_book!$A$2:$A$379,bkc_lob,_book!$B$2:$B$379,bkc_bu)=1,$I12*(1+$AC12)*$AD12*$AE12*$L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5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1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8" t="str">
        <f>IF(SUMIFS(_book!$V$2:$V$379,_book!$C$2:$C$379,$A12,_book!$A$2:$A$379,bkc_lob,_book!$B$2:$B$379,bkc_bu)=0,"—",($AH12-$M12)*100)</f>
        <v>—</v>
      </c>
    </row>
    <row r="13" spans="1:35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G13" s="42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H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I13" s="43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J13" s="42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K13" s="42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L13" s="42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M13" s="44">
        <f>IF(COUNTIFS(_book!$D$2:$D$379,"?*",_book!$C$2:$C$379,$A13,_book!$A$2:$A$379,bkc_lob,_book!$B$2:$B$379,bkc_bu)=0,"",IF(COUNTIFS(_book!$D$2:$D$379,"?*",_book!$C$2:$C$379,$A13,_book!$A$2:$A$379,bkc_lob,_book!$B$2:$B$379,bkc_bu)=1,$I13*$J13*$K13*$L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N13" s="45">
        <f>IF(COUNTIFS(_book!$D$2:$D$379,"?*",_book!$C$2:$C$379,$A13,_book!$A$2:$A$379,bkc_lob,_book!$B$2:$B$379,bkc_bu)&lt;=1,"",($M13-$I13*$J13*$K13*$L13)*100)</f>
        <v>1.7549483596224213E-3</v>
      </c>
      <c r="O13" s="46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P13" s="47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Q13" s="48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R13" s="46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S13" s="47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T13" s="48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U13" s="46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V13" s="47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W13" s="48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X13" s="46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Y13" s="47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Z13" s="48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AA13" s="49">
        <f>SUMIFS(_book!$AC$2:$AC$379,_book!$C$2:$C$379,$A13,_book!$A$2:$A$379,bkc_lob,_book!$B$2:$B$379,bkc_bu)</f>
        <v>6</v>
      </c>
      <c r="AB13" s="49">
        <f>SUMIFS(_book!$AD$2:$AD$379,_book!$C$2:$C$379,$A13,_book!$A$2:$A$379,bkc_lob,_book!$B$2:$B$379,bkc_bu)</f>
        <v>6</v>
      </c>
      <c r="AC13" s="47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2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2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4">
        <f>IF(COUNTIFS(_book!$D$2:$D$379,"?*",_book!$C$2:$C$379,$A13,_book!$A$2:$A$379,bkc_lob,_book!$B$2:$B$379,bkc_bu)=0,"",IF(COUNTIFS(_book!$D$2:$D$379,"?*",_book!$C$2:$C$379,$A13,_book!$A$2:$A$379,bkc_lob,_book!$B$2:$B$379,bkc_bu)=1,$I13*(1+$AC13)*$AD13*$AE13*$L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7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3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50" t="str">
        <f>IF(SUMIFS(_book!$V$2:$V$379,_book!$C$2:$C$379,$A13,_book!$A$2:$A$379,bkc_lob,_book!$B$2:$B$379,bkc_bu)=0,"—",($AH13-$M13)*100)</f>
        <v>—</v>
      </c>
    </row>
    <row r="14" spans="1:35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G14" s="30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H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I14" s="31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J14" s="30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K14" s="30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L14" s="30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M14" s="32">
        <f>IF(COUNTIFS(_book!$D$2:$D$379,"?*",_book!$C$2:$C$379,$A14,_book!$A$2:$A$379,bkc_lob,_book!$B$2:$B$379,bkc_bu)=0,"",IF(COUNTIFS(_book!$D$2:$D$379,"?*",_book!$C$2:$C$379,$A14,_book!$A$2:$A$379,bkc_lob,_book!$B$2:$B$379,bkc_bu)=1,$I14*$J14*$K14*$L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N14" s="33">
        <f>IF(COUNTIFS(_book!$D$2:$D$379,"?*",_book!$C$2:$C$379,$A14,_book!$A$2:$A$379,bkc_lob,_book!$B$2:$B$379,bkc_bu)&lt;=1,"",($M14-$I14*$J14*$K14*$L14)*100)</f>
        <v>3.6494961392019576E-3</v>
      </c>
      <c r="O14" s="34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P14" s="35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Q14" s="36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R14" s="34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S14" s="35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T14" s="36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U14" s="34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V14" s="35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W14" s="36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X14" s="34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Y14" s="35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Z14" s="36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AA14" s="37">
        <f>SUMIFS(_book!$AC$2:$AC$379,_book!$C$2:$C$379,$A14,_book!$A$2:$A$379,bkc_lob,_book!$B$2:$B$379,bkc_bu)</f>
        <v>12</v>
      </c>
      <c r="AB14" s="37">
        <f>SUMIFS(_book!$AD$2:$AD$379,_book!$C$2:$C$379,$A14,_book!$A$2:$A$379,bkc_lob,_book!$B$2:$B$379,bkc_bu)</f>
        <v>6</v>
      </c>
      <c r="AC14" s="35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0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0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2">
        <f>IF(COUNTIFS(_book!$D$2:$D$379,"?*",_book!$C$2:$C$379,$A14,_book!$A$2:$A$379,bkc_lob,_book!$B$2:$B$379,bkc_bu)=0,"",IF(COUNTIFS(_book!$D$2:$D$379,"?*",_book!$C$2:$C$379,$A14,_book!$A$2:$A$379,bkc_lob,_book!$B$2:$B$379,bkc_bu)=1,$I14*(1+$AC14)*$AD14*$AE14*$L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5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1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8" t="str">
        <f>IF(SUMIFS(_book!$V$2:$V$379,_book!$C$2:$C$379,$A14,_book!$A$2:$A$379,bkc_lob,_book!$B$2:$B$379,bkc_bu)=0,"—",($AH14-$M14)*100)</f>
        <v>—</v>
      </c>
    </row>
    <row r="15" spans="1:35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G15" s="42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H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I15" s="43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J15" s="42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K15" s="42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L15" s="42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M15" s="44">
        <f>IF(COUNTIFS(_book!$D$2:$D$379,"?*",_book!$C$2:$C$379,$A15,_book!$A$2:$A$379,bkc_lob,_book!$B$2:$B$379,bkc_bu)=0,"",IF(COUNTIFS(_book!$D$2:$D$379,"?*",_book!$C$2:$C$379,$A15,_book!$A$2:$A$379,bkc_lob,_book!$B$2:$B$379,bkc_bu)=1,$I15*$J15*$K15*$L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N15" s="45">
        <f>IF(COUNTIFS(_book!$D$2:$D$379,"?*",_book!$C$2:$C$379,$A15,_book!$A$2:$A$379,bkc_lob,_book!$B$2:$B$379,bkc_bu)&lt;=1,"",($M15-$I15*$J15*$K15*$L15)*100)</f>
        <v>1.7256661286380037E-3</v>
      </c>
      <c r="O15" s="46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P15" s="47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Q15" s="48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R15" s="46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S15" s="47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T15" s="48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U15" s="46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V15" s="47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W15" s="48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X15" s="46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Y15" s="47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Z15" s="48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AA15" s="49">
        <f>SUMIFS(_book!$AC$2:$AC$379,_book!$C$2:$C$379,$A15,_book!$A$2:$A$379,bkc_lob,_book!$B$2:$B$379,bkc_bu)</f>
        <v>18</v>
      </c>
      <c r="AB15" s="49">
        <f>SUMIFS(_book!$AD$2:$AD$379,_book!$C$2:$C$379,$A15,_book!$A$2:$A$379,bkc_lob,_book!$B$2:$B$379,bkc_bu)</f>
        <v>6</v>
      </c>
      <c r="AC15" s="47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2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2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4">
        <f>IF(COUNTIFS(_book!$D$2:$D$379,"?*",_book!$C$2:$C$379,$A15,_book!$A$2:$A$379,bkc_lob,_book!$B$2:$B$379,bkc_bu)=0,"",IF(COUNTIFS(_book!$D$2:$D$379,"?*",_book!$C$2:$C$379,$A15,_book!$A$2:$A$379,bkc_lob,_book!$B$2:$B$379,bkc_bu)=1,$I15*(1+$AC15)*$AD15*$AE15*$L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7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3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50" t="str">
        <f>IF(SUMIFS(_book!$V$2:$V$379,_book!$C$2:$C$379,$A15,_book!$A$2:$A$379,bkc_lob,_book!$B$2:$B$379,bkc_bu)=0,"—",($AH15-$M15)*100)</f>
        <v>—</v>
      </c>
    </row>
    <row r="16" spans="1:35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G16" s="30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H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I16" s="31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J16" s="30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K16" s="30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L16" s="30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M16" s="32">
        <f>IF(COUNTIFS(_book!$D$2:$D$379,"?*",_book!$C$2:$C$379,$A16,_book!$A$2:$A$379,bkc_lob,_book!$B$2:$B$379,bkc_bu)=0,"",IF(COUNTIFS(_book!$D$2:$D$379,"?*",_book!$C$2:$C$379,$A16,_book!$A$2:$A$379,bkc_lob,_book!$B$2:$B$379,bkc_bu)=1,$I16*$J16*$K16*$L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N16" s="33">
        <f>IF(COUNTIFS(_book!$D$2:$D$379,"?*",_book!$C$2:$C$379,$A16,_book!$A$2:$A$379,bkc_lob,_book!$B$2:$B$379,bkc_bu)&lt;=1,"",($M16-$I16*$J16*$K16*$L16)*100)</f>
        <v>-2.7462198847538755E-2</v>
      </c>
      <c r="O16" s="34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P16" s="35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Q16" s="36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R16" s="34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S16" s="35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T16" s="36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U16" s="34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V16" s="35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W16" s="36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X16" s="34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Y16" s="35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Z16" s="36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AA16" s="37">
        <f>SUMIFS(_book!$AC$2:$AC$379,_book!$C$2:$C$379,$A16,_book!$A$2:$A$379,bkc_lob,_book!$B$2:$B$379,bkc_bu)</f>
        <v>6</v>
      </c>
      <c r="AB16" s="37">
        <f>SUMIFS(_book!$AD$2:$AD$379,_book!$C$2:$C$379,$A16,_book!$A$2:$A$379,bkc_lob,_book!$B$2:$B$379,bkc_bu)</f>
        <v>12</v>
      </c>
      <c r="AC16" s="35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0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0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2">
        <f>IF(COUNTIFS(_book!$D$2:$D$379,"?*",_book!$C$2:$C$379,$A16,_book!$A$2:$A$379,bkc_lob,_book!$B$2:$B$379,bkc_bu)=0,"",IF(COUNTIFS(_book!$D$2:$D$379,"?*",_book!$C$2:$C$379,$A16,_book!$A$2:$A$379,bkc_lob,_book!$B$2:$B$379,bkc_bu)=1,$I16*(1+$AC16)*$AD16*$AE16*$L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5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1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8">
        <f>IF(SUMIFS(_book!$V$2:$V$379,_book!$C$2:$C$379,$A16,_book!$A$2:$A$379,bkc_lob,_book!$B$2:$B$379,bkc_bu)=0,"—",($AH16-$M16)*100)</f>
        <v>-0.23629103531667139</v>
      </c>
    </row>
    <row r="17" spans="1:35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G17" s="42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H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I17" s="43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J17" s="42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K17" s="42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L17" s="42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M17" s="44">
        <f>IF(COUNTIFS(_book!$D$2:$D$379,"?*",_book!$C$2:$C$379,$A17,_book!$A$2:$A$379,bkc_lob,_book!$B$2:$B$379,bkc_bu)=0,"",IF(COUNTIFS(_book!$D$2:$D$379,"?*",_book!$C$2:$C$379,$A17,_book!$A$2:$A$379,bkc_lob,_book!$B$2:$B$379,bkc_bu)=1,$I17*$J17*$K17*$L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N17" s="45">
        <f>IF(COUNTIFS(_book!$D$2:$D$379,"?*",_book!$C$2:$C$379,$A17,_book!$A$2:$A$379,bkc_lob,_book!$B$2:$B$379,bkc_bu)&lt;=1,"",($M17-$I17*$J17*$K17*$L17)*100)</f>
        <v>9.7496838627142424E-3</v>
      </c>
      <c r="O17" s="46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P17" s="47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Q17" s="48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R17" s="46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S17" s="47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T17" s="48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U17" s="46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V17" s="47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W17" s="48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X17" s="46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Y17" s="47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Z17" s="48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AA17" s="49">
        <f>SUMIFS(_book!$AC$2:$AC$379,_book!$C$2:$C$379,$A17,_book!$A$2:$A$379,bkc_lob,_book!$B$2:$B$379,bkc_bu)</f>
        <v>18</v>
      </c>
      <c r="AB17" s="49">
        <f>SUMIFS(_book!$AD$2:$AD$379,_book!$C$2:$C$379,$A17,_book!$A$2:$A$379,bkc_lob,_book!$B$2:$B$379,bkc_bu)</f>
        <v>6</v>
      </c>
      <c r="AC17" s="47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2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2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4">
        <f>IF(COUNTIFS(_book!$D$2:$D$379,"?*",_book!$C$2:$C$379,$A17,_book!$A$2:$A$379,bkc_lob,_book!$B$2:$B$379,bkc_bu)=0,"",IF(COUNTIFS(_book!$D$2:$D$379,"?*",_book!$C$2:$C$379,$A17,_book!$A$2:$A$379,bkc_lob,_book!$B$2:$B$379,bkc_bu)=1,$I17*(1+$AC17)*$AD17*$AE17*$L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7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3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50" t="str">
        <f>IF(SUMIFS(_book!$V$2:$V$379,_book!$C$2:$C$379,$A17,_book!$A$2:$A$379,bkc_lob,_book!$B$2:$B$379,bkc_bu)=0,"—",($AH17-$M17)*100)</f>
        <v>—</v>
      </c>
    </row>
    <row r="18" spans="1:35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G18" s="30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H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I18" s="31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J18" s="30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K18" s="30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L18" s="30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M18" s="32">
        <f>IF(COUNTIFS(_book!$D$2:$D$379,"?*",_book!$C$2:$C$379,$A18,_book!$A$2:$A$379,bkc_lob,_book!$B$2:$B$379,bkc_bu)=0,"",IF(COUNTIFS(_book!$D$2:$D$379,"?*",_book!$C$2:$C$379,$A18,_book!$A$2:$A$379,bkc_lob,_book!$B$2:$B$379,bkc_bu)=1,$I18*$J18*$K18*$L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N18" s="33">
        <f>IF(COUNTIFS(_book!$D$2:$D$379,"?*",_book!$C$2:$C$379,$A18,_book!$A$2:$A$379,bkc_lob,_book!$B$2:$B$379,bkc_bu)&lt;=1,"",($M18-$I18*$J18*$K18*$L18)*100)</f>
        <v>2.0251374877378048E-3</v>
      </c>
      <c r="O18" s="34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P18" s="35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Q18" s="36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R18" s="34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S18" s="35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T18" s="36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U18" s="34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V18" s="35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W18" s="36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X18" s="34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Y18" s="35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Z18" s="36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AA18" s="37">
        <f>SUMIFS(_book!$AC$2:$AC$379,_book!$C$2:$C$379,$A18,_book!$A$2:$A$379,bkc_lob,_book!$B$2:$B$379,bkc_bu)</f>
        <v>18</v>
      </c>
      <c r="AB18" s="37">
        <f>SUMIFS(_book!$AD$2:$AD$379,_book!$C$2:$C$379,$A18,_book!$A$2:$A$379,bkc_lob,_book!$B$2:$B$379,bkc_bu)</f>
        <v>0</v>
      </c>
      <c r="AC18" s="35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0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0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2">
        <f>IF(COUNTIFS(_book!$D$2:$D$379,"?*",_book!$C$2:$C$379,$A18,_book!$A$2:$A$379,bkc_lob,_book!$B$2:$B$379,bkc_bu)=0,"",IF(COUNTIFS(_book!$D$2:$D$379,"?*",_book!$C$2:$C$379,$A18,_book!$A$2:$A$379,bkc_lob,_book!$B$2:$B$379,bkc_bu)=1,$I18*(1+$AC18)*$AD18*$AE18*$L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5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1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8" t="str">
        <f>IF(SUMIFS(_book!$V$2:$V$379,_book!$C$2:$C$379,$A18,_book!$A$2:$A$379,bkc_lob,_book!$B$2:$B$379,bkc_bu)=0,"—",($AH18-$M18)*100)</f>
        <v>—</v>
      </c>
    </row>
    <row r="19" spans="1:35" x14ac:dyDescent="0.3">
      <c r="A19" s="39" t="s">
        <v>80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G19" s="42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H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I19" s="43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J19" s="42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K19" s="42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L19" s="42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M19" s="44">
        <f>IF(COUNTIFS(_book!$D$2:$D$379,"?*",_book!$C$2:$C$379,$A19,_book!$A$2:$A$379,bkc_lob,_book!$B$2:$B$379,bkc_bu)=0,"",IF(COUNTIFS(_book!$D$2:$D$379,"?*",_book!$C$2:$C$379,$A19,_book!$A$2:$A$379,bkc_lob,_book!$B$2:$B$379,bkc_bu)=1,$I19*$J19*$K19*$L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N19" s="45">
        <f>IF(COUNTIFS(_book!$D$2:$D$379,"?*",_book!$C$2:$C$379,$A19,_book!$A$2:$A$379,bkc_lob,_book!$B$2:$B$379,bkc_bu)&lt;=1,"",($M19-$I19*$J19*$K19*$L19)*100)</f>
        <v>-4.8184155341912671E-3</v>
      </c>
      <c r="O19" s="46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P19" s="47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Q19" s="48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R19" s="46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S19" s="47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T19" s="48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U19" s="46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V19" s="47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W19" s="48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X19" s="46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Y19" s="47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Z19" s="48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AA19" s="49">
        <f>SUMIFS(_book!$AC$2:$AC$379,_book!$C$2:$C$379,$A19,_book!$A$2:$A$379,bkc_lob,_book!$B$2:$B$379,bkc_bu)</f>
        <v>0</v>
      </c>
      <c r="AB19" s="49">
        <f>SUMIFS(_book!$AD$2:$AD$379,_book!$C$2:$C$379,$A19,_book!$A$2:$A$379,bkc_lob,_book!$B$2:$B$379,bkc_bu)</f>
        <v>6</v>
      </c>
      <c r="AC19" s="47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2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2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4">
        <f>IF(COUNTIFS(_book!$D$2:$D$379,"?*",_book!$C$2:$C$379,$A19,_book!$A$2:$A$379,bkc_lob,_book!$B$2:$B$379,bkc_bu)=0,"",IF(COUNTIFS(_book!$D$2:$D$379,"?*",_book!$C$2:$C$379,$A19,_book!$A$2:$A$379,bkc_lob,_book!$B$2:$B$379,bkc_bu)=1,$I19*(1+$AC19)*$AD19*$AE19*$L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7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3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50" t="str">
        <f>IF(SUMIFS(_book!$V$2:$V$379,_book!$C$2:$C$379,$A19,_book!$A$2:$A$379,bkc_lob,_book!$B$2:$B$379,bkc_bu)=0,"—",($AH19-$M19)*100)</f>
        <v>—</v>
      </c>
    </row>
    <row r="20" spans="1:35" x14ac:dyDescent="0.3">
      <c r="A20" s="27" t="s">
        <v>82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G20" s="30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H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I20" s="31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J20" s="30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K20" s="30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L20" s="30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M20" s="32">
        <f>IF(COUNTIFS(_book!$D$2:$D$379,"?*",_book!$C$2:$C$379,$A20,_book!$A$2:$A$379,bkc_lob,_book!$B$2:$B$379,bkc_bu)=0,"",IF(COUNTIFS(_book!$D$2:$D$379,"?*",_book!$C$2:$C$379,$A20,_book!$A$2:$A$379,bkc_lob,_book!$B$2:$B$379,bkc_bu)=1,$I20*$J20*$K20*$L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N20" s="33">
        <f>IF(COUNTIFS(_book!$D$2:$D$379,"?*",_book!$C$2:$C$379,$A20,_book!$A$2:$A$379,bkc_lob,_book!$B$2:$B$379,bkc_bu)&lt;=1,"",($M20-$I20*$J20*$K20*$L20)*100)</f>
        <v>1.5725122430199079E-3</v>
      </c>
      <c r="O20" s="34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P20" s="35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Q20" s="36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R20" s="34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S20" s="35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T20" s="36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U20" s="34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V20" s="35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W20" s="36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X20" s="34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Y20" s="35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Z20" s="36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AA20" s="37">
        <f>SUMIFS(_book!$AC$2:$AC$379,_book!$C$2:$C$379,$A20,_book!$A$2:$A$379,bkc_lob,_book!$B$2:$B$379,bkc_bu)</f>
        <v>18</v>
      </c>
      <c r="AB20" s="37">
        <f>SUMIFS(_book!$AD$2:$AD$379,_book!$C$2:$C$379,$A20,_book!$A$2:$A$379,bkc_lob,_book!$B$2:$B$379,bkc_bu)</f>
        <v>6</v>
      </c>
      <c r="AC20" s="35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0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0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2">
        <f>IF(COUNTIFS(_book!$D$2:$D$379,"?*",_book!$C$2:$C$379,$A20,_book!$A$2:$A$379,bkc_lob,_book!$B$2:$B$379,bkc_bu)=0,"",IF(COUNTIFS(_book!$D$2:$D$379,"?*",_book!$C$2:$C$379,$A20,_book!$A$2:$A$379,bkc_lob,_book!$B$2:$B$379,bkc_bu)=1,$I20*(1+$AC20)*$AD20*$AE20*$L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5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1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8" t="str">
        <f>IF(SUMIFS(_book!$V$2:$V$379,_book!$C$2:$C$379,$A20,_book!$A$2:$A$379,bkc_lob,_book!$B$2:$B$379,bkc_bu)=0,"—",($AH20-$M20)*100)</f>
        <v>—</v>
      </c>
    </row>
    <row r="21" spans="1:35" x14ac:dyDescent="0.3">
      <c r="A21" s="39" t="s">
        <v>84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G21" s="42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H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I21" s="43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J21" s="42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K21" s="42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L21" s="42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M21" s="44">
        <f>IF(COUNTIFS(_book!$D$2:$D$379,"?*",_book!$C$2:$C$379,$A21,_book!$A$2:$A$379,bkc_lob,_book!$B$2:$B$379,bkc_bu)=0,"",IF(COUNTIFS(_book!$D$2:$D$379,"?*",_book!$C$2:$C$379,$A21,_book!$A$2:$A$379,bkc_lob,_book!$B$2:$B$379,bkc_bu)=1,$I21*$J21*$K21*$L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N21" s="45">
        <f>IF(COUNTIFS(_book!$D$2:$D$379,"?*",_book!$C$2:$C$379,$A21,_book!$A$2:$A$379,bkc_lob,_book!$B$2:$B$379,bkc_bu)&lt;=1,"",($M21-$I21*$J21*$K21*$L21)*100)</f>
        <v>7.9359526654720902E-3</v>
      </c>
      <c r="O21" s="46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P21" s="47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Q21" s="48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R21" s="46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S21" s="47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T21" s="48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U21" s="46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V21" s="47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W21" s="48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X21" s="46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Y21" s="47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Z21" s="48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AA21" s="49">
        <f>SUMIFS(_book!$AC$2:$AC$379,_book!$C$2:$C$379,$A21,_book!$A$2:$A$379,bkc_lob,_book!$B$2:$B$379,bkc_bu)</f>
        <v>18</v>
      </c>
      <c r="AB21" s="49">
        <f>SUMIFS(_book!$AD$2:$AD$379,_book!$C$2:$C$379,$A21,_book!$A$2:$A$379,bkc_lob,_book!$B$2:$B$379,bkc_bu)</f>
        <v>6</v>
      </c>
      <c r="AC21" s="47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2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2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4">
        <f>IF(COUNTIFS(_book!$D$2:$D$379,"?*",_book!$C$2:$C$379,$A21,_book!$A$2:$A$379,bkc_lob,_book!$B$2:$B$379,bkc_bu)=0,"",IF(COUNTIFS(_book!$D$2:$D$379,"?*",_book!$C$2:$C$379,$A21,_book!$A$2:$A$379,bkc_lob,_book!$B$2:$B$379,bkc_bu)=1,$I21*(1+$AC21)*$AD21*$AE21*$L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7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3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50" t="str">
        <f>IF(SUMIFS(_book!$V$2:$V$379,_book!$C$2:$C$379,$A21,_book!$A$2:$A$379,bkc_lob,_book!$B$2:$B$379,bkc_bu)=0,"—",($AH21-$M21)*100)</f>
        <v>—</v>
      </c>
    </row>
    <row r="22" spans="1:35" x14ac:dyDescent="0.3">
      <c r="A22" s="27" t="s">
        <v>86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G22" s="30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H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I22" s="31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J22" s="30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K22" s="30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L22" s="30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M22" s="32">
        <f>IF(COUNTIFS(_book!$D$2:$D$379,"?*",_book!$C$2:$C$379,$A22,_book!$A$2:$A$379,bkc_lob,_book!$B$2:$B$379,bkc_bu)=0,"",IF(COUNTIFS(_book!$D$2:$D$379,"?*",_book!$C$2:$C$379,$A22,_book!$A$2:$A$379,bkc_lob,_book!$B$2:$B$379,bkc_bu)=1,$I22*$J22*$K22*$L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N22" s="33">
        <f>IF(COUNTIFS(_book!$D$2:$D$379,"?*",_book!$C$2:$C$379,$A22,_book!$A$2:$A$379,bkc_lob,_book!$B$2:$B$379,bkc_bu)&lt;=1,"",($M22-$I22*$J22*$K22*$L22)*100)</f>
        <v>-6.7218418396963742E-4</v>
      </c>
      <c r="O22" s="34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P22" s="35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Q22" s="36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R22" s="34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S22" s="35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T22" s="36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U22" s="34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V22" s="35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W22" s="36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X22" s="34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Y22" s="35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Z22" s="36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AA22" s="37">
        <f>SUMIFS(_book!$AC$2:$AC$379,_book!$C$2:$C$379,$A22,_book!$A$2:$A$379,bkc_lob,_book!$B$2:$B$379,bkc_bu)</f>
        <v>0</v>
      </c>
      <c r="AB22" s="37">
        <f>SUMIFS(_book!$AD$2:$AD$379,_book!$C$2:$C$379,$A22,_book!$A$2:$A$379,bkc_lob,_book!$B$2:$B$379,bkc_bu)</f>
        <v>0</v>
      </c>
      <c r="AC22" s="35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0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0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2">
        <f>IF(COUNTIFS(_book!$D$2:$D$379,"?*",_book!$C$2:$C$379,$A22,_book!$A$2:$A$379,bkc_lob,_book!$B$2:$B$379,bkc_bu)=0,"",IF(COUNTIFS(_book!$D$2:$D$379,"?*",_book!$C$2:$C$379,$A22,_book!$A$2:$A$379,bkc_lob,_book!$B$2:$B$379,bkc_bu)=1,$I22*(1+$AC22)*$AD22*$AE22*$L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5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1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8" t="str">
        <f>IF(SUMIFS(_book!$V$2:$V$379,_book!$C$2:$C$379,$A22,_book!$A$2:$A$379,bkc_lob,_book!$B$2:$B$379,bkc_bu)=0,"—",($AH22-$M22)*100)</f>
        <v>—</v>
      </c>
    </row>
    <row r="23" spans="1:35" x14ac:dyDescent="0.3">
      <c r="A23" s="39" t="s">
        <v>88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G23" s="42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H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I23" s="43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J23" s="42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K23" s="42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L23" s="42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M23" s="44">
        <f>IF(COUNTIFS(_book!$D$2:$D$379,"?*",_book!$C$2:$C$379,$A23,_book!$A$2:$A$379,bkc_lob,_book!$B$2:$B$379,bkc_bu)=0,"",IF(COUNTIFS(_book!$D$2:$D$379,"?*",_book!$C$2:$C$379,$A23,_book!$A$2:$A$379,bkc_lob,_book!$B$2:$B$379,bkc_bu)=1,$I23*$J23*$K23*$L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N23" s="45">
        <f>IF(COUNTIFS(_book!$D$2:$D$379,"?*",_book!$C$2:$C$379,$A23,_book!$A$2:$A$379,bkc_lob,_book!$B$2:$B$379,bkc_bu)&lt;=1,"",($M23-$I23*$J23*$K23*$L23)*100)</f>
        <v>-1.9465938889684509E-3</v>
      </c>
      <c r="O23" s="46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P23" s="47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Q23" s="48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R23" s="46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S23" s="47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T23" s="48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U23" s="46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V23" s="47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W23" s="48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X23" s="46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Y23" s="47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Z23" s="48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AA23" s="49">
        <f>SUMIFS(_book!$AC$2:$AC$379,_book!$C$2:$C$379,$A23,_book!$A$2:$A$379,bkc_lob,_book!$B$2:$B$379,bkc_bu)</f>
        <v>18</v>
      </c>
      <c r="AB23" s="49">
        <f>SUMIFS(_book!$AD$2:$AD$379,_book!$C$2:$C$379,$A23,_book!$A$2:$A$379,bkc_lob,_book!$B$2:$B$379,bkc_bu)</f>
        <v>6</v>
      </c>
      <c r="AC23" s="47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2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2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4">
        <f>IF(COUNTIFS(_book!$D$2:$D$379,"?*",_book!$C$2:$C$379,$A23,_book!$A$2:$A$379,bkc_lob,_book!$B$2:$B$379,bkc_bu)=0,"",IF(COUNTIFS(_book!$D$2:$D$379,"?*",_book!$C$2:$C$379,$A23,_book!$A$2:$A$379,bkc_lob,_book!$B$2:$B$379,bkc_bu)=1,$I23*(1+$AC23)*$AD23*$AE23*$L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7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3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50" t="str">
        <f>IF(SUMIFS(_book!$V$2:$V$379,_book!$C$2:$C$379,$A23,_book!$A$2:$A$379,bkc_lob,_book!$B$2:$B$379,bkc_bu)=0,"—",($AH23-$M23)*100)</f>
        <v>—</v>
      </c>
    </row>
    <row r="24" spans="1:35" x14ac:dyDescent="0.3">
      <c r="A24" s="27" t="s">
        <v>90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G24" s="30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H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I24" s="31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J24" s="30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K24" s="30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L24" s="30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M24" s="32">
        <f>IF(COUNTIFS(_book!$D$2:$D$379,"?*",_book!$C$2:$C$379,$A24,_book!$A$2:$A$379,bkc_lob,_book!$B$2:$B$379,bkc_bu)=0,"",IF(COUNTIFS(_book!$D$2:$D$379,"?*",_book!$C$2:$C$379,$A24,_book!$A$2:$A$379,bkc_lob,_book!$B$2:$B$379,bkc_bu)=1,$I24*$J24*$K24*$L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N24" s="33">
        <f>IF(COUNTIFS(_book!$D$2:$D$379,"?*",_book!$C$2:$C$379,$A24,_book!$A$2:$A$379,bkc_lob,_book!$B$2:$B$379,bkc_bu)&lt;=1,"",($M24-$I24*$J24*$K24*$L24)*100)</f>
        <v>1.0712210249375076E-2</v>
      </c>
      <c r="O24" s="34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P24" s="35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Q24" s="36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R24" s="34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S24" s="35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T24" s="36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U24" s="34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V24" s="35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W24" s="36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X24" s="34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Y24" s="35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Z24" s="36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AA24" s="37">
        <f>SUMIFS(_book!$AC$2:$AC$379,_book!$C$2:$C$379,$A24,_book!$A$2:$A$379,bkc_lob,_book!$B$2:$B$379,bkc_bu)</f>
        <v>18</v>
      </c>
      <c r="AB24" s="37">
        <f>SUMIFS(_book!$AD$2:$AD$379,_book!$C$2:$C$379,$A24,_book!$A$2:$A$379,bkc_lob,_book!$B$2:$B$379,bkc_bu)</f>
        <v>6</v>
      </c>
      <c r="AC24" s="35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0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0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2">
        <f>IF(COUNTIFS(_book!$D$2:$D$379,"?*",_book!$C$2:$C$379,$A24,_book!$A$2:$A$379,bkc_lob,_book!$B$2:$B$379,bkc_bu)=0,"",IF(COUNTIFS(_book!$D$2:$D$379,"?*",_book!$C$2:$C$379,$A24,_book!$A$2:$A$379,bkc_lob,_book!$B$2:$B$379,bkc_bu)=1,$I24*(1+$AC24)*$AD24*$AE24*$L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5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1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8" t="str">
        <f>IF(SUMIFS(_book!$V$2:$V$379,_book!$C$2:$C$379,$A24,_book!$A$2:$A$379,bkc_lob,_book!$B$2:$B$379,bkc_bu)=0,"—",($AH24-$M24)*100)</f>
        <v>—</v>
      </c>
    </row>
    <row r="25" spans="1:35" x14ac:dyDescent="0.3">
      <c r="A25" s="39" t="s">
        <v>91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G25" s="42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H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I25" s="43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J25" s="42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K25" s="42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L25" s="42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M25" s="44">
        <f>IF(COUNTIFS(_book!$D$2:$D$379,"?*",_book!$C$2:$C$379,$A25,_book!$A$2:$A$379,bkc_lob,_book!$B$2:$B$379,bkc_bu)=0,"",IF(COUNTIFS(_book!$D$2:$D$379,"?*",_book!$C$2:$C$379,$A25,_book!$A$2:$A$379,bkc_lob,_book!$B$2:$B$379,bkc_bu)=1,$I25*$J25*$K25*$L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N25" s="45">
        <f>IF(COUNTIFS(_book!$D$2:$D$379,"?*",_book!$C$2:$C$379,$A25,_book!$A$2:$A$379,bkc_lob,_book!$B$2:$B$379,bkc_bu)&lt;=1,"",($M25-$I25*$J25*$K25*$L25)*100)</f>
        <v>-1.3514424191618524E-3</v>
      </c>
      <c r="O25" s="46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P25" s="47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Q25" s="48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R25" s="46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S25" s="47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T25" s="48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U25" s="46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V25" s="47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W25" s="48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X25" s="46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Y25" s="47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Z25" s="48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AA25" s="49">
        <f>SUMIFS(_book!$AC$2:$AC$379,_book!$C$2:$C$379,$A25,_book!$A$2:$A$379,bkc_lob,_book!$B$2:$B$379,bkc_bu)</f>
        <v>0</v>
      </c>
      <c r="AB25" s="49">
        <f>SUMIFS(_book!$AD$2:$AD$379,_book!$C$2:$C$379,$A25,_book!$A$2:$A$379,bkc_lob,_book!$B$2:$B$379,bkc_bu)</f>
        <v>6</v>
      </c>
      <c r="AC25" s="47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2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2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4">
        <f>IF(COUNTIFS(_book!$D$2:$D$379,"?*",_book!$C$2:$C$379,$A25,_book!$A$2:$A$379,bkc_lob,_book!$B$2:$B$379,bkc_bu)=0,"",IF(COUNTIFS(_book!$D$2:$D$379,"?*",_book!$C$2:$C$379,$A25,_book!$A$2:$A$379,bkc_lob,_book!$B$2:$B$379,bkc_bu)=1,$I25*(1+$AC25)*$AD25*$AE25*$L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7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3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50" t="str">
        <f>IF(SUMIFS(_book!$V$2:$V$379,_book!$C$2:$C$379,$A25,_book!$A$2:$A$379,bkc_lob,_book!$B$2:$B$379,bkc_bu)=0,"—",($AH25-$M25)*100)</f>
        <v>—</v>
      </c>
    </row>
    <row r="26" spans="1:35" x14ac:dyDescent="0.3">
      <c r="A26" s="27" t="s">
        <v>93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G26" s="30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H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I26" s="31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J26" s="30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K26" s="30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L26" s="30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M26" s="32">
        <f>IF(COUNTIFS(_book!$D$2:$D$379,"?*",_book!$C$2:$C$379,$A26,_book!$A$2:$A$379,bkc_lob,_book!$B$2:$B$379,bkc_bu)=0,"",IF(COUNTIFS(_book!$D$2:$D$379,"?*",_book!$C$2:$C$379,$A26,_book!$A$2:$A$379,bkc_lob,_book!$B$2:$B$379,bkc_bu)=1,$I26*$J26*$K26*$L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N26" s="33">
        <f>IF(COUNTIFS(_book!$D$2:$D$379,"?*",_book!$C$2:$C$379,$A26,_book!$A$2:$A$379,bkc_lob,_book!$B$2:$B$379,bkc_bu)&lt;=1,"",($M26-$I26*$J26*$K26*$L26)*100)</f>
        <v>1.9933259055360253E-3</v>
      </c>
      <c r="O26" s="34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P26" s="35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Q26" s="36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R26" s="34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S26" s="35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T26" s="36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U26" s="34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V26" s="35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W26" s="36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X26" s="34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Y26" s="35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Z26" s="36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AA26" s="37">
        <f>SUMIFS(_book!$AC$2:$AC$379,_book!$C$2:$C$379,$A26,_book!$A$2:$A$379,bkc_lob,_book!$B$2:$B$379,bkc_bu)</f>
        <v>18</v>
      </c>
      <c r="AB26" s="37">
        <f>SUMIFS(_book!$AD$2:$AD$379,_book!$C$2:$C$379,$A26,_book!$A$2:$A$379,bkc_lob,_book!$B$2:$B$379,bkc_bu)</f>
        <v>0</v>
      </c>
      <c r="AC26" s="35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0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0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2">
        <f>IF(COUNTIFS(_book!$D$2:$D$379,"?*",_book!$C$2:$C$379,$A26,_book!$A$2:$A$379,bkc_lob,_book!$B$2:$B$379,bkc_bu)=0,"",IF(COUNTIFS(_book!$D$2:$D$379,"?*",_book!$C$2:$C$379,$A26,_book!$A$2:$A$379,bkc_lob,_book!$B$2:$B$379,bkc_bu)=1,$I26*(1+$AC26)*$AD26*$AE26*$L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5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1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8" t="str">
        <f>IF(SUMIFS(_book!$V$2:$V$379,_book!$C$2:$C$379,$A26,_book!$A$2:$A$379,bkc_lob,_book!$B$2:$B$379,bkc_bu)=0,"—",($AH26-$M26)*100)</f>
        <v>—</v>
      </c>
    </row>
    <row r="27" spans="1:35" x14ac:dyDescent="0.3">
      <c r="A27" s="39" t="s">
        <v>94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G27" s="42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H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I27" s="43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J27" s="42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K27" s="42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L27" s="42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M27" s="44">
        <f>IF(COUNTIFS(_book!$D$2:$D$379,"?*",_book!$C$2:$C$379,$A27,_book!$A$2:$A$379,bkc_lob,_book!$B$2:$B$379,bkc_bu)=0,"",IF(COUNTIFS(_book!$D$2:$D$379,"?*",_book!$C$2:$C$379,$A27,_book!$A$2:$A$379,bkc_lob,_book!$B$2:$B$379,bkc_bu)=1,$I27*$J27*$K27*$L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N27" s="45">
        <f>IF(COUNTIFS(_book!$D$2:$D$379,"?*",_book!$C$2:$C$379,$A27,_book!$A$2:$A$379,bkc_lob,_book!$B$2:$B$379,bkc_bu)&lt;=1,"",($M27-$I27*$J27*$K27*$L27)*100)</f>
        <v>-1.2958903017201706E-2</v>
      </c>
      <c r="O27" s="46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P27" s="47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Q27" s="48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R27" s="46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S27" s="47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T27" s="48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U27" s="46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V27" s="47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W27" s="48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X27" s="46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Y27" s="47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Z27" s="48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AA27" s="49">
        <f>SUMIFS(_book!$AC$2:$AC$379,_book!$C$2:$C$379,$A27,_book!$A$2:$A$379,bkc_lob,_book!$B$2:$B$379,bkc_bu)</f>
        <v>18</v>
      </c>
      <c r="AB27" s="49">
        <f>SUMIFS(_book!$AD$2:$AD$379,_book!$C$2:$C$379,$A27,_book!$A$2:$A$379,bkc_lob,_book!$B$2:$B$379,bkc_bu)</f>
        <v>6</v>
      </c>
      <c r="AC27" s="47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2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2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4">
        <f>IF(COUNTIFS(_book!$D$2:$D$379,"?*",_book!$C$2:$C$379,$A27,_book!$A$2:$A$379,bkc_lob,_book!$B$2:$B$379,bkc_bu)=0,"",IF(COUNTIFS(_book!$D$2:$D$379,"?*",_book!$C$2:$C$379,$A27,_book!$A$2:$A$379,bkc_lob,_book!$B$2:$B$379,bkc_bu)=1,$I27*(1+$AC27)*$AD27*$AE27*$L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7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3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50" t="str">
        <f>IF(SUMIFS(_book!$V$2:$V$379,_book!$C$2:$C$379,$A27,_book!$A$2:$A$379,bkc_lob,_book!$B$2:$B$379,bkc_bu)=0,"—",($AH27-$M27)*100)</f>
        <v>—</v>
      </c>
    </row>
    <row r="28" spans="1:35" x14ac:dyDescent="0.3">
      <c r="A28" s="27" t="s">
        <v>95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G28" s="30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H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I28" s="31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J28" s="3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K28" s="3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L28" s="30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M28" s="32">
        <f>IF(COUNTIFS(_book!$D$2:$D$379,"?*",_book!$C$2:$C$379,$A28,_book!$A$2:$A$379,bkc_lob,_book!$B$2:$B$379,bkc_bu)=0,"",IF(COUNTIFS(_book!$D$2:$D$379,"?*",_book!$C$2:$C$379,$A28,_book!$A$2:$A$379,bkc_lob,_book!$B$2:$B$379,bkc_bu)=1,$I28*$J28*$K28*$L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N28" s="33">
        <f>IF(COUNTIFS(_book!$D$2:$D$379,"?*",_book!$C$2:$C$379,$A28,_book!$A$2:$A$379,bkc_lob,_book!$B$2:$B$379,bkc_bu)&lt;=1,"",($M28-$I28*$J28*$K28*$L28)*100)</f>
        <v>9.4443291231316451E-3</v>
      </c>
      <c r="O28" s="34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P28" s="35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Q28" s="36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R28" s="34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S28" s="35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T28" s="36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U28" s="34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V28" s="35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W28" s="36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X28" s="34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Y28" s="35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Z28" s="36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AA28" s="37">
        <f>SUMIFS(_book!$AC$2:$AC$379,_book!$C$2:$C$379,$A28,_book!$A$2:$A$379,bkc_lob,_book!$B$2:$B$379,bkc_bu)</f>
        <v>0</v>
      </c>
      <c r="AB28" s="37">
        <f>SUMIFS(_book!$AD$2:$AD$379,_book!$C$2:$C$379,$A28,_book!$A$2:$A$379,bkc_lob,_book!$B$2:$B$379,bkc_bu)</f>
        <v>6</v>
      </c>
      <c r="AC28" s="35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0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0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2">
        <f>IF(COUNTIFS(_book!$D$2:$D$379,"?*",_book!$C$2:$C$379,$A28,_book!$A$2:$A$379,bkc_lob,_book!$B$2:$B$379,bkc_bu)=0,"",IF(COUNTIFS(_book!$D$2:$D$379,"?*",_book!$C$2:$C$379,$A28,_book!$A$2:$A$379,bkc_lob,_book!$B$2:$B$379,bkc_bu)=1,$I28*(1+$AC28)*$AD28*$AE28*$L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5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1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8" t="str">
        <f>IF(SUMIFS(_book!$V$2:$V$379,_book!$C$2:$C$379,$A28,_book!$A$2:$A$379,bkc_lob,_book!$B$2:$B$379,bkc_bu)=0,"—",($AH28-$M28)*100)</f>
        <v>—</v>
      </c>
    </row>
    <row r="30" spans="1:35" x14ac:dyDescent="0.3">
      <c r="A30" s="51" t="s">
        <v>89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F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G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H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I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J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K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L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M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N30" s="57">
        <f>IF($B$30=0,"",($M30-$I30*$J30*$K30*$L30)*100)</f>
        <v>1.0095531567166915E-3</v>
      </c>
      <c r="AA30" s="58">
        <f>SUMIFS(_book!$AC$2:$AC$379,_book!$A$2:$A$379,bkc_lob,_book!$B$2:$B$379,bkc_bu)</f>
        <v>264</v>
      </c>
      <c r="AB30" s="58">
        <f>SUMIFS(_book!$AD$2:$AD$379,_book!$A$2:$A$379,bkc_lob,_book!$B$2:$B$379,bkc_bu)</f>
        <v>126</v>
      </c>
      <c r="AC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60">
        <f>IF($B$30=0,"",($AH30-$M30)*100)</f>
        <v>-7.7588101148773347E-3</v>
      </c>
    </row>
    <row r="32" spans="1:35" x14ac:dyDescent="0.3">
      <c r="A32" s="9" t="s">
        <v>134</v>
      </c>
    </row>
    <row r="33" spans="1:1" x14ac:dyDescent="0.3">
      <c r="A33" s="9" t="s">
        <v>135</v>
      </c>
    </row>
    <row r="34" spans="1:1" x14ac:dyDescent="0.3">
      <c r="A34" s="9" t="s">
        <v>136</v>
      </c>
    </row>
    <row r="35" spans="1:1" x14ac:dyDescent="0.3">
      <c r="A35" s="9" t="s">
        <v>137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138</v>
      </c>
    </row>
    <row r="2" spans="1:17" x14ac:dyDescent="0.3">
      <c r="A2" s="2" t="s">
        <v>139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140</v>
      </c>
      <c r="C6" s="19" t="s">
        <v>44</v>
      </c>
      <c r="D6" s="19" t="s">
        <v>105</v>
      </c>
      <c r="E6" s="19" t="s">
        <v>141</v>
      </c>
      <c r="F6" s="19" t="s">
        <v>142</v>
      </c>
      <c r="G6" s="19" t="s">
        <v>143</v>
      </c>
      <c r="H6" s="19" t="s">
        <v>144</v>
      </c>
      <c r="I6" s="19" t="s">
        <v>145</v>
      </c>
      <c r="J6" s="19" t="s">
        <v>131</v>
      </c>
      <c r="K6" s="19" t="s">
        <v>146</v>
      </c>
      <c r="L6" s="19" t="s">
        <v>147</v>
      </c>
      <c r="M6" s="19" t="s">
        <v>148</v>
      </c>
      <c r="N6" s="19" t="s">
        <v>149</v>
      </c>
      <c r="O6" s="19" t="s">
        <v>133</v>
      </c>
      <c r="P6" s="19" t="s">
        <v>126</v>
      </c>
      <c r="Q6" s="19" t="s">
        <v>127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150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151</v>
      </c>
    </row>
    <row r="2" spans="1:11" x14ac:dyDescent="0.3">
      <c r="A2" s="2" t="s">
        <v>152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153</v>
      </c>
    </row>
    <row r="6" spans="1:11" ht="28.8" x14ac:dyDescent="0.3">
      <c r="A6" s="19"/>
      <c r="B6" s="19" t="s">
        <v>71</v>
      </c>
      <c r="C6" s="19" t="s">
        <v>105</v>
      </c>
      <c r="D6" s="19" t="s">
        <v>141</v>
      </c>
      <c r="E6" s="19" t="s">
        <v>142</v>
      </c>
      <c r="F6" s="19" t="s">
        <v>143</v>
      </c>
      <c r="G6" s="19" t="s">
        <v>145</v>
      </c>
      <c r="H6" s="19" t="s">
        <v>131</v>
      </c>
      <c r="I6" s="19" t="s">
        <v>149</v>
      </c>
      <c r="J6" s="19" t="s">
        <v>133</v>
      </c>
      <c r="K6" s="19" t="s">
        <v>154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89</v>
      </c>
      <c r="B13" s="58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8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155</v>
      </c>
    </row>
    <row r="18" spans="1:11" ht="28.8" x14ac:dyDescent="0.3">
      <c r="A18" s="19"/>
      <c r="B18" s="19" t="s">
        <v>71</v>
      </c>
      <c r="C18" s="19" t="s">
        <v>105</v>
      </c>
      <c r="D18" s="19" t="s">
        <v>141</v>
      </c>
      <c r="E18" s="19" t="s">
        <v>142</v>
      </c>
      <c r="F18" s="19" t="s">
        <v>143</v>
      </c>
      <c r="G18" s="19" t="s">
        <v>145</v>
      </c>
      <c r="H18" s="19" t="s">
        <v>131</v>
      </c>
      <c r="I18" s="19" t="s">
        <v>149</v>
      </c>
      <c r="J18" s="19" t="s">
        <v>133</v>
      </c>
      <c r="K18" s="19" t="s">
        <v>154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89</v>
      </c>
      <c r="B22" s="58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8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156</v>
      </c>
    </row>
    <row r="27" spans="1:11" ht="28.8" x14ac:dyDescent="0.3">
      <c r="A27" s="19"/>
      <c r="B27" s="19" t="s">
        <v>71</v>
      </c>
      <c r="C27" s="19" t="s">
        <v>105</v>
      </c>
      <c r="D27" s="19" t="s">
        <v>141</v>
      </c>
      <c r="E27" s="19" t="s">
        <v>142</v>
      </c>
      <c r="F27" s="19" t="s">
        <v>143</v>
      </c>
      <c r="G27" s="19" t="s">
        <v>145</v>
      </c>
      <c r="H27" s="19" t="s">
        <v>131</v>
      </c>
      <c r="I27" s="19" t="s">
        <v>149</v>
      </c>
      <c r="J27" s="19" t="s">
        <v>133</v>
      </c>
      <c r="K27" s="19" t="s">
        <v>154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80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82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84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86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88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90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91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93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94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95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89</v>
      </c>
      <c r="B49" s="58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8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157</v>
      </c>
    </row>
    <row r="2" spans="1:13" x14ac:dyDescent="0.3">
      <c r="A2" s="2" t="s">
        <v>158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159</v>
      </c>
    </row>
    <row r="6" spans="1:13" x14ac:dyDescent="0.3">
      <c r="A6" s="9" t="s">
        <v>160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7" t="s">
        <v>80</v>
      </c>
      <c r="B19" s="78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7" t="s">
        <v>82</v>
      </c>
      <c r="B20" s="78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7" t="s">
        <v>84</v>
      </c>
      <c r="B21" s="78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7" t="s">
        <v>86</v>
      </c>
      <c r="B22" s="78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7" t="s">
        <v>88</v>
      </c>
      <c r="B23" s="78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7" t="s">
        <v>90</v>
      </c>
      <c r="B24" s="78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7" t="s">
        <v>91</v>
      </c>
      <c r="B25" s="78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7" t="s">
        <v>93</v>
      </c>
      <c r="B26" s="78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7" t="s">
        <v>94</v>
      </c>
      <c r="B27" s="78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7" t="s">
        <v>95</v>
      </c>
      <c r="B28" s="78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161</v>
      </c>
    </row>
    <row r="33" spans="1:13" x14ac:dyDescent="0.3">
      <c r="A33" s="9" t="s">
        <v>160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7" t="s">
        <v>80</v>
      </c>
      <c r="B46" s="78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7" t="s">
        <v>82</v>
      </c>
      <c r="B47" s="78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7" t="s">
        <v>84</v>
      </c>
      <c r="B48" s="78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7" t="s">
        <v>86</v>
      </c>
      <c r="B49" s="78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7" t="s">
        <v>88</v>
      </c>
      <c r="B50" s="78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7" t="s">
        <v>90</v>
      </c>
      <c r="B51" s="78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7" t="s">
        <v>91</v>
      </c>
      <c r="B52" s="78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7" t="s">
        <v>93</v>
      </c>
      <c r="B53" s="78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7" t="s">
        <v>94</v>
      </c>
      <c r="B54" s="78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7" t="s">
        <v>95</v>
      </c>
      <c r="B55" s="78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162</v>
      </c>
    </row>
    <row r="60" spans="1:13" x14ac:dyDescent="0.3">
      <c r="A60" s="9" t="s">
        <v>160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7" t="s">
        <v>80</v>
      </c>
      <c r="B73" s="78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7" t="s">
        <v>82</v>
      </c>
      <c r="B74" s="78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7" t="s">
        <v>84</v>
      </c>
      <c r="B75" s="78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7" t="s">
        <v>86</v>
      </c>
      <c r="B76" s="78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7" t="s">
        <v>88</v>
      </c>
      <c r="B77" s="78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7" t="s">
        <v>90</v>
      </c>
      <c r="B78" s="78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7" t="s">
        <v>91</v>
      </c>
      <c r="B79" s="78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7" t="s">
        <v>93</v>
      </c>
      <c r="B80" s="78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7" t="s">
        <v>94</v>
      </c>
      <c r="B81" s="78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7" t="s">
        <v>95</v>
      </c>
      <c r="B82" s="78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163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164</v>
      </c>
    </row>
    <row r="2" spans="1:12" x14ac:dyDescent="0.3">
      <c r="A2" s="2" t="s">
        <v>165</v>
      </c>
    </row>
    <row r="3" spans="1:12" x14ac:dyDescent="0.3">
      <c r="A3" s="10" t="s">
        <v>166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167</v>
      </c>
      <c r="B5" s="19" t="s">
        <v>168</v>
      </c>
      <c r="C5" s="19" t="s">
        <v>169</v>
      </c>
      <c r="D5" s="19" t="s">
        <v>170</v>
      </c>
      <c r="E5" s="19" t="s">
        <v>171</v>
      </c>
      <c r="F5" s="19" t="s">
        <v>172</v>
      </c>
      <c r="G5" s="19" t="s">
        <v>173</v>
      </c>
    </row>
    <row r="6" spans="1:12" x14ac:dyDescent="0.3">
      <c r="A6" s="82">
        <v>1</v>
      </c>
      <c r="B6" s="7" t="s">
        <v>174</v>
      </c>
      <c r="C6" s="83" t="s">
        <v>175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174</v>
      </c>
      <c r="C7" s="83" t="s">
        <v>176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174</v>
      </c>
      <c r="C8" s="83" t="s">
        <v>177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174</v>
      </c>
      <c r="C9" s="83" t="s">
        <v>178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179</v>
      </c>
      <c r="C10" s="83" t="s">
        <v>180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179</v>
      </c>
      <c r="C11" s="83" t="s">
        <v>181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182</v>
      </c>
      <c r="C12" s="83" t="s">
        <v>183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182</v>
      </c>
      <c r="C13" s="83" t="s">
        <v>184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185</v>
      </c>
      <c r="C14" s="83" t="s">
        <v>186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187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5" t="s">
        <v>188</v>
      </c>
      <c r="B1" s="85" t="s">
        <v>140</v>
      </c>
      <c r="C1" s="85" t="s">
        <v>44</v>
      </c>
      <c r="D1" s="85" t="s">
        <v>189</v>
      </c>
      <c r="E1" s="85" t="s">
        <v>190</v>
      </c>
      <c r="F1" s="85" t="s">
        <v>105</v>
      </c>
      <c r="G1" s="85" t="s">
        <v>191</v>
      </c>
      <c r="H1" s="85" t="s">
        <v>192</v>
      </c>
      <c r="I1" s="85" t="s">
        <v>193</v>
      </c>
      <c r="J1" s="85" t="s">
        <v>194</v>
      </c>
      <c r="K1" s="85" t="s">
        <v>195</v>
      </c>
      <c r="L1" s="85" t="s">
        <v>196</v>
      </c>
      <c r="M1" s="85" t="s">
        <v>197</v>
      </c>
      <c r="N1" s="85" t="s">
        <v>141</v>
      </c>
      <c r="O1" s="85" t="s">
        <v>198</v>
      </c>
      <c r="P1" s="85" t="s">
        <v>199</v>
      </c>
      <c r="Q1" s="85" t="s">
        <v>128</v>
      </c>
      <c r="R1" s="85" t="s">
        <v>200</v>
      </c>
      <c r="S1" s="85" t="s">
        <v>201</v>
      </c>
      <c r="T1" s="85" t="s">
        <v>146</v>
      </c>
      <c r="U1" s="85" t="s">
        <v>147</v>
      </c>
      <c r="V1" s="85" t="s">
        <v>202</v>
      </c>
      <c r="W1" s="85" t="s">
        <v>148</v>
      </c>
      <c r="X1" s="85" t="s">
        <v>203</v>
      </c>
      <c r="Y1" s="85" t="s">
        <v>149</v>
      </c>
      <c r="Z1" s="85" t="s">
        <v>204</v>
      </c>
      <c r="AA1" s="85" t="s">
        <v>133</v>
      </c>
      <c r="AB1" s="85" t="s">
        <v>205</v>
      </c>
      <c r="AC1" s="85" t="s">
        <v>126</v>
      </c>
      <c r="AD1" s="85" t="s">
        <v>127</v>
      </c>
      <c r="AE1" s="85" t="s">
        <v>206</v>
      </c>
      <c r="AF1" s="85" t="s">
        <v>207</v>
      </c>
      <c r="AG1" s="85" t="s">
        <v>208</v>
      </c>
      <c r="AH1" s="85" t="s">
        <v>209</v>
      </c>
      <c r="AI1" s="85" t="s">
        <v>210</v>
      </c>
      <c r="AJ1" s="85" t="s">
        <v>211</v>
      </c>
      <c r="AK1" s="85" t="s">
        <v>212</v>
      </c>
      <c r="AL1" s="85" t="s">
        <v>213</v>
      </c>
      <c r="AM1" s="85" t="s">
        <v>214</v>
      </c>
      <c r="AN1" s="85" t="s">
        <v>215</v>
      </c>
      <c r="AO1" s="85" t="s">
        <v>216</v>
      </c>
      <c r="AP1" s="85" t="s">
        <v>217</v>
      </c>
      <c r="AQ1" s="85" t="s">
        <v>218</v>
      </c>
      <c r="AR1" s="85" t="s">
        <v>219</v>
      </c>
      <c r="AS1" s="85" t="s">
        <v>220</v>
      </c>
      <c r="AT1" s="85" t="s">
        <v>221</v>
      </c>
      <c r="AU1" s="85" t="s">
        <v>222</v>
      </c>
      <c r="AV1" s="85" t="s">
        <v>223</v>
      </c>
      <c r="AW1" s="85" t="s">
        <v>224</v>
      </c>
      <c r="AX1" s="85" t="s">
        <v>225</v>
      </c>
      <c r="AY1" s="85" t="s">
        <v>226</v>
      </c>
      <c r="AZ1" s="85" t="s">
        <v>227</v>
      </c>
      <c r="BA1" s="85" t="s">
        <v>228</v>
      </c>
      <c r="BB1" s="85" t="s">
        <v>229</v>
      </c>
      <c r="BC1" s="85" t="s">
        <v>230</v>
      </c>
      <c r="BD1" s="85" t="s">
        <v>231</v>
      </c>
      <c r="BE1" s="85" t="s">
        <v>232</v>
      </c>
      <c r="BF1" s="85" t="s">
        <v>233</v>
      </c>
      <c r="BG1" s="85" t="s">
        <v>234</v>
      </c>
      <c r="BH1" s="85" t="s">
        <v>235</v>
      </c>
      <c r="BI1" s="85" t="s">
        <v>236</v>
      </c>
      <c r="BJ1" s="85" t="s">
        <v>237</v>
      </c>
      <c r="BK1" s="85" t="s">
        <v>238</v>
      </c>
      <c r="BL1" s="85" t="s">
        <v>239</v>
      </c>
      <c r="BM1" s="85" t="s">
        <v>240</v>
      </c>
      <c r="BN1" s="85" t="s">
        <v>241</v>
      </c>
      <c r="BO1" s="85" t="s">
        <v>242</v>
      </c>
      <c r="BP1" s="85" t="s">
        <v>243</v>
      </c>
      <c r="BQ1" s="85" t="s">
        <v>244</v>
      </c>
      <c r="BR1" s="85" t="s">
        <v>245</v>
      </c>
      <c r="BS1" s="85" t="s">
        <v>246</v>
      </c>
      <c r="BT1" s="85" t="s">
        <v>247</v>
      </c>
      <c r="BU1" s="85" t="s">
        <v>248</v>
      </c>
      <c r="BV1" s="85" t="s">
        <v>249</v>
      </c>
      <c r="BW1" s="85" t="s">
        <v>250</v>
      </c>
      <c r="BX1" s="85" t="s">
        <v>251</v>
      </c>
      <c r="BY1" s="85" t="s">
        <v>252</v>
      </c>
      <c r="BZ1" s="85" t="s">
        <v>253</v>
      </c>
      <c r="CA1" s="85" t="s">
        <v>254</v>
      </c>
      <c r="CB1" s="85" t="s">
        <v>255</v>
      </c>
      <c r="CC1" s="85" t="s">
        <v>256</v>
      </c>
      <c r="CD1" s="85" t="s">
        <v>257</v>
      </c>
      <c r="CE1" s="85" t="s">
        <v>258</v>
      </c>
      <c r="CF1" s="85" t="s">
        <v>259</v>
      </c>
      <c r="CG1" s="85" t="s">
        <v>260</v>
      </c>
      <c r="CH1" s="85" t="s">
        <v>261</v>
      </c>
      <c r="CI1" s="85" t="s">
        <v>262</v>
      </c>
      <c r="CJ1" s="85" t="s">
        <v>263</v>
      </c>
      <c r="CK1" s="85" t="s">
        <v>264</v>
      </c>
      <c r="CL1" s="85" t="s">
        <v>265</v>
      </c>
      <c r="CM1" s="85" t="s">
        <v>266</v>
      </c>
      <c r="CN1" s="85" t="s">
        <v>267</v>
      </c>
      <c r="CO1" s="85" t="s">
        <v>268</v>
      </c>
      <c r="CP1" s="85" t="s">
        <v>269</v>
      </c>
      <c r="CQ1" s="85" t="s">
        <v>270</v>
      </c>
      <c r="CR1" s="85" t="s">
        <v>271</v>
      </c>
      <c r="CS1" s="85" t="s">
        <v>272</v>
      </c>
      <c r="CT1" s="85" t="s">
        <v>273</v>
      </c>
      <c r="CU1" s="85" t="s">
        <v>274</v>
      </c>
      <c r="CV1" s="85" t="s">
        <v>275</v>
      </c>
      <c r="CW1" s="85" t="s">
        <v>276</v>
      </c>
      <c r="CX1" s="85" t="s">
        <v>277</v>
      </c>
      <c r="CY1" s="85" t="s">
        <v>278</v>
      </c>
      <c r="CZ1" s="85" t="s">
        <v>279</v>
      </c>
      <c r="DA1" s="85" t="s">
        <v>280</v>
      </c>
      <c r="DB1" s="85" t="s">
        <v>281</v>
      </c>
      <c r="DC1" s="85" t="s">
        <v>282</v>
      </c>
      <c r="DD1" s="85" t="s">
        <v>283</v>
      </c>
      <c r="DE1" s="85" t="s">
        <v>284</v>
      </c>
      <c r="DF1" s="85" t="s">
        <v>285</v>
      </c>
      <c r="DG1" s="85" t="s">
        <v>286</v>
      </c>
      <c r="DH1" s="85" t="s">
        <v>287</v>
      </c>
      <c r="DI1" s="85" t="s">
        <v>288</v>
      </c>
      <c r="DJ1" s="85" t="s">
        <v>289</v>
      </c>
      <c r="DK1" s="85" t="s">
        <v>290</v>
      </c>
      <c r="DL1" s="85" t="s">
        <v>291</v>
      </c>
      <c r="DM1" s="85" t="s">
        <v>292</v>
      </c>
      <c r="DN1" s="85" t="s">
        <v>293</v>
      </c>
      <c r="DO1" s="85" t="s">
        <v>294</v>
      </c>
      <c r="DP1" s="85" t="s">
        <v>295</v>
      </c>
      <c r="DQ1" s="85" t="s">
        <v>296</v>
      </c>
      <c r="DR1" s="85" t="s">
        <v>297</v>
      </c>
    </row>
    <row r="2" spans="1:122" x14ac:dyDescent="0.3">
      <c r="A2" t="s">
        <v>22</v>
      </c>
      <c r="B2" t="s">
        <v>42</v>
      </c>
      <c r="C2" t="s">
        <v>43</v>
      </c>
      <c r="D2" t="s">
        <v>298</v>
      </c>
      <c r="E2" t="s">
        <v>299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36000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3244.4988904605639</v>
      </c>
      <c r="BL2" s="88">
        <v>3242.0135688021142</v>
      </c>
      <c r="BM2" s="88">
        <v>3239.53961220984</v>
      </c>
      <c r="BN2" s="88">
        <v>5198.8433424403302</v>
      </c>
      <c r="BO2" s="88">
        <v>5196.1826714151657</v>
      </c>
      <c r="BP2" s="88">
        <v>5193.5344911623624</v>
      </c>
      <c r="BQ2" s="88">
        <v>2859.3384093672021</v>
      </c>
      <c r="BR2" s="88">
        <v>2856.8229691948368</v>
      </c>
      <c r="BS2" s="88">
        <v>2854.3597320223139</v>
      </c>
      <c r="BT2" s="88">
        <v>2851.9079507478059</v>
      </c>
      <c r="BU2" s="88">
        <v>2849.4675456389559</v>
      </c>
      <c r="BV2" s="88">
        <v>2847.0384377015839</v>
      </c>
      <c r="BW2" s="88">
        <v>2160.0000000000018</v>
      </c>
      <c r="BX2" s="88">
        <v>2160.0000000000018</v>
      </c>
      <c r="BY2" s="88">
        <v>2160.0000000000018</v>
      </c>
      <c r="BZ2" s="88">
        <v>4068</v>
      </c>
      <c r="CA2" s="88">
        <v>4068</v>
      </c>
      <c r="CB2" s="88">
        <v>4068</v>
      </c>
      <c r="CC2" s="88">
        <v>1800.000000000002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36000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1023.112160811849</v>
      </c>
      <c r="CV2" s="88">
        <v>1020.767517737845</v>
      </c>
      <c r="CW2" s="88">
        <v>1018.433596424376</v>
      </c>
      <c r="CX2" s="88">
        <v>1016.031754214136</v>
      </c>
      <c r="CY2" s="88">
        <v>1013.641214209491</v>
      </c>
      <c r="CZ2" s="88">
        <v>1011.2618968215299</v>
      </c>
      <c r="DA2" s="88">
        <v>1008.893723206858</v>
      </c>
      <c r="DB2" s="88">
        <v>1006.498065899839</v>
      </c>
      <c r="DC2" s="88">
        <v>1004.152125735535</v>
      </c>
      <c r="DD2" s="88">
        <v>1001.817095950288</v>
      </c>
      <c r="DE2" s="88">
        <v>999.4929006085265</v>
      </c>
      <c r="DF2" s="88">
        <v>997.17946447769543</v>
      </c>
      <c r="DG2" s="93">
        <v>45839</v>
      </c>
      <c r="DH2" s="91">
        <v>0.04</v>
      </c>
      <c r="DI2" t="s">
        <v>300</v>
      </c>
      <c r="DJ2" s="93">
        <v>46204</v>
      </c>
      <c r="DK2" s="91">
        <v>0.06</v>
      </c>
      <c r="DL2" t="s">
        <v>300</v>
      </c>
      <c r="DM2" s="93">
        <v>46478</v>
      </c>
      <c r="DN2" s="91">
        <v>0.05</v>
      </c>
      <c r="DO2" t="s">
        <v>301</v>
      </c>
      <c r="DP2" s="93"/>
      <c r="DQ2" s="91"/>
    </row>
    <row r="3" spans="1:122" x14ac:dyDescent="0.3">
      <c r="A3" t="s">
        <v>22</v>
      </c>
      <c r="B3" t="s">
        <v>42</v>
      </c>
      <c r="C3" t="s">
        <v>46</v>
      </c>
      <c r="D3" t="s">
        <v>302</v>
      </c>
      <c r="E3" t="s">
        <v>303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94500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3299.2965426661449</v>
      </c>
      <c r="BL3" s="88">
        <v>4248.6236087161087</v>
      </c>
      <c r="BM3" s="88">
        <v>4248.4430805393222</v>
      </c>
      <c r="BN3" s="88">
        <v>4248.2565789473574</v>
      </c>
      <c r="BO3" s="88">
        <v>4248.0702258003485</v>
      </c>
      <c r="BP3" s="88">
        <v>4247.8840209210957</v>
      </c>
      <c r="BQ3" s="88">
        <v>4247.6979641327516</v>
      </c>
      <c r="BR3" s="88">
        <v>4247.5090088035358</v>
      </c>
      <c r="BS3" s="88">
        <v>4247.3232500879531</v>
      </c>
      <c r="BT3" s="88">
        <v>4247.1376389313964</v>
      </c>
      <c r="BU3" s="88">
        <v>4246.9521751581524</v>
      </c>
      <c r="BV3" s="88">
        <v>4246.7668585927586</v>
      </c>
      <c r="BW3" s="88">
        <v>2835.0000000000032</v>
      </c>
      <c r="BX3" s="88">
        <v>3780.0000000000032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94500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450.7733423943148</v>
      </c>
      <c r="CV3" s="88">
        <v>450.5996237654868</v>
      </c>
      <c r="CW3" s="88">
        <v>450.42603898011112</v>
      </c>
      <c r="CX3" s="88">
        <v>450.24671052631061</v>
      </c>
      <c r="CY3" s="88">
        <v>450.06752480801953</v>
      </c>
      <c r="CZ3" s="88">
        <v>449.88848165489611</v>
      </c>
      <c r="DA3" s="88">
        <v>449.70958089687127</v>
      </c>
      <c r="DB3" s="88">
        <v>449.5278930803276</v>
      </c>
      <c r="DC3" s="88">
        <v>449.34927893071688</v>
      </c>
      <c r="DD3" s="88">
        <v>449.17080666480189</v>
      </c>
      <c r="DE3" s="88">
        <v>448.99247611360488</v>
      </c>
      <c r="DF3" s="88">
        <v>448.81428710842079</v>
      </c>
      <c r="DG3" s="93">
        <v>46054</v>
      </c>
      <c r="DH3" s="91">
        <v>0.03</v>
      </c>
      <c r="DI3" t="s">
        <v>300</v>
      </c>
      <c r="DJ3" s="93">
        <v>46419</v>
      </c>
      <c r="DK3" s="91">
        <v>0.04</v>
      </c>
      <c r="DL3" t="s">
        <v>301</v>
      </c>
      <c r="DM3" s="93"/>
      <c r="DN3" s="91"/>
      <c r="DP3" s="93"/>
      <c r="DQ3" s="91"/>
    </row>
    <row r="4" spans="1:122" x14ac:dyDescent="0.3">
      <c r="A4" t="s">
        <v>22</v>
      </c>
      <c r="B4" t="s">
        <v>42</v>
      </c>
      <c r="C4" t="s">
        <v>48</v>
      </c>
      <c r="D4" t="s">
        <v>304</v>
      </c>
      <c r="E4" t="s">
        <v>305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76500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1474.533308689566</v>
      </c>
      <c r="BL4" s="88">
        <v>1472.2397975324329</v>
      </c>
      <c r="BM4" s="88">
        <v>1469.953410018162</v>
      </c>
      <c r="BN4" s="88">
        <v>1467.5969725638649</v>
      </c>
      <c r="BO4" s="88">
        <v>1465.2480780835911</v>
      </c>
      <c r="BP4" s="88">
        <v>1462.9066904175641</v>
      </c>
      <c r="BQ4" s="88">
        <v>1460.572773636721</v>
      </c>
      <c r="BR4" s="88">
        <v>1458.208214742672</v>
      </c>
      <c r="BS4" s="88">
        <v>1455.889253871431</v>
      </c>
      <c r="BT4" s="88">
        <v>1453.577656888506</v>
      </c>
      <c r="BU4" s="88">
        <v>1451.2733887733841</v>
      </c>
      <c r="BV4" s="88">
        <v>1448.976414727176</v>
      </c>
      <c r="BW4" s="88">
        <v>0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76500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1474.533308689566</v>
      </c>
      <c r="CV4" s="88">
        <v>1472.2397975324329</v>
      </c>
      <c r="CW4" s="88">
        <v>1469.953410018162</v>
      </c>
      <c r="CX4" s="88">
        <v>1467.5969725638649</v>
      </c>
      <c r="CY4" s="88">
        <v>1465.2480780835911</v>
      </c>
      <c r="CZ4" s="88">
        <v>1462.9066904175641</v>
      </c>
      <c r="DA4" s="88">
        <v>1460.572773636721</v>
      </c>
      <c r="DB4" s="88">
        <v>1458.208214742672</v>
      </c>
      <c r="DC4" s="88">
        <v>1455.889253871431</v>
      </c>
      <c r="DD4" s="88">
        <v>1453.577656888506</v>
      </c>
      <c r="DE4" s="88">
        <v>1451.2733887733841</v>
      </c>
      <c r="DF4" s="88">
        <v>1448.976414727176</v>
      </c>
      <c r="DG4" s="93"/>
      <c r="DH4" s="91"/>
      <c r="DJ4" s="93"/>
      <c r="DK4" s="91"/>
      <c r="DM4" s="93"/>
      <c r="DN4" s="91"/>
      <c r="DP4" s="93"/>
      <c r="DQ4" s="91"/>
    </row>
    <row r="5" spans="1:122" x14ac:dyDescent="0.3">
      <c r="A5" t="s">
        <v>22</v>
      </c>
      <c r="B5" t="s">
        <v>42</v>
      </c>
      <c r="C5" t="s">
        <v>50</v>
      </c>
      <c r="D5" t="s">
        <v>306</v>
      </c>
      <c r="E5" t="s">
        <v>307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58500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2925.0000000000032</v>
      </c>
      <c r="BL5" s="88">
        <v>2925.0000000000032</v>
      </c>
      <c r="BM5" s="88">
        <v>2925.0000000000032</v>
      </c>
      <c r="BN5" s="88">
        <v>0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2925.0000000000032</v>
      </c>
      <c r="BX5" s="88">
        <v>2925.0000000000032</v>
      </c>
      <c r="BY5" s="88">
        <v>2925.0000000000032</v>
      </c>
      <c r="BZ5" s="88">
        <v>0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93">
        <v>46113</v>
      </c>
      <c r="DH5" s="91">
        <v>0.05</v>
      </c>
      <c r="DI5" t="s">
        <v>300</v>
      </c>
      <c r="DJ5" s="93"/>
      <c r="DK5" s="91"/>
      <c r="DM5" s="93"/>
      <c r="DN5" s="91"/>
      <c r="DP5" s="93"/>
      <c r="DQ5" s="91"/>
    </row>
    <row r="6" spans="1:122" x14ac:dyDescent="0.3">
      <c r="A6" t="s">
        <v>22</v>
      </c>
      <c r="B6" t="s">
        <v>42</v>
      </c>
      <c r="C6" t="s">
        <v>57</v>
      </c>
      <c r="D6" t="s">
        <v>308</v>
      </c>
      <c r="E6" t="s">
        <v>309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40500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3048.502437387745</v>
      </c>
      <c r="BL6" s="88">
        <v>3047.783078378809</v>
      </c>
      <c r="BM6" s="88">
        <v>3047.065390749608</v>
      </c>
      <c r="BN6" s="88">
        <v>3046.3251258653272</v>
      </c>
      <c r="BO6" s="88">
        <v>580.74210846805272</v>
      </c>
      <c r="BP6" s="88">
        <v>580.04708652148167</v>
      </c>
      <c r="BQ6" s="88">
        <v>579.35372616645088</v>
      </c>
      <c r="BR6" s="88">
        <v>578.65069579003546</v>
      </c>
      <c r="BS6" s="88">
        <v>577.9606677874657</v>
      </c>
      <c r="BT6" s="88">
        <v>577.27228351068834</v>
      </c>
      <c r="BU6" s="88">
        <v>576.58553709337207</v>
      </c>
      <c r="BV6" s="88">
        <v>575.90042269708124</v>
      </c>
      <c r="BW6" s="88">
        <v>2430.0000000000018</v>
      </c>
      <c r="BX6" s="88">
        <v>2430.0000000000018</v>
      </c>
      <c r="BY6" s="88">
        <v>2430.0000000000018</v>
      </c>
      <c r="BZ6" s="88">
        <v>2430.0000000000018</v>
      </c>
      <c r="CA6" s="88">
        <v>0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40500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583.49286546013877</v>
      </c>
      <c r="CV6" s="88">
        <v>582.81422488566943</v>
      </c>
      <c r="CW6" s="88">
        <v>582.13716108453207</v>
      </c>
      <c r="CX6" s="88">
        <v>581.43879798615569</v>
      </c>
      <c r="CY6" s="88">
        <v>580.74210846805272</v>
      </c>
      <c r="CZ6" s="88">
        <v>580.04708652148167</v>
      </c>
      <c r="DA6" s="88">
        <v>579.35372616645088</v>
      </c>
      <c r="DB6" s="88">
        <v>578.65069579003546</v>
      </c>
      <c r="DC6" s="88">
        <v>577.9606677874657</v>
      </c>
      <c r="DD6" s="88">
        <v>577.27228351068834</v>
      </c>
      <c r="DE6" s="88">
        <v>576.58553709337207</v>
      </c>
      <c r="DF6" s="88">
        <v>575.90042269708124</v>
      </c>
      <c r="DG6" s="93">
        <v>46143</v>
      </c>
      <c r="DH6" s="91">
        <v>0.06</v>
      </c>
      <c r="DI6" t="s">
        <v>300</v>
      </c>
      <c r="DJ6" s="93"/>
      <c r="DK6" s="91"/>
      <c r="DM6" s="93"/>
      <c r="DN6" s="91"/>
      <c r="DP6" s="93"/>
      <c r="DQ6" s="91"/>
    </row>
    <row r="7" spans="1:122" x14ac:dyDescent="0.3">
      <c r="A7" t="s">
        <v>22</v>
      </c>
      <c r="B7" t="s">
        <v>42</v>
      </c>
      <c r="C7" t="s">
        <v>58</v>
      </c>
      <c r="D7" t="s">
        <v>310</v>
      </c>
      <c r="E7" t="s">
        <v>311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99000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5185.1504221173873</v>
      </c>
      <c r="BL7" s="88">
        <v>5044.1071950132346</v>
      </c>
      <c r="BM7" s="88">
        <v>4903.3371504640936</v>
      </c>
      <c r="BN7" s="88">
        <v>4758.0816270709638</v>
      </c>
      <c r="BO7" s="88">
        <v>4613.1164005711607</v>
      </c>
      <c r="BP7" s="88">
        <v>3973.3762924862549</v>
      </c>
      <c r="BQ7" s="88">
        <v>3829.6799031270648</v>
      </c>
      <c r="BR7" s="88">
        <v>3683.921232244576</v>
      </c>
      <c r="BS7" s="88">
        <v>3540.8013058412562</v>
      </c>
      <c r="BT7" s="88">
        <v>3470.420072823907</v>
      </c>
      <c r="BU7" s="88">
        <v>3470.2254659194632</v>
      </c>
      <c r="BV7" s="88">
        <v>3470.0307042418858</v>
      </c>
      <c r="BW7" s="88">
        <v>4454.9999999999927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3960.0000000000041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99000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698.70853791139086</v>
      </c>
      <c r="CV7" s="88">
        <v>563.73894259640747</v>
      </c>
      <c r="CW7" s="88">
        <v>429.03076599436292</v>
      </c>
      <c r="CX7" s="88">
        <v>290.03026513968979</v>
      </c>
      <c r="CY7" s="88">
        <v>151.3075603551799</v>
      </c>
      <c r="CZ7" s="88">
        <v>12.861819698322339</v>
      </c>
      <c r="DA7" s="88">
        <v>-125.30778545474141</v>
      </c>
      <c r="DB7" s="88">
        <v>-265.46035361098399</v>
      </c>
      <c r="DC7" s="88">
        <v>-403.07566746032973</v>
      </c>
      <c r="DD7" s="88">
        <v>-470.74992997700701</v>
      </c>
      <c r="DE7" s="88">
        <v>-470.93705200051522</v>
      </c>
      <c r="DF7" s="88">
        <v>-471.12432284434129</v>
      </c>
      <c r="DG7" s="93">
        <v>46174</v>
      </c>
      <c r="DH7" s="91">
        <v>4.4999999999999998E-2</v>
      </c>
      <c r="DI7" t="s">
        <v>300</v>
      </c>
      <c r="DJ7" s="93">
        <v>46539</v>
      </c>
      <c r="DK7" s="91">
        <v>0.04</v>
      </c>
      <c r="DL7" t="s">
        <v>301</v>
      </c>
      <c r="DM7" s="93"/>
      <c r="DN7" s="91"/>
      <c r="DP7" s="93"/>
      <c r="DQ7" s="91"/>
    </row>
    <row r="8" spans="1:122" x14ac:dyDescent="0.3">
      <c r="A8" t="s">
        <v>22</v>
      </c>
      <c r="B8" t="s">
        <v>42</v>
      </c>
      <c r="C8" t="s">
        <v>65</v>
      </c>
      <c r="D8" t="s">
        <v>312</v>
      </c>
      <c r="E8" t="s">
        <v>313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81000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3228.6244607335352</v>
      </c>
      <c r="BL8" s="88">
        <v>3228.0070754716971</v>
      </c>
      <c r="BM8" s="88">
        <v>3227.390644025189</v>
      </c>
      <c r="BN8" s="88">
        <v>3226.7543171114598</v>
      </c>
      <c r="BO8" s="88">
        <v>3226.1190049803331</v>
      </c>
      <c r="BP8" s="88">
        <v>3225.484705206251</v>
      </c>
      <c r="BQ8" s="88">
        <v>771.70040327316451</v>
      </c>
      <c r="BR8" s="88">
        <v>771.07648171091148</v>
      </c>
      <c r="BS8" s="88">
        <v>770.46360722383508</v>
      </c>
      <c r="BT8" s="88">
        <v>769.851706224699</v>
      </c>
      <c r="BU8" s="88">
        <v>769.24077639589507</v>
      </c>
      <c r="BV8" s="88">
        <v>768.63081542722523</v>
      </c>
      <c r="BW8" s="88">
        <v>2430.0000000000018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0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81000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775.36355411022976</v>
      </c>
      <c r="CV8" s="88">
        <v>774.76415094338665</v>
      </c>
      <c r="CW8" s="88">
        <v>774.16567381086486</v>
      </c>
      <c r="CX8" s="88">
        <v>773.54788069073766</v>
      </c>
      <c r="CY8" s="88">
        <v>772.93107279642936</v>
      </c>
      <c r="CZ8" s="88">
        <v>772.31524777304776</v>
      </c>
      <c r="DA8" s="88">
        <v>771.70040327316451</v>
      </c>
      <c r="DB8" s="88">
        <v>771.07648171091148</v>
      </c>
      <c r="DC8" s="88">
        <v>770.46360722383508</v>
      </c>
      <c r="DD8" s="88">
        <v>769.851706224699</v>
      </c>
      <c r="DE8" s="88">
        <v>769.24077639589507</v>
      </c>
      <c r="DF8" s="88">
        <v>768.63081542722523</v>
      </c>
      <c r="DG8" s="93">
        <v>46204</v>
      </c>
      <c r="DH8" s="91">
        <v>0.03</v>
      </c>
      <c r="DI8" t="s">
        <v>300</v>
      </c>
      <c r="DJ8" s="93"/>
      <c r="DK8" s="91"/>
      <c r="DM8" s="93"/>
      <c r="DN8" s="91"/>
      <c r="DP8" s="93"/>
      <c r="DQ8" s="91"/>
    </row>
    <row r="9" spans="1:122" x14ac:dyDescent="0.3">
      <c r="A9" t="s">
        <v>22</v>
      </c>
      <c r="B9" t="s">
        <v>42</v>
      </c>
      <c r="C9" t="s">
        <v>66</v>
      </c>
      <c r="D9" t="s">
        <v>314</v>
      </c>
      <c r="E9" t="s">
        <v>315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63000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1901.175039784717</v>
      </c>
      <c r="BL9" s="88">
        <v>1900.7022995649561</v>
      </c>
      <c r="BM9" s="88">
        <v>1900.228836510182</v>
      </c>
      <c r="BN9" s="88">
        <v>1899.738562091509</v>
      </c>
      <c r="BO9" s="88">
        <v>1899.247511388565</v>
      </c>
      <c r="BP9" s="88">
        <v>1898.7556825561851</v>
      </c>
      <c r="BQ9" s="88">
        <v>1898.263073743326</v>
      </c>
      <c r="BR9" s="88">
        <v>-598.30616519443572</v>
      </c>
      <c r="BS9" s="88">
        <v>-598.78134520740036</v>
      </c>
      <c r="BT9" s="88">
        <v>-599.25728060460517</v>
      </c>
      <c r="BU9" s="88">
        <v>-599.73397318866921</v>
      </c>
      <c r="BV9" s="88">
        <v>-600.21142476802379</v>
      </c>
      <c r="BW9" s="88">
        <v>2520.0000000000018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0</v>
      </c>
      <c r="CE9" s="88">
        <v>0</v>
      </c>
      <c r="CF9" s="88">
        <v>0</v>
      </c>
      <c r="CG9" s="88">
        <v>0</v>
      </c>
      <c r="CH9" s="88">
        <v>0</v>
      </c>
      <c r="CI9" s="88">
        <v>63000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-595.02400020700986</v>
      </c>
      <c r="CV9" s="88">
        <v>-595.47855811062436</v>
      </c>
      <c r="CW9" s="88">
        <v>-595.93381104790546</v>
      </c>
      <c r="CX9" s="88">
        <v>-596.40522875816475</v>
      </c>
      <c r="CY9" s="88">
        <v>-596.877392895615</v>
      </c>
      <c r="CZ9" s="88">
        <v>-597.35030523444323</v>
      </c>
      <c r="DA9" s="88">
        <v>-597.82396755449452</v>
      </c>
      <c r="DB9" s="88">
        <v>-598.30616519443572</v>
      </c>
      <c r="DC9" s="88">
        <v>-598.78134520740036</v>
      </c>
      <c r="DD9" s="88">
        <v>-599.25728060460517</v>
      </c>
      <c r="DE9" s="88">
        <v>-599.73397318866921</v>
      </c>
      <c r="DF9" s="88">
        <v>-600.21142476802379</v>
      </c>
      <c r="DG9" s="93">
        <v>46235</v>
      </c>
      <c r="DH9" s="91">
        <v>0.04</v>
      </c>
      <c r="DI9" t="s">
        <v>300</v>
      </c>
      <c r="DJ9" s="93"/>
      <c r="DK9" s="91"/>
      <c r="DM9" s="93"/>
      <c r="DN9" s="91"/>
      <c r="DP9" s="93"/>
      <c r="DQ9" s="91"/>
    </row>
    <row r="10" spans="1:122" x14ac:dyDescent="0.3">
      <c r="A10" t="s">
        <v>22</v>
      </c>
      <c r="B10" t="s">
        <v>42</v>
      </c>
      <c r="C10" t="s">
        <v>67</v>
      </c>
      <c r="D10" t="s">
        <v>316</v>
      </c>
      <c r="E10" t="s">
        <v>317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45000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214.65397256872129</v>
      </c>
      <c r="BL10" s="88">
        <v>214.57124941213661</v>
      </c>
      <c r="BM10" s="88">
        <v>214.48858999052911</v>
      </c>
      <c r="BN10" s="88">
        <v>214.40319548871929</v>
      </c>
      <c r="BO10" s="88">
        <v>214.31786895619979</v>
      </c>
      <c r="BP10" s="88">
        <v>214.23261031185521</v>
      </c>
      <c r="BQ10" s="88">
        <v>214.1474194747006</v>
      </c>
      <c r="BR10" s="88">
        <v>214.06090146682271</v>
      </c>
      <c r="BS10" s="88">
        <v>213.97584710986521</v>
      </c>
      <c r="BT10" s="88">
        <v>213.89086031657229</v>
      </c>
      <c r="BU10" s="88">
        <v>213.80594100647849</v>
      </c>
      <c r="BV10" s="88">
        <v>213.72108909924799</v>
      </c>
      <c r="BW10" s="88">
        <v>0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45000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214.65397256872129</v>
      </c>
      <c r="CV10" s="88">
        <v>214.57124941213661</v>
      </c>
      <c r="CW10" s="88">
        <v>214.48858999052911</v>
      </c>
      <c r="CX10" s="88">
        <v>214.40319548871929</v>
      </c>
      <c r="CY10" s="88">
        <v>214.31786895619979</v>
      </c>
      <c r="CZ10" s="88">
        <v>214.23261031185521</v>
      </c>
      <c r="DA10" s="88">
        <v>214.1474194747006</v>
      </c>
      <c r="DB10" s="88">
        <v>214.06090146682271</v>
      </c>
      <c r="DC10" s="88">
        <v>213.97584710986521</v>
      </c>
      <c r="DD10" s="88">
        <v>213.89086031657229</v>
      </c>
      <c r="DE10" s="88">
        <v>213.80594100647849</v>
      </c>
      <c r="DF10" s="88">
        <v>213.72108909924799</v>
      </c>
      <c r="DG10" s="93"/>
      <c r="DH10" s="91"/>
      <c r="DJ10" s="93"/>
      <c r="DK10" s="91"/>
      <c r="DM10" s="93"/>
      <c r="DN10" s="91"/>
      <c r="DP10" s="93"/>
      <c r="DQ10" s="91"/>
    </row>
    <row r="11" spans="1:122" x14ac:dyDescent="0.3">
      <c r="A11" t="s">
        <v>22</v>
      </c>
      <c r="B11" t="s">
        <v>42</v>
      </c>
      <c r="C11" t="s">
        <v>73</v>
      </c>
      <c r="D11" t="s">
        <v>318</v>
      </c>
      <c r="E11" t="s">
        <v>319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103500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8324.6542391677576</v>
      </c>
      <c r="BL11" s="88">
        <v>8321.3650743435737</v>
      </c>
      <c r="BM11" s="88">
        <v>8318.0861256613371</v>
      </c>
      <c r="BN11" s="88">
        <v>8314.706717123956</v>
      </c>
      <c r="BO11" s="88">
        <v>8311.3381260987135</v>
      </c>
      <c r="BP11" s="88">
        <v>8307.9803007282553</v>
      </c>
      <c r="BQ11" s="88">
        <v>8304.6331894860759</v>
      </c>
      <c r="BR11" s="88">
        <v>8301.2421338486201</v>
      </c>
      <c r="BS11" s="88">
        <v>8297.9164711403191</v>
      </c>
      <c r="BT11" s="88">
        <v>6185.2692678101894</v>
      </c>
      <c r="BU11" s="88">
        <v>6182.0270270270212</v>
      </c>
      <c r="BV11" s="88">
        <v>6178.7950494278839</v>
      </c>
      <c r="BW11" s="88">
        <v>6210.0000000000045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4140.0000000000036</v>
      </c>
      <c r="CG11" s="88">
        <v>4140.0000000000036</v>
      </c>
      <c r="CH11" s="88">
        <v>4140.0000000000036</v>
      </c>
      <c r="CI11" s="88">
        <v>103500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1994.95682940353</v>
      </c>
      <c r="CV11" s="88">
        <v>1991.8538437203499</v>
      </c>
      <c r="CW11" s="88">
        <v>1988.7604959069261</v>
      </c>
      <c r="CX11" s="88">
        <v>1985.57237464523</v>
      </c>
      <c r="CY11" s="88">
        <v>1982.3944585836821</v>
      </c>
      <c r="CZ11" s="88">
        <v>1979.2266988002341</v>
      </c>
      <c r="DA11" s="88">
        <v>1976.069046684976</v>
      </c>
      <c r="DB11" s="88">
        <v>1972.869937593026</v>
      </c>
      <c r="DC11" s="88">
        <v>1969.7325199437</v>
      </c>
      <c r="DD11" s="88">
        <v>1966.6050652020961</v>
      </c>
      <c r="DE11" s="88">
        <v>1963.48752598752</v>
      </c>
      <c r="DF11" s="88">
        <v>1960.3798552191199</v>
      </c>
      <c r="DG11" s="93">
        <v>46296</v>
      </c>
      <c r="DH11" s="91">
        <v>0.06</v>
      </c>
      <c r="DI11" t="s">
        <v>300</v>
      </c>
      <c r="DJ11" s="93">
        <v>46661</v>
      </c>
      <c r="DK11" s="91">
        <v>0.04</v>
      </c>
      <c r="DL11" t="s">
        <v>301</v>
      </c>
      <c r="DM11" s="93"/>
      <c r="DN11" s="91"/>
      <c r="DP11" s="93"/>
      <c r="DQ11" s="91"/>
    </row>
    <row r="12" spans="1:122" x14ac:dyDescent="0.3">
      <c r="A12" t="s">
        <v>22</v>
      </c>
      <c r="B12" t="s">
        <v>42</v>
      </c>
      <c r="C12" t="s">
        <v>78</v>
      </c>
      <c r="D12" t="s">
        <v>320</v>
      </c>
      <c r="E12" t="s">
        <v>321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85500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1710.000000000002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0</v>
      </c>
      <c r="BV12" s="88">
        <v>0</v>
      </c>
      <c r="BW12" s="88">
        <v>1710.000000000002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0</v>
      </c>
      <c r="CH12" s="88">
        <v>0</v>
      </c>
      <c r="CI12" s="88">
        <v>85500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93">
        <v>46327</v>
      </c>
      <c r="DH12" s="91">
        <v>0.02</v>
      </c>
      <c r="DI12" t="s">
        <v>300</v>
      </c>
      <c r="DJ12" s="93"/>
      <c r="DK12" s="91"/>
      <c r="DM12" s="93"/>
      <c r="DN12" s="91"/>
      <c r="DP12" s="93"/>
      <c r="DQ12" s="91"/>
    </row>
    <row r="13" spans="1:122" x14ac:dyDescent="0.3">
      <c r="A13" t="s">
        <v>22</v>
      </c>
      <c r="B13" t="s">
        <v>42</v>
      </c>
      <c r="C13" t="s">
        <v>80</v>
      </c>
      <c r="D13" t="s">
        <v>322</v>
      </c>
      <c r="E13" t="s">
        <v>323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67500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972.48810910023133</v>
      </c>
      <c r="BL13" s="88">
        <v>971.3570414761158</v>
      </c>
      <c r="BM13" s="88">
        <v>970.22860180755345</v>
      </c>
      <c r="BN13" s="88">
        <v>969.06466331025956</v>
      </c>
      <c r="BO13" s="88">
        <v>967.90351411342124</v>
      </c>
      <c r="BP13" s="88">
        <v>966.74514420246942</v>
      </c>
      <c r="BQ13" s="88">
        <v>965.58954361075143</v>
      </c>
      <c r="BR13" s="88">
        <v>964.41782631672584</v>
      </c>
      <c r="BS13" s="88">
        <v>963.26777964577616</v>
      </c>
      <c r="BT13" s="88">
        <v>962.12047251781394</v>
      </c>
      <c r="BU13" s="88">
        <v>960.97589515562026</v>
      </c>
      <c r="BV13" s="88">
        <v>959.83403782846869</v>
      </c>
      <c r="BW13" s="88">
        <v>0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67500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972.48810910023133</v>
      </c>
      <c r="CV13" s="88">
        <v>971.3570414761158</v>
      </c>
      <c r="CW13" s="88">
        <v>970.22860180755345</v>
      </c>
      <c r="CX13" s="88">
        <v>969.06466331025956</v>
      </c>
      <c r="CY13" s="88">
        <v>967.90351411342124</v>
      </c>
      <c r="CZ13" s="88">
        <v>966.74514420246942</v>
      </c>
      <c r="DA13" s="88">
        <v>965.58954361075143</v>
      </c>
      <c r="DB13" s="88">
        <v>964.41782631672584</v>
      </c>
      <c r="DC13" s="88">
        <v>963.26777964577616</v>
      </c>
      <c r="DD13" s="88">
        <v>962.12047251781394</v>
      </c>
      <c r="DE13" s="88">
        <v>960.97589515562026</v>
      </c>
      <c r="DF13" s="88">
        <v>959.83403782846869</v>
      </c>
      <c r="DG13" s="93"/>
      <c r="DH13" s="91"/>
      <c r="DJ13" s="93"/>
      <c r="DK13" s="91"/>
      <c r="DM13" s="93"/>
      <c r="DN13" s="91"/>
      <c r="DP13" s="93"/>
      <c r="DQ13" s="91"/>
    </row>
    <row r="14" spans="1:122" x14ac:dyDescent="0.3">
      <c r="A14" t="s">
        <v>22</v>
      </c>
      <c r="B14" t="s">
        <v>42</v>
      </c>
      <c r="C14" t="s">
        <v>82</v>
      </c>
      <c r="D14" t="s">
        <v>324</v>
      </c>
      <c r="E14" t="s">
        <v>325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49500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-234.54081665768871</v>
      </c>
      <c r="BL14" s="88">
        <v>-234.63066853669881</v>
      </c>
      <c r="BM14" s="88">
        <v>-234.7205892860629</v>
      </c>
      <c r="BN14" s="88">
        <v>-234.8136306924512</v>
      </c>
      <c r="BO14" s="88">
        <v>-234.9067458898638</v>
      </c>
      <c r="BP14" s="88">
        <v>-234.99993496611501</v>
      </c>
      <c r="BQ14" s="88">
        <v>-235.0931980091728</v>
      </c>
      <c r="BR14" s="88">
        <v>-235.18806584094011</v>
      </c>
      <c r="BS14" s="88">
        <v>-235.2814782982424</v>
      </c>
      <c r="BT14" s="88">
        <v>-235.37496498850351</v>
      </c>
      <c r="BU14" s="88">
        <v>-235.46852600025761</v>
      </c>
      <c r="BV14" s="88">
        <v>-235.5621614221707</v>
      </c>
      <c r="BW14" s="88">
        <v>0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49500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-234.54081665768871</v>
      </c>
      <c r="CV14" s="88">
        <v>-234.63066853669881</v>
      </c>
      <c r="CW14" s="88">
        <v>-234.7205892860629</v>
      </c>
      <c r="CX14" s="88">
        <v>-234.8136306924512</v>
      </c>
      <c r="CY14" s="88">
        <v>-234.9067458898638</v>
      </c>
      <c r="CZ14" s="88">
        <v>-234.99993496611501</v>
      </c>
      <c r="DA14" s="88">
        <v>-235.0931980091728</v>
      </c>
      <c r="DB14" s="88">
        <v>-235.18806584094011</v>
      </c>
      <c r="DC14" s="88">
        <v>-235.2814782982424</v>
      </c>
      <c r="DD14" s="88">
        <v>-235.37496498850351</v>
      </c>
      <c r="DE14" s="88">
        <v>-235.46852600025761</v>
      </c>
      <c r="DF14" s="88">
        <v>-235.5621614221707</v>
      </c>
      <c r="DG14" s="93">
        <v>46023</v>
      </c>
      <c r="DH14" s="91">
        <v>0.04</v>
      </c>
      <c r="DI14" t="s">
        <v>300</v>
      </c>
      <c r="DJ14" s="93"/>
      <c r="DK14" s="91"/>
      <c r="DM14" s="93"/>
      <c r="DN14" s="91"/>
      <c r="DP14" s="93"/>
      <c r="DQ14" s="91"/>
    </row>
    <row r="15" spans="1:122" x14ac:dyDescent="0.3">
      <c r="A15" t="s">
        <v>22</v>
      </c>
      <c r="B15" t="s">
        <v>42</v>
      </c>
      <c r="C15" t="s">
        <v>84</v>
      </c>
      <c r="D15" t="s">
        <v>326</v>
      </c>
      <c r="E15" t="s">
        <v>327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108000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6485.5089757543337</v>
      </c>
      <c r="BL15" s="88">
        <v>1033.0188679245159</v>
      </c>
      <c r="BM15" s="88">
        <v>1032.220898414487</v>
      </c>
      <c r="BN15" s="88">
        <v>5392.6530612244906</v>
      </c>
      <c r="BO15" s="88">
        <v>5391.7977542777271</v>
      </c>
      <c r="BP15" s="88">
        <v>5390.9438102452968</v>
      </c>
      <c r="BQ15" s="88">
        <v>5390.0912258721164</v>
      </c>
      <c r="BR15" s="88">
        <v>5389.2260546391399</v>
      </c>
      <c r="BS15" s="88">
        <v>5388.3762020170489</v>
      </c>
      <c r="BT15" s="88">
        <v>5387.5276992982581</v>
      </c>
      <c r="BU15" s="88">
        <v>5386.6805432689789</v>
      </c>
      <c r="BV15" s="88">
        <v>5385.8347307257591</v>
      </c>
      <c r="BW15" s="88">
        <v>5400.0000000000045</v>
      </c>
      <c r="BX15" s="88">
        <v>0</v>
      </c>
      <c r="BY15" s="88">
        <v>0</v>
      </c>
      <c r="BZ15" s="88">
        <v>4320.0000000000036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108000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1033.818072146973</v>
      </c>
      <c r="CV15" s="88">
        <v>1033.0188679245159</v>
      </c>
      <c r="CW15" s="88">
        <v>1032.220898414487</v>
      </c>
      <c r="CX15" s="88">
        <v>1031.397174254317</v>
      </c>
      <c r="CY15" s="88">
        <v>1030.574763728572</v>
      </c>
      <c r="CZ15" s="88">
        <v>1029.7536636973971</v>
      </c>
      <c r="DA15" s="88">
        <v>1028.9338710308859</v>
      </c>
      <c r="DB15" s="88">
        <v>1028.101975614549</v>
      </c>
      <c r="DC15" s="88">
        <v>1027.28480963178</v>
      </c>
      <c r="DD15" s="88">
        <v>1026.468941632932</v>
      </c>
      <c r="DE15" s="88">
        <v>1025.65436852786</v>
      </c>
      <c r="DF15" s="88">
        <v>1024.8410872362999</v>
      </c>
      <c r="DG15" s="93">
        <v>46054</v>
      </c>
      <c r="DH15" s="91">
        <v>0.05</v>
      </c>
      <c r="DI15" t="s">
        <v>300</v>
      </c>
      <c r="DJ15" s="93">
        <v>46478</v>
      </c>
      <c r="DK15" s="91">
        <v>0.04</v>
      </c>
      <c r="DL15" t="s">
        <v>301</v>
      </c>
      <c r="DM15" s="93"/>
      <c r="DN15" s="91"/>
      <c r="DP15" s="93"/>
      <c r="DQ15" s="91"/>
    </row>
    <row r="16" spans="1:122" x14ac:dyDescent="0.3">
      <c r="A16" t="s">
        <v>22</v>
      </c>
      <c r="B16" t="s">
        <v>42</v>
      </c>
      <c r="C16" t="s">
        <v>86</v>
      </c>
      <c r="D16" t="s">
        <v>328</v>
      </c>
      <c r="E16" t="s">
        <v>329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90000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-850.03428601001406</v>
      </c>
      <c r="BL16" s="88">
        <v>-850.68365444374899</v>
      </c>
      <c r="BM16" s="88">
        <v>-851.33401578272208</v>
      </c>
      <c r="BN16" s="88">
        <v>-852.00746965452106</v>
      </c>
      <c r="BO16" s="88">
        <v>-852.68198985087861</v>
      </c>
      <c r="BP16" s="88">
        <v>-853.3575789063475</v>
      </c>
      <c r="BQ16" s="88">
        <v>-854.03423936356364</v>
      </c>
      <c r="BR16" s="88">
        <v>-854.72309313490814</v>
      </c>
      <c r="BS16" s="88">
        <v>-855.40192172485763</v>
      </c>
      <c r="BT16" s="88">
        <v>-856.08182943515021</v>
      </c>
      <c r="BU16" s="88">
        <v>-856.7628188409559</v>
      </c>
      <c r="BV16" s="88">
        <v>-857.44489252574829</v>
      </c>
      <c r="BW16" s="88">
        <v>0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90000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-850.03428601001406</v>
      </c>
      <c r="CV16" s="88">
        <v>-850.68365444374899</v>
      </c>
      <c r="CW16" s="88">
        <v>-851.33401578272208</v>
      </c>
      <c r="CX16" s="88">
        <v>-852.00746965452106</v>
      </c>
      <c r="CY16" s="88">
        <v>-852.68198985087861</v>
      </c>
      <c r="CZ16" s="88">
        <v>-853.3575789063475</v>
      </c>
      <c r="DA16" s="88">
        <v>-854.03423936356364</v>
      </c>
      <c r="DB16" s="88">
        <v>-854.72309313490814</v>
      </c>
      <c r="DC16" s="88">
        <v>-855.40192172485763</v>
      </c>
      <c r="DD16" s="88">
        <v>-856.08182943515021</v>
      </c>
      <c r="DE16" s="88">
        <v>-856.7628188409559</v>
      </c>
      <c r="DF16" s="88">
        <v>-857.44489252574829</v>
      </c>
      <c r="DG16" s="93"/>
      <c r="DH16" s="91"/>
      <c r="DJ16" s="93"/>
      <c r="DK16" s="91"/>
      <c r="DM16" s="93"/>
      <c r="DN16" s="91"/>
      <c r="DP16" s="93"/>
      <c r="DQ16" s="91"/>
    </row>
    <row r="17" spans="1:121" x14ac:dyDescent="0.3">
      <c r="A17" t="s">
        <v>22</v>
      </c>
      <c r="B17" t="s">
        <v>42</v>
      </c>
      <c r="C17" t="s">
        <v>88</v>
      </c>
      <c r="D17" t="s">
        <v>330</v>
      </c>
      <c r="E17" t="s">
        <v>331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72000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1790.3152832321539</v>
      </c>
      <c r="BL17" s="88">
        <v>1790.1802790406159</v>
      </c>
      <c r="BM17" s="88">
        <v>1790.0453788645459</v>
      </c>
      <c r="BN17" s="88">
        <v>343.04511278195088</v>
      </c>
      <c r="BO17" s="88">
        <v>342.9085903299196</v>
      </c>
      <c r="BP17" s="88">
        <v>342.77217649896841</v>
      </c>
      <c r="BQ17" s="88">
        <v>342.635871159521</v>
      </c>
      <c r="BR17" s="88">
        <v>342.49744234691627</v>
      </c>
      <c r="BS17" s="88">
        <v>342.36135537578429</v>
      </c>
      <c r="BT17" s="88">
        <v>342.22537650651577</v>
      </c>
      <c r="BU17" s="88">
        <v>342.08950561036568</v>
      </c>
      <c r="BV17" s="88">
        <v>341.95374255879688</v>
      </c>
      <c r="BW17" s="88">
        <v>1440.0000000000009</v>
      </c>
      <c r="BX17" s="88">
        <v>1440.0000000000009</v>
      </c>
      <c r="BY17" s="88">
        <v>1440.0000000000009</v>
      </c>
      <c r="BZ17" s="88">
        <v>0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72000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343.44635610995408</v>
      </c>
      <c r="CV17" s="88">
        <v>343.31399905941851</v>
      </c>
      <c r="CW17" s="88">
        <v>343.18174398484649</v>
      </c>
      <c r="CX17" s="88">
        <v>343.04511278195088</v>
      </c>
      <c r="CY17" s="88">
        <v>342.9085903299196</v>
      </c>
      <c r="CZ17" s="88">
        <v>342.77217649896841</v>
      </c>
      <c r="DA17" s="88">
        <v>342.635871159521</v>
      </c>
      <c r="DB17" s="88">
        <v>342.49744234691627</v>
      </c>
      <c r="DC17" s="88">
        <v>342.36135537578429</v>
      </c>
      <c r="DD17" s="88">
        <v>342.22537650651577</v>
      </c>
      <c r="DE17" s="88">
        <v>342.08950561036568</v>
      </c>
      <c r="DF17" s="88">
        <v>341.95374255879688</v>
      </c>
      <c r="DG17" s="93">
        <v>46113</v>
      </c>
      <c r="DH17" s="91">
        <v>0.02</v>
      </c>
      <c r="DI17" t="s">
        <v>300</v>
      </c>
      <c r="DJ17" s="93"/>
      <c r="DK17" s="91"/>
      <c r="DM17" s="93"/>
      <c r="DN17" s="91"/>
      <c r="DP17" s="93"/>
      <c r="DQ17" s="91"/>
    </row>
    <row r="18" spans="1:121" x14ac:dyDescent="0.3">
      <c r="A18" t="s">
        <v>22</v>
      </c>
      <c r="B18" t="s">
        <v>42</v>
      </c>
      <c r="C18" t="s">
        <v>90</v>
      </c>
      <c r="D18" t="s">
        <v>332</v>
      </c>
      <c r="E18" t="s">
        <v>333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54000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2692.072452670765</v>
      </c>
      <c r="BL18" s="88">
        <v>2690.4049351471099</v>
      </c>
      <c r="BM18" s="88">
        <v>2688.7425969308511</v>
      </c>
      <c r="BN18" s="88">
        <v>2687.0293282876082</v>
      </c>
      <c r="BO18" s="88">
        <v>1034.2927610001821</v>
      </c>
      <c r="BP18" s="88">
        <v>1032.6400167653401</v>
      </c>
      <c r="BQ18" s="88">
        <v>1030.9925460965089</v>
      </c>
      <c r="BR18" s="88">
        <v>1029.323445700709</v>
      </c>
      <c r="BS18" s="88">
        <v>1027.6865321445389</v>
      </c>
      <c r="BT18" s="88">
        <v>1026.0548166271799</v>
      </c>
      <c r="BU18" s="88">
        <v>1024.4282744282709</v>
      </c>
      <c r="BV18" s="88">
        <v>1022.806880983889</v>
      </c>
      <c r="BW18" s="88">
        <v>1620.0000000000009</v>
      </c>
      <c r="BX18" s="88">
        <v>1620.0000000000009</v>
      </c>
      <c r="BY18" s="88">
        <v>1620.0000000000009</v>
      </c>
      <c r="BZ18" s="88">
        <v>1620.0000000000009</v>
      </c>
      <c r="CA18" s="88">
        <v>0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54000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1040.8470414279291</v>
      </c>
      <c r="CV18" s="88">
        <v>1039.2280923758351</v>
      </c>
      <c r="CW18" s="88">
        <v>1037.614171777527</v>
      </c>
      <c r="CX18" s="88">
        <v>1035.950804162728</v>
      </c>
      <c r="CY18" s="88">
        <v>1034.2927610001821</v>
      </c>
      <c r="CZ18" s="88">
        <v>1032.6400167653401</v>
      </c>
      <c r="DA18" s="88">
        <v>1030.9925460965089</v>
      </c>
      <c r="DB18" s="88">
        <v>1029.323445700709</v>
      </c>
      <c r="DC18" s="88">
        <v>1027.6865321445389</v>
      </c>
      <c r="DD18" s="88">
        <v>1026.0548166271799</v>
      </c>
      <c r="DE18" s="88">
        <v>1024.4282744282709</v>
      </c>
      <c r="DF18" s="88">
        <v>1022.806880983889</v>
      </c>
      <c r="DG18" s="93">
        <v>46143</v>
      </c>
      <c r="DH18" s="91">
        <v>0.03</v>
      </c>
      <c r="DI18" t="s">
        <v>300</v>
      </c>
      <c r="DJ18" s="93"/>
      <c r="DK18" s="91"/>
      <c r="DM18" s="93"/>
      <c r="DN18" s="91"/>
      <c r="DP18" s="93"/>
      <c r="DQ18" s="91"/>
    </row>
    <row r="19" spans="1:121" x14ac:dyDescent="0.3">
      <c r="A19" t="s">
        <v>22</v>
      </c>
      <c r="B19" t="s">
        <v>42</v>
      </c>
      <c r="C19" t="s">
        <v>91</v>
      </c>
      <c r="D19" t="s">
        <v>334</v>
      </c>
      <c r="E19" t="s">
        <v>335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36000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1440.0000000000009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0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1440.0000000000009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36000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93">
        <v>46600</v>
      </c>
      <c r="DH19" s="91">
        <v>0.04</v>
      </c>
      <c r="DI19" t="s">
        <v>301</v>
      </c>
      <c r="DJ19" s="93"/>
      <c r="DK19" s="91"/>
      <c r="DM19" s="93"/>
      <c r="DN19" s="91"/>
      <c r="DP19" s="93"/>
      <c r="DQ19" s="91"/>
    </row>
    <row r="20" spans="1:121" x14ac:dyDescent="0.3">
      <c r="A20" t="s">
        <v>22</v>
      </c>
      <c r="B20" t="s">
        <v>42</v>
      </c>
      <c r="C20" t="s">
        <v>93</v>
      </c>
      <c r="D20" t="s">
        <v>336</v>
      </c>
      <c r="E20" t="s">
        <v>337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94500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6154.557520377336</v>
      </c>
      <c r="BL20" s="88">
        <v>6152.8948509699039</v>
      </c>
      <c r="BM20" s="88">
        <v>6151.2360446571138</v>
      </c>
      <c r="BN20" s="88">
        <v>6149.5250550660858</v>
      </c>
      <c r="BO20" s="88">
        <v>6147.8181657467367</v>
      </c>
      <c r="BP20" s="88">
        <v>6146.1153619776414</v>
      </c>
      <c r="BQ20" s="88">
        <v>1351.8253610550521</v>
      </c>
      <c r="BR20" s="88">
        <v>1350.1849568434161</v>
      </c>
      <c r="BS20" s="88">
        <v>1348.574891504087</v>
      </c>
      <c r="BT20" s="88">
        <v>1346.96866152494</v>
      </c>
      <c r="BU20" s="88">
        <v>1345.366253217868</v>
      </c>
      <c r="BV20" s="88">
        <v>1343.7676529598559</v>
      </c>
      <c r="BW20" s="88">
        <v>4725.0000000000045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0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94500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1361.4833527403241</v>
      </c>
      <c r="CV20" s="88">
        <v>1359.899858066562</v>
      </c>
      <c r="CW20" s="88">
        <v>1358.3200425305749</v>
      </c>
      <c r="CX20" s="88">
        <v>1356.6905286343631</v>
      </c>
      <c r="CY20" s="88">
        <v>1355.06491975879</v>
      </c>
      <c r="CZ20" s="88">
        <v>1353.443201883457</v>
      </c>
      <c r="DA20" s="88">
        <v>1351.8253610550521</v>
      </c>
      <c r="DB20" s="88">
        <v>1350.1849568434161</v>
      </c>
      <c r="DC20" s="88">
        <v>1348.574891504087</v>
      </c>
      <c r="DD20" s="88">
        <v>1346.96866152494</v>
      </c>
      <c r="DE20" s="88">
        <v>1345.366253217868</v>
      </c>
      <c r="DF20" s="88">
        <v>1343.7676529598559</v>
      </c>
      <c r="DG20" s="93">
        <v>46204</v>
      </c>
      <c r="DH20" s="91">
        <v>0.05</v>
      </c>
      <c r="DI20" t="s">
        <v>300</v>
      </c>
      <c r="DJ20" s="93"/>
      <c r="DK20" s="91"/>
      <c r="DM20" s="93"/>
      <c r="DN20" s="91"/>
      <c r="DP20" s="93"/>
      <c r="DQ20" s="91"/>
    </row>
    <row r="21" spans="1:121" x14ac:dyDescent="0.3">
      <c r="A21" t="s">
        <v>22</v>
      </c>
      <c r="B21" t="s">
        <v>42</v>
      </c>
      <c r="C21" t="s">
        <v>94</v>
      </c>
      <c r="D21" t="s">
        <v>338</v>
      </c>
      <c r="E21" t="s">
        <v>339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76500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4205.7794985298606</v>
      </c>
      <c r="BL21" s="88">
        <v>4205.6323048153463</v>
      </c>
      <c r="BM21" s="88">
        <v>4205.4849982786618</v>
      </c>
      <c r="BN21" s="88">
        <v>4205.3325795383644</v>
      </c>
      <c r="BO21" s="88">
        <v>4205.1800399149761</v>
      </c>
      <c r="BP21" s="88">
        <v>4205.0273792646076</v>
      </c>
      <c r="BQ21" s="88">
        <v>4204.8745974431613</v>
      </c>
      <c r="BR21" s="88">
        <v>-363.47246539054379</v>
      </c>
      <c r="BS21" s="88">
        <v>-363.61683009728381</v>
      </c>
      <c r="BT21" s="88">
        <v>-363.76130952768727</v>
      </c>
      <c r="BU21" s="88">
        <v>-363.90590381857987</v>
      </c>
      <c r="BV21" s="88">
        <v>-364.05061310699102</v>
      </c>
      <c r="BW21" s="88">
        <v>4590.0000000000036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0</v>
      </c>
      <c r="CE21" s="88">
        <v>0</v>
      </c>
      <c r="CF21" s="88">
        <v>0</v>
      </c>
      <c r="CG21" s="88">
        <v>0</v>
      </c>
      <c r="CH21" s="88">
        <v>0</v>
      </c>
      <c r="CI21" s="88">
        <v>76500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-362.4721711982462</v>
      </c>
      <c r="CV21" s="88">
        <v>-362.61103319308</v>
      </c>
      <c r="CW21" s="88">
        <v>-362.75000162391541</v>
      </c>
      <c r="CX21" s="88">
        <v>-362.89379288833368</v>
      </c>
      <c r="CY21" s="88">
        <v>-363.03769819342591</v>
      </c>
      <c r="CZ21" s="88">
        <v>-363.18171767490497</v>
      </c>
      <c r="DA21" s="88">
        <v>-363.32585146872162</v>
      </c>
      <c r="DB21" s="88">
        <v>-363.47246539054379</v>
      </c>
      <c r="DC21" s="88">
        <v>-363.61683009728381</v>
      </c>
      <c r="DD21" s="88">
        <v>-363.76130952768727</v>
      </c>
      <c r="DE21" s="88">
        <v>-363.90590381857987</v>
      </c>
      <c r="DF21" s="88">
        <v>-364.05061310699102</v>
      </c>
      <c r="DG21" s="93">
        <v>46235</v>
      </c>
      <c r="DH21" s="91">
        <v>0.06</v>
      </c>
      <c r="DI21" t="s">
        <v>300</v>
      </c>
      <c r="DJ21" s="93"/>
      <c r="DK21" s="91"/>
      <c r="DM21" s="93"/>
      <c r="DN21" s="91"/>
      <c r="DP21" s="93"/>
      <c r="DQ21" s="91"/>
    </row>
    <row r="22" spans="1:121" x14ac:dyDescent="0.3">
      <c r="A22" t="s">
        <v>22</v>
      </c>
      <c r="B22" t="s">
        <v>42</v>
      </c>
      <c r="C22" t="s">
        <v>95</v>
      </c>
      <c r="D22" t="s">
        <v>340</v>
      </c>
      <c r="E22" t="s">
        <v>341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58500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559.98478907961032</v>
      </c>
      <c r="BL22" s="88">
        <v>559.55188679244588</v>
      </c>
      <c r="BM22" s="88">
        <v>559.11965330784687</v>
      </c>
      <c r="BN22" s="88">
        <v>558.67346938775495</v>
      </c>
      <c r="BO22" s="88">
        <v>558.22799701964345</v>
      </c>
      <c r="BP22" s="88">
        <v>557.78323450275673</v>
      </c>
      <c r="BQ22" s="88">
        <v>557.33918014172991</v>
      </c>
      <c r="BR22" s="88">
        <v>556.88857012454719</v>
      </c>
      <c r="BS22" s="88">
        <v>556.44593855054757</v>
      </c>
      <c r="BT22" s="88">
        <v>556.00401005117146</v>
      </c>
      <c r="BU22" s="88">
        <v>555.56278295259085</v>
      </c>
      <c r="BV22" s="88">
        <v>555.12225558632929</v>
      </c>
      <c r="BW22" s="88">
        <v>0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58500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559.98478907961032</v>
      </c>
      <c r="CV22" s="88">
        <v>559.55188679244588</v>
      </c>
      <c r="CW22" s="88">
        <v>559.11965330784687</v>
      </c>
      <c r="CX22" s="88">
        <v>558.67346938775495</v>
      </c>
      <c r="CY22" s="88">
        <v>558.22799701964345</v>
      </c>
      <c r="CZ22" s="88">
        <v>557.78323450275673</v>
      </c>
      <c r="DA22" s="88">
        <v>557.33918014172991</v>
      </c>
      <c r="DB22" s="88">
        <v>556.88857012454719</v>
      </c>
      <c r="DC22" s="88">
        <v>556.44593855054757</v>
      </c>
      <c r="DD22" s="88">
        <v>556.00401005117146</v>
      </c>
      <c r="DE22" s="88">
        <v>555.56278295259085</v>
      </c>
      <c r="DF22" s="88">
        <v>555.12225558632929</v>
      </c>
      <c r="DG22" s="93"/>
      <c r="DH22" s="91"/>
      <c r="DJ22" s="93"/>
      <c r="DK22" s="91"/>
      <c r="DM22" s="93"/>
      <c r="DN22" s="91"/>
      <c r="DP22" s="93"/>
      <c r="DQ22" s="91"/>
    </row>
    <row r="23" spans="1:121" x14ac:dyDescent="0.3">
      <c r="A23" t="s">
        <v>22</v>
      </c>
      <c r="B23" t="s">
        <v>45</v>
      </c>
      <c r="C23" t="s">
        <v>43</v>
      </c>
      <c r="D23" t="s">
        <v>342</v>
      </c>
      <c r="E23" t="s">
        <v>343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40500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821.00910843436054</v>
      </c>
      <c r="BL23" s="88">
        <v>2473.536451211945</v>
      </c>
      <c r="BM23" s="88">
        <v>2473.2229510321031</v>
      </c>
      <c r="BN23" s="88">
        <v>2472.8983193277431</v>
      </c>
      <c r="BO23" s="88">
        <v>2472.573173612288</v>
      </c>
      <c r="BP23" s="88">
        <v>2472.2475126639938</v>
      </c>
      <c r="BQ23" s="88">
        <v>2471.9213352571951</v>
      </c>
      <c r="BR23" s="88">
        <v>2471.589280185251</v>
      </c>
      <c r="BS23" s="88">
        <v>2471.2620576517561</v>
      </c>
      <c r="BT23" s="88">
        <v>1219.3537038243469</v>
      </c>
      <c r="BU23" s="88">
        <v>1219.0350007824379</v>
      </c>
      <c r="BV23" s="88">
        <v>1218.71579029795</v>
      </c>
      <c r="BW23" s="88">
        <v>1215.0000000000009</v>
      </c>
      <c r="BX23" s="88">
        <v>2883.6000000000058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1620.0000000000009</v>
      </c>
      <c r="CG23" s="88">
        <v>1620.0000000000009</v>
      </c>
      <c r="CH23" s="88">
        <v>1620.0000000000009</v>
      </c>
      <c r="CI23" s="88">
        <v>40500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-382.51542870450629</v>
      </c>
      <c r="CV23" s="88">
        <v>-382.80764449968711</v>
      </c>
      <c r="CW23" s="88">
        <v>-383.10030710222492</v>
      </c>
      <c r="CX23" s="88">
        <v>-383.40336134453452</v>
      </c>
      <c r="CY23" s="88">
        <v>-383.70689543289541</v>
      </c>
      <c r="CZ23" s="88">
        <v>-384.01091050785641</v>
      </c>
      <c r="DA23" s="88">
        <v>-384.31540771360358</v>
      </c>
      <c r="DB23" s="88">
        <v>-384.62539191070869</v>
      </c>
      <c r="DC23" s="88">
        <v>-384.93086477618601</v>
      </c>
      <c r="DD23" s="88">
        <v>-385.23682324581762</v>
      </c>
      <c r="DE23" s="88">
        <v>-385.54326847843021</v>
      </c>
      <c r="DF23" s="88">
        <v>-385.85020163658669</v>
      </c>
      <c r="DG23" s="93">
        <v>46296</v>
      </c>
      <c r="DH23" s="91">
        <v>0.03</v>
      </c>
      <c r="DI23" t="s">
        <v>300</v>
      </c>
      <c r="DJ23" s="93">
        <v>46419</v>
      </c>
      <c r="DK23" s="91">
        <v>0.04</v>
      </c>
      <c r="DL23" t="s">
        <v>301</v>
      </c>
      <c r="DM23" s="93"/>
      <c r="DN23" s="91"/>
      <c r="DP23" s="93"/>
      <c r="DQ23" s="91"/>
    </row>
    <row r="24" spans="1:121" x14ac:dyDescent="0.3">
      <c r="A24" t="s">
        <v>22</v>
      </c>
      <c r="B24" t="s">
        <v>45</v>
      </c>
      <c r="C24" t="s">
        <v>46</v>
      </c>
      <c r="D24" t="s">
        <v>344</v>
      </c>
      <c r="E24" t="s">
        <v>345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99000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4451.1282892372355</v>
      </c>
      <c r="BL24" s="88">
        <v>4450.9390186549708</v>
      </c>
      <c r="BM24" s="88">
        <v>4450.7498938983381</v>
      </c>
      <c r="BN24" s="88">
        <v>4450.5545112781829</v>
      </c>
      <c r="BO24" s="88">
        <v>4450.3592841717937</v>
      </c>
      <c r="BP24" s="88">
        <v>4450.1642123935289</v>
      </c>
      <c r="BQ24" s="88">
        <v>4449.969295758121</v>
      </c>
      <c r="BR24" s="88">
        <v>4449.7713425560851</v>
      </c>
      <c r="BS24" s="88">
        <v>4449.5767381873793</v>
      </c>
      <c r="BT24" s="88">
        <v>4449.3822884043202</v>
      </c>
      <c r="BU24" s="88">
        <v>470.37307021425278</v>
      </c>
      <c r="BV24" s="88">
        <v>470.18639601834559</v>
      </c>
      <c r="BW24" s="88">
        <v>3960.0000000000041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0</v>
      </c>
      <c r="CH24" s="88">
        <v>0</v>
      </c>
      <c r="CI24" s="88">
        <v>99000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472.2387396511869</v>
      </c>
      <c r="CV24" s="88">
        <v>472.05674870670038</v>
      </c>
      <c r="CW24" s="88">
        <v>471.87489797916402</v>
      </c>
      <c r="CX24" s="88">
        <v>471.68703007518252</v>
      </c>
      <c r="CY24" s="88">
        <v>471.49931170363948</v>
      </c>
      <c r="CZ24" s="88">
        <v>471.31174268608157</v>
      </c>
      <c r="DA24" s="88">
        <v>471.12432284434129</v>
      </c>
      <c r="DB24" s="88">
        <v>470.93398322700978</v>
      </c>
      <c r="DC24" s="88">
        <v>470.74686364170338</v>
      </c>
      <c r="DD24" s="88">
        <v>470.55989269645909</v>
      </c>
      <c r="DE24" s="88">
        <v>470.37307021425278</v>
      </c>
      <c r="DF24" s="88">
        <v>470.18639601834559</v>
      </c>
      <c r="DG24" s="93">
        <v>46327</v>
      </c>
      <c r="DH24" s="91">
        <v>0.04</v>
      </c>
      <c r="DI24" t="s">
        <v>300</v>
      </c>
      <c r="DJ24" s="93"/>
      <c r="DK24" s="91"/>
      <c r="DM24" s="93"/>
      <c r="DN24" s="91"/>
      <c r="DP24" s="93"/>
      <c r="DQ24" s="91"/>
    </row>
    <row r="25" spans="1:121" x14ac:dyDescent="0.3">
      <c r="A25" t="s">
        <v>22</v>
      </c>
      <c r="B25" t="s">
        <v>45</v>
      </c>
      <c r="C25" t="s">
        <v>48</v>
      </c>
      <c r="D25" t="s">
        <v>346</v>
      </c>
      <c r="E25" t="s">
        <v>347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81000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8028.9806572518801</v>
      </c>
      <c r="BL25" s="88">
        <v>7678.7999999999993</v>
      </c>
      <c r="BM25" s="88">
        <v>9097.9905704230132</v>
      </c>
      <c r="BN25" s="88">
        <v>4461.4285714285879</v>
      </c>
      <c r="BO25" s="88">
        <v>5518.3579814326386</v>
      </c>
      <c r="BP25" s="88">
        <v>6320.6996457157857</v>
      </c>
      <c r="BQ25" s="88">
        <v>5972.6265438149567</v>
      </c>
      <c r="BR25" s="88">
        <v>5621.6794012365817</v>
      </c>
      <c r="BS25" s="88">
        <v>6185.0768891481939</v>
      </c>
      <c r="BT25" s="88">
        <v>5841.6734094401709</v>
      </c>
      <c r="BU25" s="88">
        <v>5500.9645029585863</v>
      </c>
      <c r="BV25" s="88">
        <v>5162.9185785124109</v>
      </c>
      <c r="BW25" s="88">
        <v>4050.0000000000041</v>
      </c>
      <c r="BX25" s="88">
        <v>4050.0000000000041</v>
      </c>
      <c r="BY25" s="88">
        <v>4050.0000000000041</v>
      </c>
      <c r="BZ25" s="88">
        <v>0</v>
      </c>
      <c r="CA25" s="88">
        <v>1332.580645161283</v>
      </c>
      <c r="CB25" s="88">
        <v>2430.0000000000018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81000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3789.5053878589229</v>
      </c>
      <c r="CV25" s="88">
        <v>3455.9999999999968</v>
      </c>
      <c r="CW25" s="88">
        <v>4807.6100670695396</v>
      </c>
      <c r="CX25" s="88">
        <v>4461.4285714285879</v>
      </c>
      <c r="CY25" s="88">
        <v>4118.0291153415455</v>
      </c>
      <c r="CZ25" s="88">
        <v>3777.3782968114401</v>
      </c>
      <c r="DA25" s="88">
        <v>3439.44324642228</v>
      </c>
      <c r="DB25" s="88">
        <v>3098.717865278235</v>
      </c>
      <c r="DC25" s="88">
        <v>3645.705717619609</v>
      </c>
      <c r="DD25" s="88">
        <v>3312.3042810098768</v>
      </c>
      <c r="DE25" s="88">
        <v>2981.5189349112429</v>
      </c>
      <c r="DF25" s="88">
        <v>2653.319008264476</v>
      </c>
      <c r="DG25" s="93">
        <v>46113</v>
      </c>
      <c r="DH25" s="91">
        <v>0.05</v>
      </c>
      <c r="DI25" t="s">
        <v>300</v>
      </c>
      <c r="DJ25" s="93">
        <v>46522</v>
      </c>
      <c r="DK25" s="91">
        <v>0.03</v>
      </c>
      <c r="DL25" t="s">
        <v>301</v>
      </c>
      <c r="DM25" s="93"/>
      <c r="DN25" s="91"/>
      <c r="DP25" s="93"/>
      <c r="DQ25" s="91"/>
    </row>
    <row r="26" spans="1:121" x14ac:dyDescent="0.3">
      <c r="A26" t="s">
        <v>22</v>
      </c>
      <c r="B26" t="s">
        <v>45</v>
      </c>
      <c r="C26" t="s">
        <v>50</v>
      </c>
      <c r="D26" t="s">
        <v>348</v>
      </c>
      <c r="E26" t="s">
        <v>349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63000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5040.0000000000045</v>
      </c>
      <c r="BL26" s="88">
        <v>5040.0000000000045</v>
      </c>
      <c r="BM26" s="88">
        <v>8305.920000000011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3024.0000000000032</v>
      </c>
      <c r="BU26" s="88">
        <v>3024.0000000000032</v>
      </c>
      <c r="BV26" s="88">
        <v>3024.0000000000032</v>
      </c>
      <c r="BW26" s="88">
        <v>5040.0000000000045</v>
      </c>
      <c r="BX26" s="88">
        <v>5040.0000000000045</v>
      </c>
      <c r="BY26" s="88">
        <v>8305.920000000011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3024.0000000000032</v>
      </c>
      <c r="CG26" s="88">
        <v>3024.0000000000032</v>
      </c>
      <c r="CH26" s="88">
        <v>3024.0000000000032</v>
      </c>
      <c r="CI26" s="88">
        <v>63000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93">
        <v>46296</v>
      </c>
      <c r="DH26" s="91">
        <v>0.08</v>
      </c>
      <c r="DI26" t="s">
        <v>300</v>
      </c>
      <c r="DJ26" s="93">
        <v>46447</v>
      </c>
      <c r="DK26" s="91">
        <v>4.8000000000000001E-2</v>
      </c>
      <c r="DL26" t="s">
        <v>301</v>
      </c>
      <c r="DM26" s="93"/>
      <c r="DN26" s="91"/>
      <c r="DP26" s="93"/>
      <c r="DQ26" s="91"/>
    </row>
    <row r="27" spans="1:121" x14ac:dyDescent="0.3">
      <c r="A27" t="s">
        <v>22</v>
      </c>
      <c r="B27" t="s">
        <v>45</v>
      </c>
      <c r="C27" t="s">
        <v>57</v>
      </c>
      <c r="D27" t="s">
        <v>350</v>
      </c>
      <c r="E27" t="s">
        <v>351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45000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1561.2919141881559</v>
      </c>
      <c r="BL27" s="88">
        <v>647.57136098407716</v>
      </c>
      <c r="BM27" s="88">
        <v>646.81906787170226</v>
      </c>
      <c r="BN27" s="88">
        <v>646.0431088735063</v>
      </c>
      <c r="BO27" s="88">
        <v>645.26900940894745</v>
      </c>
      <c r="BP27" s="88">
        <v>2470.276633313711</v>
      </c>
      <c r="BQ27" s="88">
        <v>2469.4754169034532</v>
      </c>
      <c r="BR27" s="88">
        <v>2468.6630262462668</v>
      </c>
      <c r="BS27" s="88">
        <v>2467.8656605544038</v>
      </c>
      <c r="BT27" s="88">
        <v>2467.0701942790238</v>
      </c>
      <c r="BU27" s="88">
        <v>2466.2766206412311</v>
      </c>
      <c r="BV27" s="88">
        <v>2465.4849328944019</v>
      </c>
      <c r="BW27" s="88">
        <v>900.0000000000008</v>
      </c>
      <c r="BX27" s="88">
        <v>0</v>
      </c>
      <c r="BY27" s="88">
        <v>0</v>
      </c>
      <c r="BZ27" s="88">
        <v>0</v>
      </c>
      <c r="CA27" s="88">
        <v>0</v>
      </c>
      <c r="CB27" s="88">
        <v>1800.000000000002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45000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648.32540606682085</v>
      </c>
      <c r="CV27" s="88">
        <v>647.57136098407716</v>
      </c>
      <c r="CW27" s="88">
        <v>646.81906787170226</v>
      </c>
      <c r="CX27" s="88">
        <v>646.0431088735063</v>
      </c>
      <c r="CY27" s="88">
        <v>645.26900940894745</v>
      </c>
      <c r="CZ27" s="88">
        <v>644.49676280164624</v>
      </c>
      <c r="DA27" s="88">
        <v>643.72636240716758</v>
      </c>
      <c r="DB27" s="88">
        <v>642.94521754448385</v>
      </c>
      <c r="DC27" s="88">
        <v>642.17851976385077</v>
      </c>
      <c r="DD27" s="88">
        <v>641.41364834520925</v>
      </c>
      <c r="DE27" s="88">
        <v>640.65059677041347</v>
      </c>
      <c r="DF27" s="88">
        <v>639.88935855231239</v>
      </c>
      <c r="DG27" s="93">
        <v>46054</v>
      </c>
      <c r="DH27" s="91">
        <v>0.02</v>
      </c>
      <c r="DI27" t="s">
        <v>300</v>
      </c>
      <c r="DJ27" s="93">
        <v>46539</v>
      </c>
      <c r="DK27" s="91">
        <v>0.04</v>
      </c>
      <c r="DL27" t="s">
        <v>301</v>
      </c>
      <c r="DM27" s="93"/>
      <c r="DN27" s="91"/>
      <c r="DP27" s="93"/>
      <c r="DQ27" s="91"/>
    </row>
    <row r="28" spans="1:121" x14ac:dyDescent="0.3">
      <c r="A28" t="s">
        <v>22</v>
      </c>
      <c r="B28" t="s">
        <v>45</v>
      </c>
      <c r="C28" t="s">
        <v>58</v>
      </c>
      <c r="D28" t="s">
        <v>352</v>
      </c>
      <c r="E28" t="s">
        <v>353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103500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-490.40352573880369</v>
      </c>
      <c r="BL28" s="88">
        <v>-490.5913978494612</v>
      </c>
      <c r="BM28" s="88">
        <v>-490.77941396176777</v>
      </c>
      <c r="BN28" s="88">
        <v>-490.97395508421607</v>
      </c>
      <c r="BO28" s="88">
        <v>-491.16865049698799</v>
      </c>
      <c r="BP28" s="88">
        <v>-491.363500383695</v>
      </c>
      <c r="BQ28" s="88">
        <v>-491.55850492827051</v>
      </c>
      <c r="BR28" s="88">
        <v>-491.75686494014752</v>
      </c>
      <c r="BS28" s="88">
        <v>-491.95218189632499</v>
      </c>
      <c r="BT28" s="88">
        <v>-492.14765406687098</v>
      </c>
      <c r="BU28" s="88">
        <v>-492.34328163690219</v>
      </c>
      <c r="BV28" s="88">
        <v>-492.53906479181143</v>
      </c>
      <c r="BW28" s="88">
        <v>0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103500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-490.40352573880369</v>
      </c>
      <c r="CV28" s="88">
        <v>-490.5913978494612</v>
      </c>
      <c r="CW28" s="88">
        <v>-490.77941396176777</v>
      </c>
      <c r="CX28" s="88">
        <v>-490.97395508421607</v>
      </c>
      <c r="CY28" s="88">
        <v>-491.16865049698799</v>
      </c>
      <c r="CZ28" s="88">
        <v>-491.363500383695</v>
      </c>
      <c r="DA28" s="88">
        <v>-491.55850492827051</v>
      </c>
      <c r="DB28" s="88">
        <v>-491.75686494014752</v>
      </c>
      <c r="DC28" s="88">
        <v>-491.95218189632499</v>
      </c>
      <c r="DD28" s="88">
        <v>-492.14765406687098</v>
      </c>
      <c r="DE28" s="88">
        <v>-492.34328163690219</v>
      </c>
      <c r="DF28" s="88">
        <v>-492.53906479181143</v>
      </c>
      <c r="DG28" s="93"/>
      <c r="DH28" s="91"/>
      <c r="DJ28" s="93"/>
      <c r="DK28" s="91"/>
      <c r="DM28" s="93"/>
      <c r="DN28" s="91"/>
      <c r="DP28" s="93"/>
      <c r="DQ28" s="91"/>
    </row>
    <row r="29" spans="1:121" x14ac:dyDescent="0.3">
      <c r="A29" t="s">
        <v>22</v>
      </c>
      <c r="B29" t="s">
        <v>45</v>
      </c>
      <c r="C29" t="s">
        <v>65</v>
      </c>
      <c r="D29" t="s">
        <v>354</v>
      </c>
      <c r="E29" t="s">
        <v>355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85500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4271.1768794010113</v>
      </c>
      <c r="BL29" s="88">
        <v>4270.5188679245184</v>
      </c>
      <c r="BM29" s="88">
        <v>4269.8618730279377</v>
      </c>
      <c r="BN29" s="88">
        <v>816.52276295133424</v>
      </c>
      <c r="BO29" s="88">
        <v>815.8716879517865</v>
      </c>
      <c r="BP29" s="88">
        <v>815.22165042710594</v>
      </c>
      <c r="BQ29" s="88">
        <v>814.57264789945134</v>
      </c>
      <c r="BR29" s="88">
        <v>813.91406402818438</v>
      </c>
      <c r="BS29" s="88">
        <v>813.26714095849263</v>
      </c>
      <c r="BT29" s="88">
        <v>812.62124545940446</v>
      </c>
      <c r="BU29" s="88">
        <v>811.97637508455591</v>
      </c>
      <c r="BV29" s="88">
        <v>811.33252739540444</v>
      </c>
      <c r="BW29" s="88">
        <v>3420.0000000000032</v>
      </c>
      <c r="BX29" s="88">
        <v>3420.0000000000032</v>
      </c>
      <c r="BY29" s="88">
        <v>3420.0000000000032</v>
      </c>
      <c r="BZ29" s="88">
        <v>0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85500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818.43930711635358</v>
      </c>
      <c r="CV29" s="88">
        <v>817.80660377357481</v>
      </c>
      <c r="CW29" s="88">
        <v>817.17487791146846</v>
      </c>
      <c r="CX29" s="88">
        <v>816.52276295133424</v>
      </c>
      <c r="CY29" s="88">
        <v>815.8716879517865</v>
      </c>
      <c r="CZ29" s="88">
        <v>815.22165042710594</v>
      </c>
      <c r="DA29" s="88">
        <v>814.57264789945134</v>
      </c>
      <c r="DB29" s="88">
        <v>813.91406402818438</v>
      </c>
      <c r="DC29" s="88">
        <v>813.26714095849263</v>
      </c>
      <c r="DD29" s="88">
        <v>812.62124545940446</v>
      </c>
      <c r="DE29" s="88">
        <v>811.97637508455591</v>
      </c>
      <c r="DF29" s="88">
        <v>811.33252739540444</v>
      </c>
      <c r="DG29" s="93">
        <v>46113</v>
      </c>
      <c r="DH29" s="91">
        <v>0.04</v>
      </c>
      <c r="DI29" t="s">
        <v>300</v>
      </c>
      <c r="DJ29" s="93"/>
      <c r="DK29" s="91"/>
      <c r="DM29" s="93"/>
      <c r="DN29" s="91"/>
      <c r="DP29" s="93"/>
      <c r="DQ29" s="91"/>
    </row>
    <row r="30" spans="1:121" x14ac:dyDescent="0.3">
      <c r="A30" t="s">
        <v>22</v>
      </c>
      <c r="B30" t="s">
        <v>45</v>
      </c>
      <c r="C30" t="s">
        <v>66</v>
      </c>
      <c r="D30" t="s">
        <v>356</v>
      </c>
      <c r="E30" t="s">
        <v>357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67500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2705.5979997671102</v>
      </c>
      <c r="BL30" s="88">
        <v>2705.0866221255478</v>
      </c>
      <c r="BM30" s="88">
        <v>2704.5744625711059</v>
      </c>
      <c r="BN30" s="88">
        <v>2704.044117647069</v>
      </c>
      <c r="BO30" s="88">
        <v>-639.51149238815901</v>
      </c>
      <c r="BP30" s="88">
        <v>-640.01818417976062</v>
      </c>
      <c r="BQ30" s="88">
        <v>-640.5256795226727</v>
      </c>
      <c r="BR30" s="88">
        <v>-641.04231985118111</v>
      </c>
      <c r="BS30" s="88">
        <v>-641.55144129364317</v>
      </c>
      <c r="BT30" s="88">
        <v>-642.06137207636266</v>
      </c>
      <c r="BU30" s="88">
        <v>-642.57211413071695</v>
      </c>
      <c r="BV30" s="88">
        <v>-643.08366939431119</v>
      </c>
      <c r="BW30" s="88">
        <v>3375.0000000000032</v>
      </c>
      <c r="BX30" s="88">
        <v>3375.0000000000032</v>
      </c>
      <c r="BY30" s="88">
        <v>3375.0000000000032</v>
      </c>
      <c r="BZ30" s="88">
        <v>3375.0000000000032</v>
      </c>
      <c r="CA30" s="88">
        <v>0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67500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-637.52571450751054</v>
      </c>
      <c r="CV30" s="88">
        <v>-638.0127408328118</v>
      </c>
      <c r="CW30" s="88">
        <v>-638.50051183704159</v>
      </c>
      <c r="CX30" s="88">
        <v>-639.00560224089077</v>
      </c>
      <c r="CY30" s="88">
        <v>-639.51149238815901</v>
      </c>
      <c r="CZ30" s="88">
        <v>-640.01818417976062</v>
      </c>
      <c r="DA30" s="88">
        <v>-640.5256795226727</v>
      </c>
      <c r="DB30" s="88">
        <v>-641.04231985118111</v>
      </c>
      <c r="DC30" s="88">
        <v>-641.55144129364317</v>
      </c>
      <c r="DD30" s="88">
        <v>-642.06137207636266</v>
      </c>
      <c r="DE30" s="88">
        <v>-642.57211413071695</v>
      </c>
      <c r="DF30" s="88">
        <v>-643.08366939431119</v>
      </c>
      <c r="DG30" s="93">
        <v>46143</v>
      </c>
      <c r="DH30" s="91">
        <v>0.05</v>
      </c>
      <c r="DI30" t="s">
        <v>300</v>
      </c>
      <c r="DJ30" s="93"/>
      <c r="DK30" s="91"/>
      <c r="DM30" s="93"/>
      <c r="DN30" s="91"/>
      <c r="DP30" s="93"/>
      <c r="DQ30" s="91"/>
    </row>
    <row r="31" spans="1:121" x14ac:dyDescent="0.3">
      <c r="A31" t="s">
        <v>22</v>
      </c>
      <c r="B31" t="s">
        <v>45</v>
      </c>
      <c r="C31" t="s">
        <v>67</v>
      </c>
      <c r="D31" t="s">
        <v>358</v>
      </c>
      <c r="E31" t="s">
        <v>359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49500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236.11936982559351</v>
      </c>
      <c r="BL31" s="88">
        <v>236.02837435335019</v>
      </c>
      <c r="BM31" s="88">
        <v>235.93744898958201</v>
      </c>
      <c r="BN31" s="88">
        <v>235.84351503759129</v>
      </c>
      <c r="BO31" s="88">
        <v>235.74965585181971</v>
      </c>
      <c r="BP31" s="88">
        <v>235.65587134304079</v>
      </c>
      <c r="BQ31" s="88">
        <v>235.5621614221707</v>
      </c>
      <c r="BR31" s="88">
        <v>235.46699161350489</v>
      </c>
      <c r="BS31" s="88">
        <v>235.37343182085169</v>
      </c>
      <c r="BT31" s="88">
        <v>2224.6911442021601</v>
      </c>
      <c r="BU31" s="88">
        <v>2224.593996511413</v>
      </c>
      <c r="BV31" s="88">
        <v>2224.4969259295408</v>
      </c>
      <c r="BW31" s="88">
        <v>0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1980.000000000002</v>
      </c>
      <c r="CG31" s="88">
        <v>1980.000000000002</v>
      </c>
      <c r="CH31" s="88">
        <v>1980.000000000002</v>
      </c>
      <c r="CI31" s="88">
        <v>49500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236.11936982559351</v>
      </c>
      <c r="CV31" s="88">
        <v>236.02837435335019</v>
      </c>
      <c r="CW31" s="88">
        <v>235.93744898958201</v>
      </c>
      <c r="CX31" s="88">
        <v>235.84351503759129</v>
      </c>
      <c r="CY31" s="88">
        <v>235.74965585181971</v>
      </c>
      <c r="CZ31" s="88">
        <v>235.65587134304079</v>
      </c>
      <c r="DA31" s="88">
        <v>235.5621614221707</v>
      </c>
      <c r="DB31" s="88">
        <v>235.46699161350489</v>
      </c>
      <c r="DC31" s="88">
        <v>235.37343182085169</v>
      </c>
      <c r="DD31" s="88">
        <v>235.2799463482296</v>
      </c>
      <c r="DE31" s="88">
        <v>235.18653510712639</v>
      </c>
      <c r="DF31" s="88">
        <v>235.0931980091728</v>
      </c>
      <c r="DG31" s="93">
        <v>46661</v>
      </c>
      <c r="DH31" s="91">
        <v>0.04</v>
      </c>
      <c r="DI31" t="s">
        <v>301</v>
      </c>
      <c r="DJ31" s="93"/>
      <c r="DK31" s="91"/>
      <c r="DM31" s="93"/>
      <c r="DN31" s="91"/>
      <c r="DP31" s="93"/>
      <c r="DQ31" s="91"/>
    </row>
    <row r="32" spans="1:121" x14ac:dyDescent="0.3">
      <c r="A32" t="s">
        <v>22</v>
      </c>
      <c r="B32" t="s">
        <v>45</v>
      </c>
      <c r="C32" t="s">
        <v>73</v>
      </c>
      <c r="D32" t="s">
        <v>360</v>
      </c>
      <c r="E32" t="s">
        <v>361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108000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4283.3279645129887</v>
      </c>
      <c r="BL32" s="88">
        <v>4280.025308446704</v>
      </c>
      <c r="BM32" s="88">
        <v>4276.7329104261598</v>
      </c>
      <c r="BN32" s="88">
        <v>4273.3396404919704</v>
      </c>
      <c r="BO32" s="88">
        <v>4269.9572324403835</v>
      </c>
      <c r="BP32" s="88">
        <v>4266.5856342012949</v>
      </c>
      <c r="BQ32" s="88">
        <v>2061.9850921930179</v>
      </c>
      <c r="BR32" s="88">
        <v>2058.646891401419</v>
      </c>
      <c r="BS32" s="88">
        <v>2055.3730642890778</v>
      </c>
      <c r="BT32" s="88">
        <v>2052.1096332543611</v>
      </c>
      <c r="BU32" s="88">
        <v>2048.8565488565418</v>
      </c>
      <c r="BV32" s="88">
        <v>2045.613761967777</v>
      </c>
      <c r="BW32" s="88">
        <v>2160.0000000000018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0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108000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2081.6940828558581</v>
      </c>
      <c r="CV32" s="88">
        <v>2078.4561847516702</v>
      </c>
      <c r="CW32" s="88">
        <v>2075.228343555053</v>
      </c>
      <c r="CX32" s="88">
        <v>2071.9016083254569</v>
      </c>
      <c r="CY32" s="88">
        <v>2068.5855220003641</v>
      </c>
      <c r="CZ32" s="88">
        <v>2065.2800335306788</v>
      </c>
      <c r="DA32" s="88">
        <v>2061.9850921930179</v>
      </c>
      <c r="DB32" s="88">
        <v>2058.646891401419</v>
      </c>
      <c r="DC32" s="88">
        <v>2055.3730642890778</v>
      </c>
      <c r="DD32" s="88">
        <v>2052.1096332543611</v>
      </c>
      <c r="DE32" s="88">
        <v>2048.8565488565418</v>
      </c>
      <c r="DF32" s="88">
        <v>2045.613761967777</v>
      </c>
      <c r="DG32" s="93">
        <v>46204</v>
      </c>
      <c r="DH32" s="91">
        <v>0.02</v>
      </c>
      <c r="DI32" t="s">
        <v>300</v>
      </c>
      <c r="DJ32" s="93"/>
      <c r="DK32" s="91"/>
      <c r="DM32" s="93"/>
      <c r="DN32" s="91"/>
      <c r="DP32" s="93"/>
      <c r="DQ32" s="91"/>
    </row>
    <row r="33" spans="1:121" x14ac:dyDescent="0.3">
      <c r="A33" t="s">
        <v>22</v>
      </c>
      <c r="B33" t="s">
        <v>45</v>
      </c>
      <c r="C33" t="s">
        <v>78</v>
      </c>
      <c r="D33" t="s">
        <v>362</v>
      </c>
      <c r="E33" t="s">
        <v>363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90000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2700.0000000000018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0</v>
      </c>
      <c r="BS33" s="88">
        <v>0</v>
      </c>
      <c r="BT33" s="88">
        <v>0</v>
      </c>
      <c r="BU33" s="88">
        <v>0</v>
      </c>
      <c r="BV33" s="88">
        <v>0</v>
      </c>
      <c r="BW33" s="88">
        <v>2700.0000000000018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0</v>
      </c>
      <c r="CE33" s="88">
        <v>0</v>
      </c>
      <c r="CF33" s="88">
        <v>0</v>
      </c>
      <c r="CG33" s="88">
        <v>0</v>
      </c>
      <c r="CH33" s="88">
        <v>0</v>
      </c>
      <c r="CI33" s="88">
        <v>90000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93">
        <v>46235</v>
      </c>
      <c r="DH33" s="91">
        <v>0.03</v>
      </c>
      <c r="DI33" t="s">
        <v>300</v>
      </c>
      <c r="DJ33" s="93"/>
      <c r="DK33" s="91"/>
      <c r="DM33" s="93"/>
      <c r="DN33" s="91"/>
      <c r="DP33" s="93"/>
      <c r="DQ33" s="91"/>
    </row>
    <row r="34" spans="1:121" x14ac:dyDescent="0.3">
      <c r="A34" t="s">
        <v>22</v>
      </c>
      <c r="B34" t="s">
        <v>45</v>
      </c>
      <c r="C34" t="s">
        <v>80</v>
      </c>
      <c r="D34" t="s">
        <v>364</v>
      </c>
      <c r="E34" t="s">
        <v>365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72000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1037.3206497069129</v>
      </c>
      <c r="BL34" s="88">
        <v>1036.114177574523</v>
      </c>
      <c r="BM34" s="88">
        <v>1034.910508594724</v>
      </c>
      <c r="BN34" s="88">
        <v>1033.6689741976099</v>
      </c>
      <c r="BO34" s="88">
        <v>1032.430415054316</v>
      </c>
      <c r="BP34" s="88">
        <v>1031.194820482634</v>
      </c>
      <c r="BQ34" s="88">
        <v>1029.9621798514679</v>
      </c>
      <c r="BR34" s="88">
        <v>1028.7123480711739</v>
      </c>
      <c r="BS34" s="88">
        <v>1027.485631622161</v>
      </c>
      <c r="BT34" s="88">
        <v>1026.2618373523351</v>
      </c>
      <c r="BU34" s="88">
        <v>1025.040954832662</v>
      </c>
      <c r="BV34" s="88">
        <v>1023.8229736837</v>
      </c>
      <c r="BW34" s="88">
        <v>0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72000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1037.3206497069129</v>
      </c>
      <c r="CV34" s="88">
        <v>1036.114177574523</v>
      </c>
      <c r="CW34" s="88">
        <v>1034.910508594724</v>
      </c>
      <c r="CX34" s="88">
        <v>1033.6689741976099</v>
      </c>
      <c r="CY34" s="88">
        <v>1032.430415054316</v>
      </c>
      <c r="CZ34" s="88">
        <v>1031.194820482634</v>
      </c>
      <c r="DA34" s="88">
        <v>1029.9621798514679</v>
      </c>
      <c r="DB34" s="88">
        <v>1028.7123480711739</v>
      </c>
      <c r="DC34" s="88">
        <v>1027.485631622161</v>
      </c>
      <c r="DD34" s="88">
        <v>1026.2618373523351</v>
      </c>
      <c r="DE34" s="88">
        <v>1025.040954832662</v>
      </c>
      <c r="DF34" s="88">
        <v>1023.8229736837</v>
      </c>
      <c r="DG34" s="93"/>
      <c r="DH34" s="91"/>
      <c r="DJ34" s="93"/>
      <c r="DK34" s="91"/>
      <c r="DM34" s="93"/>
      <c r="DN34" s="91"/>
      <c r="DP34" s="93"/>
      <c r="DQ34" s="91"/>
    </row>
    <row r="35" spans="1:121" x14ac:dyDescent="0.3">
      <c r="A35" t="s">
        <v>22</v>
      </c>
      <c r="B35" t="s">
        <v>45</v>
      </c>
      <c r="C35" t="s">
        <v>82</v>
      </c>
      <c r="D35" t="s">
        <v>366</v>
      </c>
      <c r="E35" t="s">
        <v>367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54000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2431.344155464833</v>
      </c>
      <c r="BL35" s="88">
        <v>2431.2412342216048</v>
      </c>
      <c r="BM35" s="88">
        <v>2431.138234090517</v>
      </c>
      <c r="BN35" s="88">
        <v>4688.2729257641931</v>
      </c>
      <c r="BO35" s="88">
        <v>4688.1620001690198</v>
      </c>
      <c r="BP35" s="88">
        <v>4688.0509865640079</v>
      </c>
      <c r="BQ35" s="88">
        <v>4687.939884844347</v>
      </c>
      <c r="BR35" s="88">
        <v>4687.8268713836651</v>
      </c>
      <c r="BS35" s="88">
        <v>4687.7155916708971</v>
      </c>
      <c r="BT35" s="88">
        <v>1892.956403358495</v>
      </c>
      <c r="BU35" s="88">
        <v>1892.8502541378889</v>
      </c>
      <c r="BV35" s="88">
        <v>1892.744020495574</v>
      </c>
      <c r="BW35" s="88">
        <v>2700.0000000000018</v>
      </c>
      <c r="BX35" s="88">
        <v>2700.0000000000018</v>
      </c>
      <c r="BY35" s="88">
        <v>2700.0000000000018</v>
      </c>
      <c r="BZ35" s="88">
        <v>4968.0000000000045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2160.0000000000018</v>
      </c>
      <c r="CG35" s="88">
        <v>2160.0000000000018</v>
      </c>
      <c r="CH35" s="88">
        <v>2160.0000000000018</v>
      </c>
      <c r="CI35" s="88">
        <v>54000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-255.86270908111501</v>
      </c>
      <c r="CV35" s="88">
        <v>-255.9607293127624</v>
      </c>
      <c r="CW35" s="88">
        <v>-256.05882467570501</v>
      </c>
      <c r="CX35" s="88">
        <v>-256.16032439176502</v>
      </c>
      <c r="CY35" s="88">
        <v>-256.26190460712422</v>
      </c>
      <c r="CZ35" s="88">
        <v>-256.36356541757999</v>
      </c>
      <c r="DA35" s="88">
        <v>-256.46530691909771</v>
      </c>
      <c r="DB35" s="88">
        <v>-256.56879909920741</v>
      </c>
      <c r="DC35" s="88">
        <v>-256.67070359808258</v>
      </c>
      <c r="DD35" s="88">
        <v>-256.77268907836748</v>
      </c>
      <c r="DE35" s="88">
        <v>-256.87475563664458</v>
      </c>
      <c r="DF35" s="88">
        <v>-256.97690336964081</v>
      </c>
      <c r="DG35" s="93">
        <v>46296</v>
      </c>
      <c r="DH35" s="91">
        <v>0.05</v>
      </c>
      <c r="DI35" t="s">
        <v>300</v>
      </c>
      <c r="DJ35" s="93">
        <v>46478</v>
      </c>
      <c r="DK35" s="91">
        <v>0.04</v>
      </c>
      <c r="DL35" t="s">
        <v>301</v>
      </c>
      <c r="DM35" s="93"/>
      <c r="DN35" s="91"/>
      <c r="DP35" s="93"/>
      <c r="DQ35" s="91"/>
    </row>
    <row r="36" spans="1:121" x14ac:dyDescent="0.3">
      <c r="A36" t="s">
        <v>22</v>
      </c>
      <c r="B36" t="s">
        <v>45</v>
      </c>
      <c r="C36" t="s">
        <v>84</v>
      </c>
      <c r="D36" t="s">
        <v>368</v>
      </c>
      <c r="E36" t="s">
        <v>369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36000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2525.2823854919288</v>
      </c>
      <c r="BL36" s="88">
        <v>2524.999999999995</v>
      </c>
      <c r="BM36" s="88">
        <v>2524.7180507731168</v>
      </c>
      <c r="BN36" s="88">
        <v>2524.4270015698589</v>
      </c>
      <c r="BO36" s="88">
        <v>2524.1364165174309</v>
      </c>
      <c r="BP36" s="88">
        <v>2523.8462945064161</v>
      </c>
      <c r="BQ36" s="88">
        <v>2523.5566344309141</v>
      </c>
      <c r="BR36" s="88">
        <v>2523.2626980504788</v>
      </c>
      <c r="BS36" s="88">
        <v>2522.9739660698979</v>
      </c>
      <c r="BT36" s="88">
        <v>2522.6856927103072</v>
      </c>
      <c r="BU36" s="88">
        <v>341.88478950928669</v>
      </c>
      <c r="BV36" s="88">
        <v>341.61369574543352</v>
      </c>
      <c r="BW36" s="88">
        <v>2160.0000000000018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0</v>
      </c>
      <c r="CH36" s="88">
        <v>0</v>
      </c>
      <c r="CI36" s="88">
        <v>36000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344.606024048991</v>
      </c>
      <c r="CV36" s="88">
        <v>344.33962264150517</v>
      </c>
      <c r="CW36" s="88">
        <v>344.07363280482878</v>
      </c>
      <c r="CX36" s="88">
        <v>343.7990580847723</v>
      </c>
      <c r="CY36" s="88">
        <v>343.52492124285749</v>
      </c>
      <c r="CZ36" s="88">
        <v>343.25122123246558</v>
      </c>
      <c r="DA36" s="88">
        <v>342.97795701029531</v>
      </c>
      <c r="DB36" s="88">
        <v>342.70065853818289</v>
      </c>
      <c r="DC36" s="88">
        <v>342.42826987725999</v>
      </c>
      <c r="DD36" s="88">
        <v>342.15631387764398</v>
      </c>
      <c r="DE36" s="88">
        <v>341.88478950928669</v>
      </c>
      <c r="DF36" s="88">
        <v>341.61369574543352</v>
      </c>
      <c r="DG36" s="93">
        <v>46327</v>
      </c>
      <c r="DH36" s="91">
        <v>0.06</v>
      </c>
      <c r="DI36" t="s">
        <v>300</v>
      </c>
      <c r="DJ36" s="93"/>
      <c r="DK36" s="91"/>
      <c r="DM36" s="93"/>
      <c r="DN36" s="91"/>
      <c r="DP36" s="93"/>
      <c r="DQ36" s="91"/>
    </row>
    <row r="37" spans="1:121" x14ac:dyDescent="0.3">
      <c r="A37" t="s">
        <v>22</v>
      </c>
      <c r="B37" t="s">
        <v>45</v>
      </c>
      <c r="C37" t="s">
        <v>86</v>
      </c>
      <c r="D37" t="s">
        <v>370</v>
      </c>
      <c r="E37" t="s">
        <v>371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94500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-892.53600031051474</v>
      </c>
      <c r="BL37" s="88">
        <v>-893.21783716593654</v>
      </c>
      <c r="BM37" s="88">
        <v>-893.9007165718582</v>
      </c>
      <c r="BN37" s="88">
        <v>-894.60784313724707</v>
      </c>
      <c r="BO37" s="88">
        <v>-895.3160893434225</v>
      </c>
      <c r="BP37" s="88">
        <v>-896.02545785166478</v>
      </c>
      <c r="BQ37" s="88">
        <v>-896.73595133174183</v>
      </c>
      <c r="BR37" s="88">
        <v>-897.45924779165352</v>
      </c>
      <c r="BS37" s="88">
        <v>-898.17201781110055</v>
      </c>
      <c r="BT37" s="88">
        <v>-898.8859209069077</v>
      </c>
      <c r="BU37" s="88">
        <v>-899.60095978300376</v>
      </c>
      <c r="BV37" s="88">
        <v>-900.31713715203568</v>
      </c>
      <c r="BW37" s="88">
        <v>0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94500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-892.53600031051474</v>
      </c>
      <c r="CV37" s="88">
        <v>-893.21783716593654</v>
      </c>
      <c r="CW37" s="88">
        <v>-893.9007165718582</v>
      </c>
      <c r="CX37" s="88">
        <v>-894.60784313724707</v>
      </c>
      <c r="CY37" s="88">
        <v>-895.3160893434225</v>
      </c>
      <c r="CZ37" s="88">
        <v>-896.02545785166478</v>
      </c>
      <c r="DA37" s="88">
        <v>-896.73595133174183</v>
      </c>
      <c r="DB37" s="88">
        <v>-897.45924779165352</v>
      </c>
      <c r="DC37" s="88">
        <v>-898.17201781110055</v>
      </c>
      <c r="DD37" s="88">
        <v>-898.8859209069077</v>
      </c>
      <c r="DE37" s="88">
        <v>-899.60095978300376</v>
      </c>
      <c r="DF37" s="88">
        <v>-900.31713715203568</v>
      </c>
      <c r="DG37" s="93"/>
      <c r="DH37" s="91"/>
      <c r="DJ37" s="93"/>
      <c r="DK37" s="91"/>
      <c r="DM37" s="93"/>
      <c r="DN37" s="91"/>
      <c r="DP37" s="93"/>
      <c r="DQ37" s="91"/>
    </row>
    <row r="38" spans="1:121" x14ac:dyDescent="0.3">
      <c r="A38" t="s">
        <v>22</v>
      </c>
      <c r="B38" t="s">
        <v>45</v>
      </c>
      <c r="C38" t="s">
        <v>88</v>
      </c>
      <c r="D38" t="s">
        <v>372</v>
      </c>
      <c r="E38" t="s">
        <v>373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76500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364.91175336682619</v>
      </c>
      <c r="BL38" s="88">
        <v>364.77112400063208</v>
      </c>
      <c r="BM38" s="88">
        <v>364.63060298389951</v>
      </c>
      <c r="BN38" s="88">
        <v>364.48543233082279</v>
      </c>
      <c r="BO38" s="88">
        <v>364.34037722553961</v>
      </c>
      <c r="BP38" s="88">
        <v>364.19543753015392</v>
      </c>
      <c r="BQ38" s="88">
        <v>364.05061310699102</v>
      </c>
      <c r="BR38" s="88">
        <v>363.9035324935985</v>
      </c>
      <c r="BS38" s="88">
        <v>363.75894008677079</v>
      </c>
      <c r="BT38" s="88">
        <v>363.61446253817297</v>
      </c>
      <c r="BU38" s="88">
        <v>363.47009971101352</v>
      </c>
      <c r="BV38" s="88">
        <v>363.32585146872162</v>
      </c>
      <c r="BW38" s="88">
        <v>0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76500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364.91175336682619</v>
      </c>
      <c r="CV38" s="88">
        <v>364.77112400063208</v>
      </c>
      <c r="CW38" s="88">
        <v>364.63060298389951</v>
      </c>
      <c r="CX38" s="88">
        <v>364.48543233082279</v>
      </c>
      <c r="CY38" s="88">
        <v>364.34037722553961</v>
      </c>
      <c r="CZ38" s="88">
        <v>364.19543753015392</v>
      </c>
      <c r="DA38" s="88">
        <v>364.05061310699102</v>
      </c>
      <c r="DB38" s="88">
        <v>363.9035324935985</v>
      </c>
      <c r="DC38" s="88">
        <v>363.75894008677079</v>
      </c>
      <c r="DD38" s="88">
        <v>363.61446253817297</v>
      </c>
      <c r="DE38" s="88">
        <v>363.47009971101352</v>
      </c>
      <c r="DF38" s="88">
        <v>363.32585146872162</v>
      </c>
      <c r="DG38" s="93">
        <v>46023</v>
      </c>
      <c r="DH38" s="91">
        <v>0.03</v>
      </c>
      <c r="DI38" t="s">
        <v>300</v>
      </c>
      <c r="DJ38" s="93"/>
      <c r="DK38" s="91"/>
      <c r="DM38" s="93"/>
      <c r="DN38" s="91"/>
      <c r="DP38" s="93"/>
      <c r="DQ38" s="91"/>
    </row>
    <row r="39" spans="1:121" x14ac:dyDescent="0.3">
      <c r="A39" t="s">
        <v>22</v>
      </c>
      <c r="B39" t="s">
        <v>45</v>
      </c>
      <c r="C39" t="s">
        <v>90</v>
      </c>
      <c r="D39" t="s">
        <v>374</v>
      </c>
      <c r="E39" t="s">
        <v>375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58500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3512.6876666754679</v>
      </c>
      <c r="BL39" s="88">
        <v>1125.8304334071549</v>
      </c>
      <c r="BM39" s="88">
        <v>1124.0820194256539</v>
      </c>
      <c r="BN39" s="88">
        <v>1122.2800378429561</v>
      </c>
      <c r="BO39" s="88">
        <v>1120.4838244168641</v>
      </c>
      <c r="BP39" s="88">
        <v>1118.693351495785</v>
      </c>
      <c r="BQ39" s="88">
        <v>1116.9085916045519</v>
      </c>
      <c r="BR39" s="88">
        <v>3499.7044154894711</v>
      </c>
      <c r="BS39" s="88">
        <v>3497.8601595495129</v>
      </c>
      <c r="BT39" s="88">
        <v>3496.0217600666292</v>
      </c>
      <c r="BU39" s="88">
        <v>3494.189189189186</v>
      </c>
      <c r="BV39" s="88">
        <v>3492.362419241847</v>
      </c>
      <c r="BW39" s="88">
        <v>2340.0000000000018</v>
      </c>
      <c r="BX39" s="88">
        <v>0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2340.0000000000018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58500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1127.584294880256</v>
      </c>
      <c r="CV39" s="88">
        <v>1125.8304334071549</v>
      </c>
      <c r="CW39" s="88">
        <v>1124.0820194256539</v>
      </c>
      <c r="CX39" s="88">
        <v>1122.2800378429561</v>
      </c>
      <c r="CY39" s="88">
        <v>1120.4838244168641</v>
      </c>
      <c r="CZ39" s="88">
        <v>1118.693351495785</v>
      </c>
      <c r="DA39" s="88">
        <v>1116.9085916045519</v>
      </c>
      <c r="DB39" s="88">
        <v>1115.1003995091021</v>
      </c>
      <c r="DC39" s="88">
        <v>1113.327076489918</v>
      </c>
      <c r="DD39" s="88">
        <v>1111.559384679445</v>
      </c>
      <c r="DE39" s="88">
        <v>1109.7972972972941</v>
      </c>
      <c r="DF39" s="88">
        <v>1108.0407877325461</v>
      </c>
      <c r="DG39" s="93">
        <v>46054</v>
      </c>
      <c r="DH39" s="91">
        <v>0.04</v>
      </c>
      <c r="DI39" t="s">
        <v>300</v>
      </c>
      <c r="DJ39" s="93">
        <v>46600</v>
      </c>
      <c r="DK39" s="91">
        <v>0.04</v>
      </c>
      <c r="DL39" t="s">
        <v>301</v>
      </c>
      <c r="DM39" s="93"/>
      <c r="DN39" s="91"/>
      <c r="DP39" s="93"/>
      <c r="DQ39" s="91"/>
    </row>
    <row r="40" spans="1:121" x14ac:dyDescent="0.3">
      <c r="A40" t="s">
        <v>22</v>
      </c>
      <c r="B40" t="s">
        <v>45</v>
      </c>
      <c r="C40" t="s">
        <v>91</v>
      </c>
      <c r="D40" t="s">
        <v>376</v>
      </c>
      <c r="E40" t="s">
        <v>377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40500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40500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93"/>
      <c r="DH40" s="91"/>
      <c r="DJ40" s="93"/>
      <c r="DK40" s="91"/>
      <c r="DM40" s="93"/>
      <c r="DN40" s="91"/>
      <c r="DP40" s="93"/>
      <c r="DQ40" s="91"/>
    </row>
    <row r="41" spans="1:121" x14ac:dyDescent="0.3">
      <c r="A41" t="s">
        <v>22</v>
      </c>
      <c r="B41" t="s">
        <v>45</v>
      </c>
      <c r="C41" t="s">
        <v>93</v>
      </c>
      <c r="D41" t="s">
        <v>378</v>
      </c>
      <c r="E41" t="s">
        <v>379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99000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7451.894846947821</v>
      </c>
      <c r="BL41" s="88">
        <v>7450.1364138148674</v>
      </c>
      <c r="BM41" s="88">
        <v>7448.3820662768176</v>
      </c>
      <c r="BN41" s="88">
        <v>1421.294839521714</v>
      </c>
      <c r="BO41" s="88">
        <v>1419.5918206996839</v>
      </c>
      <c r="BP41" s="88">
        <v>1417.8928781636221</v>
      </c>
      <c r="BQ41" s="88">
        <v>1416.197997295769</v>
      </c>
      <c r="BR41" s="88">
        <v>1414.479478597864</v>
      </c>
      <c r="BS41" s="88">
        <v>1412.7927434804719</v>
      </c>
      <c r="BT41" s="88">
        <v>1411.110026359461</v>
      </c>
      <c r="BU41" s="88">
        <v>1409.43131289491</v>
      </c>
      <c r="BV41" s="88">
        <v>1407.7565888150871</v>
      </c>
      <c r="BW41" s="88">
        <v>5940.0000000000045</v>
      </c>
      <c r="BX41" s="88">
        <v>5940.0000000000045</v>
      </c>
      <c r="BY41" s="88">
        <v>5940.0000000000045</v>
      </c>
      <c r="BZ41" s="88">
        <v>0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99000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1426.3158933470061</v>
      </c>
      <c r="CV41" s="88">
        <v>1424.65699416497</v>
      </c>
      <c r="CW41" s="88">
        <v>1423.0019493177449</v>
      </c>
      <c r="CX41" s="88">
        <v>1421.294839521714</v>
      </c>
      <c r="CY41" s="88">
        <v>1419.5918206996839</v>
      </c>
      <c r="CZ41" s="88">
        <v>1417.8928781636221</v>
      </c>
      <c r="DA41" s="88">
        <v>1416.197997295769</v>
      </c>
      <c r="DB41" s="88">
        <v>1414.479478597864</v>
      </c>
      <c r="DC41" s="88">
        <v>1412.7927434804719</v>
      </c>
      <c r="DD41" s="88">
        <v>1411.110026359461</v>
      </c>
      <c r="DE41" s="88">
        <v>1409.43131289491</v>
      </c>
      <c r="DF41" s="88">
        <v>1407.7565888150871</v>
      </c>
      <c r="DG41" s="93">
        <v>46113</v>
      </c>
      <c r="DH41" s="91">
        <v>0.06</v>
      </c>
      <c r="DI41" t="s">
        <v>300</v>
      </c>
      <c r="DJ41" s="93"/>
      <c r="DK41" s="91"/>
      <c r="DM41" s="93"/>
      <c r="DN41" s="91"/>
      <c r="DP41" s="93"/>
      <c r="DQ41" s="91"/>
    </row>
    <row r="42" spans="1:121" x14ac:dyDescent="0.3">
      <c r="A42" t="s">
        <v>22</v>
      </c>
      <c r="B42" t="s">
        <v>45</v>
      </c>
      <c r="C42" t="s">
        <v>94</v>
      </c>
      <c r="D42" t="s">
        <v>380</v>
      </c>
      <c r="E42" t="s">
        <v>381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81000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1228.5300551058949</v>
      </c>
      <c r="BL42" s="88">
        <v>1228.3800841514719</v>
      </c>
      <c r="BM42" s="88">
        <v>1228.2299982461759</v>
      </c>
      <c r="BN42" s="88">
        <v>1228.0747036805931</v>
      </c>
      <c r="BO42" s="88">
        <v>-384.39285691068619</v>
      </c>
      <c r="BP42" s="88">
        <v>-384.54534812637002</v>
      </c>
      <c r="BQ42" s="88">
        <v>-384.69796037864643</v>
      </c>
      <c r="BR42" s="88">
        <v>-384.85319864881109</v>
      </c>
      <c r="BS42" s="88">
        <v>-385.00605539712399</v>
      </c>
      <c r="BT42" s="88">
        <v>-385.15903361755119</v>
      </c>
      <c r="BU42" s="88">
        <v>-385.31213345496701</v>
      </c>
      <c r="BV42" s="88">
        <v>-385.4653550544611</v>
      </c>
      <c r="BW42" s="88">
        <v>1620.0000000000009</v>
      </c>
      <c r="BX42" s="88">
        <v>1620.0000000000009</v>
      </c>
      <c r="BY42" s="88">
        <v>1620.0000000000009</v>
      </c>
      <c r="BZ42" s="88">
        <v>1620.0000000000009</v>
      </c>
      <c r="CA42" s="88">
        <v>0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81000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-383.79406362167248</v>
      </c>
      <c r="CV42" s="88">
        <v>-383.94109396914348</v>
      </c>
      <c r="CW42" s="88">
        <v>-384.08823701355738</v>
      </c>
      <c r="CX42" s="88">
        <v>-384.24048658764741</v>
      </c>
      <c r="CY42" s="88">
        <v>-384.39285691068619</v>
      </c>
      <c r="CZ42" s="88">
        <v>-384.54534812637002</v>
      </c>
      <c r="DA42" s="88">
        <v>-384.69796037864643</v>
      </c>
      <c r="DB42" s="88">
        <v>-384.85319864881109</v>
      </c>
      <c r="DC42" s="88">
        <v>-385.00605539712399</v>
      </c>
      <c r="DD42" s="88">
        <v>-385.15903361755119</v>
      </c>
      <c r="DE42" s="88">
        <v>-385.31213345496701</v>
      </c>
      <c r="DF42" s="88">
        <v>-385.4653550544611</v>
      </c>
      <c r="DG42" s="93">
        <v>46143</v>
      </c>
      <c r="DH42" s="91">
        <v>0.02</v>
      </c>
      <c r="DI42" t="s">
        <v>300</v>
      </c>
      <c r="DJ42" s="93"/>
      <c r="DK42" s="91"/>
      <c r="DM42" s="93"/>
      <c r="DN42" s="91"/>
      <c r="DP42" s="93"/>
      <c r="DQ42" s="91"/>
    </row>
    <row r="43" spans="1:121" x14ac:dyDescent="0.3">
      <c r="A43" t="s">
        <v>22</v>
      </c>
      <c r="B43" t="s">
        <v>45</v>
      </c>
      <c r="C43" t="s">
        <v>95</v>
      </c>
      <c r="D43" t="s">
        <v>382</v>
      </c>
      <c r="E43" t="s">
        <v>383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63000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603.06054208573426</v>
      </c>
      <c r="BL43" s="88">
        <v>3146.6981132075389</v>
      </c>
      <c r="BM43" s="88">
        <v>3146.2140117047961</v>
      </c>
      <c r="BN43" s="88">
        <v>3145.7142857142858</v>
      </c>
      <c r="BO43" s="88">
        <v>3145.2153566620068</v>
      </c>
      <c r="BP43" s="88">
        <v>3144.7172226430898</v>
      </c>
      <c r="BQ43" s="88">
        <v>3144.2198817587341</v>
      </c>
      <c r="BR43" s="88">
        <v>3143.715198539498</v>
      </c>
      <c r="BS43" s="88">
        <v>3143.219451176612</v>
      </c>
      <c r="BT43" s="88">
        <v>3142.7244912573169</v>
      </c>
      <c r="BU43" s="88">
        <v>3142.230316906905</v>
      </c>
      <c r="BV43" s="88">
        <v>3141.7369262566931</v>
      </c>
      <c r="BW43" s="88">
        <v>0</v>
      </c>
      <c r="BX43" s="88">
        <v>2520.0000000000018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63000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603.06054208573426</v>
      </c>
      <c r="CV43" s="88">
        <v>602.59433962263404</v>
      </c>
      <c r="CW43" s="88">
        <v>602.12885740845047</v>
      </c>
      <c r="CX43" s="88">
        <v>601.64835164835154</v>
      </c>
      <c r="CY43" s="88">
        <v>601.16861217500059</v>
      </c>
      <c r="CZ43" s="88">
        <v>600.68963715681491</v>
      </c>
      <c r="DA43" s="88">
        <v>600.21142476801685</v>
      </c>
      <c r="DB43" s="88">
        <v>599.72615244182009</v>
      </c>
      <c r="DC43" s="88">
        <v>599.24947228520512</v>
      </c>
      <c r="DD43" s="88">
        <v>598.77354928587704</v>
      </c>
      <c r="DE43" s="88">
        <v>598.29838164125169</v>
      </c>
      <c r="DF43" s="88">
        <v>597.8239675545085</v>
      </c>
      <c r="DG43" s="93">
        <v>46419</v>
      </c>
      <c r="DH43" s="91">
        <v>0.04</v>
      </c>
      <c r="DI43" t="s">
        <v>301</v>
      </c>
      <c r="DJ43" s="93"/>
      <c r="DK43" s="91"/>
      <c r="DM43" s="93"/>
      <c r="DN43" s="91"/>
      <c r="DP43" s="93"/>
      <c r="DQ43" s="91"/>
    </row>
    <row r="44" spans="1:121" x14ac:dyDescent="0.3">
      <c r="A44" t="s">
        <v>22</v>
      </c>
      <c r="B44" t="s">
        <v>47</v>
      </c>
      <c r="C44" t="s">
        <v>43</v>
      </c>
      <c r="D44" t="s">
        <v>384</v>
      </c>
      <c r="E44" t="s">
        <v>385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45000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1357.982171274798</v>
      </c>
      <c r="BL44" s="88">
        <v>1357.644499689254</v>
      </c>
      <c r="BM44" s="88">
        <v>1357.3063117929869</v>
      </c>
      <c r="BN44" s="88">
        <v>1356.95611577965</v>
      </c>
      <c r="BO44" s="88">
        <v>1356.605365277547</v>
      </c>
      <c r="BP44" s="88">
        <v>1356.254058968703</v>
      </c>
      <c r="BQ44" s="88">
        <v>-427.01711968178182</v>
      </c>
      <c r="BR44" s="88">
        <v>-427.36154656745413</v>
      </c>
      <c r="BS44" s="88">
        <v>-427.70096086242881</v>
      </c>
      <c r="BT44" s="88">
        <v>-428.04091471757511</v>
      </c>
      <c r="BU44" s="88">
        <v>-428.38140942047801</v>
      </c>
      <c r="BV44" s="88">
        <v>-428.72244626287409</v>
      </c>
      <c r="BW44" s="88">
        <v>1800.000000000002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0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45000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-425.01714300500697</v>
      </c>
      <c r="CV44" s="88">
        <v>-425.3418272218745</v>
      </c>
      <c r="CW44" s="88">
        <v>-425.66700789136098</v>
      </c>
      <c r="CX44" s="88">
        <v>-426.00373482726047</v>
      </c>
      <c r="CY44" s="88">
        <v>-426.3409949254393</v>
      </c>
      <c r="CZ44" s="88">
        <v>-426.67878945317369</v>
      </c>
      <c r="DA44" s="88">
        <v>-427.01711968178182</v>
      </c>
      <c r="DB44" s="88">
        <v>-427.36154656745413</v>
      </c>
      <c r="DC44" s="88">
        <v>-427.70096086242881</v>
      </c>
      <c r="DD44" s="88">
        <v>-428.04091471757511</v>
      </c>
      <c r="DE44" s="88">
        <v>-428.38140942047801</v>
      </c>
      <c r="DF44" s="88">
        <v>-428.72244626287409</v>
      </c>
      <c r="DG44" s="93">
        <v>46204</v>
      </c>
      <c r="DH44" s="91">
        <v>0.04</v>
      </c>
      <c r="DI44" t="s">
        <v>300</v>
      </c>
      <c r="DJ44" s="93"/>
      <c r="DK44" s="91"/>
      <c r="DM44" s="93"/>
      <c r="DN44" s="91"/>
      <c r="DP44" s="93"/>
      <c r="DQ44" s="91"/>
    </row>
    <row r="45" spans="1:121" x14ac:dyDescent="0.3">
      <c r="A45" t="s">
        <v>22</v>
      </c>
      <c r="B45" t="s">
        <v>47</v>
      </c>
      <c r="C45" t="s">
        <v>46</v>
      </c>
      <c r="D45" t="s">
        <v>386</v>
      </c>
      <c r="E45" t="s">
        <v>387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103500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5693.3893437534643</v>
      </c>
      <c r="BL45" s="88">
        <v>5693.1895673303188</v>
      </c>
      <c r="BM45" s="88">
        <v>5692.9899448271253</v>
      </c>
      <c r="BN45" s="88">
        <v>5692.7837171052706</v>
      </c>
      <c r="BO45" s="88">
        <v>5692.5776535292234</v>
      </c>
      <c r="BP45" s="88">
        <v>5692.3717539031304</v>
      </c>
      <c r="BQ45" s="88">
        <v>5692.1660180313984</v>
      </c>
      <c r="BR45" s="88">
        <v>492.34007337369212</v>
      </c>
      <c r="BS45" s="88">
        <v>492.14444835268989</v>
      </c>
      <c r="BT45" s="88">
        <v>491.9489787281164</v>
      </c>
      <c r="BU45" s="88">
        <v>491.75366431490062</v>
      </c>
      <c r="BV45" s="88">
        <v>491.55850492827051</v>
      </c>
      <c r="BW45" s="88">
        <v>5175.0000000000045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0</v>
      </c>
      <c r="CE45" s="88">
        <v>0</v>
      </c>
      <c r="CF45" s="88">
        <v>0</v>
      </c>
      <c r="CG45" s="88">
        <v>0</v>
      </c>
      <c r="CH45" s="88">
        <v>0</v>
      </c>
      <c r="CI45" s="88">
        <v>103500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493.70413690805901</v>
      </c>
      <c r="CV45" s="88">
        <v>493.51387364791412</v>
      </c>
      <c r="CW45" s="88">
        <v>493.32375697821698</v>
      </c>
      <c r="CX45" s="88">
        <v>493.12734962405449</v>
      </c>
      <c r="CY45" s="88">
        <v>492.93109859925943</v>
      </c>
      <c r="CZ45" s="88">
        <v>492.73500371726709</v>
      </c>
      <c r="DA45" s="88">
        <v>492.53906479181143</v>
      </c>
      <c r="DB45" s="88">
        <v>492.34007337369212</v>
      </c>
      <c r="DC45" s="88">
        <v>492.14444835268989</v>
      </c>
      <c r="DD45" s="88">
        <v>491.9489787281164</v>
      </c>
      <c r="DE45" s="88">
        <v>491.75366431490062</v>
      </c>
      <c r="DF45" s="88">
        <v>491.55850492827051</v>
      </c>
      <c r="DG45" s="93">
        <v>46235</v>
      </c>
      <c r="DH45" s="91">
        <v>0.05</v>
      </c>
      <c r="DI45" t="s">
        <v>300</v>
      </c>
      <c r="DJ45" s="93"/>
      <c r="DK45" s="91"/>
      <c r="DM45" s="93"/>
      <c r="DN45" s="91"/>
      <c r="DP45" s="93"/>
      <c r="DQ45" s="91"/>
    </row>
    <row r="46" spans="1:121" x14ac:dyDescent="0.3">
      <c r="A46" t="s">
        <v>22</v>
      </c>
      <c r="B46" t="s">
        <v>47</v>
      </c>
      <c r="C46" t="s">
        <v>48</v>
      </c>
      <c r="D46" t="s">
        <v>388</v>
      </c>
      <c r="E46" t="s">
        <v>389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85500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1648.007815594221</v>
      </c>
      <c r="BL46" s="88">
        <v>1645.4444795950719</v>
      </c>
      <c r="BM46" s="88">
        <v>1642.8891053144171</v>
      </c>
      <c r="BN46" s="88">
        <v>1640.2554399243199</v>
      </c>
      <c r="BO46" s="88">
        <v>1637.630204916954</v>
      </c>
      <c r="BP46" s="88">
        <v>1635.0133598784539</v>
      </c>
      <c r="BQ46" s="88">
        <v>1632.4048646528061</v>
      </c>
      <c r="BR46" s="88">
        <v>1629.762122359456</v>
      </c>
      <c r="BS46" s="88">
        <v>1627.170342562187</v>
      </c>
      <c r="BT46" s="88">
        <v>1624.586792993035</v>
      </c>
      <c r="BU46" s="88">
        <v>1622.0114345114289</v>
      </c>
      <c r="BV46" s="88">
        <v>1619.44422822449</v>
      </c>
      <c r="BW46" s="88">
        <v>0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85500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1648.007815594221</v>
      </c>
      <c r="CV46" s="88">
        <v>1645.4444795950719</v>
      </c>
      <c r="CW46" s="88">
        <v>1642.8891053144171</v>
      </c>
      <c r="CX46" s="88">
        <v>1640.2554399243199</v>
      </c>
      <c r="CY46" s="88">
        <v>1637.630204916954</v>
      </c>
      <c r="CZ46" s="88">
        <v>1635.0133598784539</v>
      </c>
      <c r="DA46" s="88">
        <v>1632.4048646528061</v>
      </c>
      <c r="DB46" s="88">
        <v>1629.762122359456</v>
      </c>
      <c r="DC46" s="88">
        <v>1627.170342562187</v>
      </c>
      <c r="DD46" s="88">
        <v>1624.586792993035</v>
      </c>
      <c r="DE46" s="88">
        <v>1622.0114345114289</v>
      </c>
      <c r="DF46" s="88">
        <v>1619.44422822449</v>
      </c>
      <c r="DG46" s="93"/>
      <c r="DH46" s="91"/>
      <c r="DJ46" s="93"/>
      <c r="DK46" s="91"/>
      <c r="DM46" s="93"/>
      <c r="DN46" s="91"/>
      <c r="DP46" s="93"/>
      <c r="DQ46" s="91"/>
    </row>
    <row r="47" spans="1:121" x14ac:dyDescent="0.3">
      <c r="A47" t="s">
        <v>22</v>
      </c>
      <c r="B47" t="s">
        <v>47</v>
      </c>
      <c r="C47" t="s">
        <v>50</v>
      </c>
      <c r="D47" t="s">
        <v>390</v>
      </c>
      <c r="E47" t="s">
        <v>391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67500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1350.0000000000009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4103.9999999999973</v>
      </c>
      <c r="BQ47" s="88">
        <v>4103.9999999999973</v>
      </c>
      <c r="BR47" s="88">
        <v>4103.9999999999973</v>
      </c>
      <c r="BS47" s="88">
        <v>4103.9999999999973</v>
      </c>
      <c r="BT47" s="88">
        <v>2700.0000000000018</v>
      </c>
      <c r="BU47" s="88">
        <v>2700.0000000000018</v>
      </c>
      <c r="BV47" s="88">
        <v>2700.0000000000018</v>
      </c>
      <c r="BW47" s="88">
        <v>1350.0000000000009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4103.9999999999973</v>
      </c>
      <c r="CC47" s="88">
        <v>4103.9999999999973</v>
      </c>
      <c r="CD47" s="88">
        <v>4103.9999999999973</v>
      </c>
      <c r="CE47" s="88">
        <v>4103.9999999999973</v>
      </c>
      <c r="CF47" s="88">
        <v>2700.0000000000018</v>
      </c>
      <c r="CG47" s="88">
        <v>2700.0000000000018</v>
      </c>
      <c r="CH47" s="88">
        <v>2700.0000000000018</v>
      </c>
      <c r="CI47" s="88">
        <v>67500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93">
        <v>46296</v>
      </c>
      <c r="DH47" s="91">
        <v>0.02</v>
      </c>
      <c r="DI47" t="s">
        <v>300</v>
      </c>
      <c r="DJ47" s="93">
        <v>46539</v>
      </c>
      <c r="DK47" s="91">
        <v>0.04</v>
      </c>
      <c r="DL47" t="s">
        <v>301</v>
      </c>
      <c r="DM47" s="93"/>
      <c r="DN47" s="91"/>
      <c r="DP47" s="93"/>
      <c r="DQ47" s="91"/>
    </row>
    <row r="48" spans="1:121" x14ac:dyDescent="0.3">
      <c r="A48" t="s">
        <v>22</v>
      </c>
      <c r="B48" t="s">
        <v>47</v>
      </c>
      <c r="C48" t="s">
        <v>57</v>
      </c>
      <c r="D48" t="s">
        <v>392</v>
      </c>
      <c r="E48" t="s">
        <v>393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49500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713.15794667350292</v>
      </c>
      <c r="BL48" s="88">
        <v>712.32849708248489</v>
      </c>
      <c r="BM48" s="88">
        <v>711.50097465887256</v>
      </c>
      <c r="BN48" s="88">
        <v>710.64741976085702</v>
      </c>
      <c r="BO48" s="88">
        <v>709.79591034984219</v>
      </c>
      <c r="BP48" s="88">
        <v>708.94643908181092</v>
      </c>
      <c r="BQ48" s="88">
        <v>708.0989986478844</v>
      </c>
      <c r="BR48" s="88">
        <v>707.23973929893225</v>
      </c>
      <c r="BS48" s="88">
        <v>706.39637174023585</v>
      </c>
      <c r="BT48" s="88">
        <v>705.55501317973028</v>
      </c>
      <c r="BU48" s="88">
        <v>704.71565644745488</v>
      </c>
      <c r="BV48" s="88">
        <v>703.87829440754365</v>
      </c>
      <c r="BW48" s="88">
        <v>0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49500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713.15794667350292</v>
      </c>
      <c r="CV48" s="88">
        <v>712.32849708248489</v>
      </c>
      <c r="CW48" s="88">
        <v>711.50097465887256</v>
      </c>
      <c r="CX48" s="88">
        <v>710.64741976085702</v>
      </c>
      <c r="CY48" s="88">
        <v>709.79591034984219</v>
      </c>
      <c r="CZ48" s="88">
        <v>708.94643908181092</v>
      </c>
      <c r="DA48" s="88">
        <v>708.0989986478844</v>
      </c>
      <c r="DB48" s="88">
        <v>707.23973929893225</v>
      </c>
      <c r="DC48" s="88">
        <v>706.39637174023585</v>
      </c>
      <c r="DD48" s="88">
        <v>705.55501317973028</v>
      </c>
      <c r="DE48" s="88">
        <v>704.71565644745488</v>
      </c>
      <c r="DF48" s="88">
        <v>703.87829440754365</v>
      </c>
      <c r="DG48" s="93"/>
      <c r="DH48" s="91"/>
      <c r="DJ48" s="93"/>
      <c r="DK48" s="91"/>
      <c r="DM48" s="93"/>
      <c r="DN48" s="91"/>
      <c r="DP48" s="93"/>
      <c r="DQ48" s="91"/>
    </row>
    <row r="49" spans="1:121" x14ac:dyDescent="0.3">
      <c r="A49" t="s">
        <v>22</v>
      </c>
      <c r="B49" t="s">
        <v>47</v>
      </c>
      <c r="C49" t="s">
        <v>58</v>
      </c>
      <c r="D49" t="s">
        <v>394</v>
      </c>
      <c r="E49" t="s">
        <v>395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108000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-511.72541816222991</v>
      </c>
      <c r="BL49" s="88">
        <v>-511.92145862552468</v>
      </c>
      <c r="BM49" s="88">
        <v>-512.11764935140991</v>
      </c>
      <c r="BN49" s="88">
        <v>-512.32064878352992</v>
      </c>
      <c r="BO49" s="88">
        <v>-512.52380921424833</v>
      </c>
      <c r="BP49" s="88">
        <v>-512.72713083515998</v>
      </c>
      <c r="BQ49" s="88">
        <v>-512.93061383819531</v>
      </c>
      <c r="BR49" s="88">
        <v>-513.13759819841471</v>
      </c>
      <c r="BS49" s="88">
        <v>-513.34140719616528</v>
      </c>
      <c r="BT49" s="88">
        <v>-513.54537815673496</v>
      </c>
      <c r="BU49" s="88">
        <v>-513.74951127328927</v>
      </c>
      <c r="BV49" s="88">
        <v>-513.9538067392815</v>
      </c>
      <c r="BW49" s="88">
        <v>0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108000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-511.72541816222991</v>
      </c>
      <c r="CV49" s="88">
        <v>-511.92145862552468</v>
      </c>
      <c r="CW49" s="88">
        <v>-512.11764935140991</v>
      </c>
      <c r="CX49" s="88">
        <v>-512.32064878352992</v>
      </c>
      <c r="CY49" s="88">
        <v>-512.52380921424833</v>
      </c>
      <c r="CZ49" s="88">
        <v>-512.72713083515998</v>
      </c>
      <c r="DA49" s="88">
        <v>-512.93061383819531</v>
      </c>
      <c r="DB49" s="88">
        <v>-513.13759819841471</v>
      </c>
      <c r="DC49" s="88">
        <v>-513.34140719616528</v>
      </c>
      <c r="DD49" s="88">
        <v>-513.54537815673496</v>
      </c>
      <c r="DE49" s="88">
        <v>-513.74951127328927</v>
      </c>
      <c r="DF49" s="88">
        <v>-513.9538067392815</v>
      </c>
      <c r="DG49" s="93"/>
      <c r="DH49" s="91"/>
      <c r="DJ49" s="93"/>
      <c r="DK49" s="91"/>
      <c r="DM49" s="93"/>
      <c r="DN49" s="91"/>
      <c r="DP49" s="93"/>
      <c r="DQ49" s="91"/>
    </row>
    <row r="50" spans="1:121" x14ac:dyDescent="0.3">
      <c r="A50" t="s">
        <v>22</v>
      </c>
      <c r="B50" t="s">
        <v>47</v>
      </c>
      <c r="C50" t="s">
        <v>65</v>
      </c>
      <c r="D50" t="s">
        <v>396</v>
      </c>
      <c r="E50" t="s">
        <v>397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90000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8054.1369214066981</v>
      </c>
      <c r="BL50" s="88">
        <v>7864.1843971631188</v>
      </c>
      <c r="BM50" s="88">
        <v>7674.9664099623296</v>
      </c>
      <c r="BN50" s="88">
        <v>8519.8897959183814</v>
      </c>
      <c r="BO50" s="88">
        <v>9231.7339165061912</v>
      </c>
      <c r="BP50" s="88">
        <v>9034.5505244641263</v>
      </c>
      <c r="BQ50" s="88">
        <v>2805.7739198283539</v>
      </c>
      <c r="BR50" s="88">
        <v>2619.0843905129691</v>
      </c>
      <c r="BS50" s="88">
        <v>2436.1375558577761</v>
      </c>
      <c r="BT50" s="88">
        <v>2253.9120318004129</v>
      </c>
      <c r="BU50" s="88">
        <v>2072.4035608308582</v>
      </c>
      <c r="BV50" s="88">
        <v>1891.6079188797739</v>
      </c>
      <c r="BW50" s="88">
        <v>5849.9999999999955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0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90000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2069.612132776253</v>
      </c>
      <c r="CV50" s="88">
        <v>1891.252955082738</v>
      </c>
      <c r="CW50" s="88">
        <v>1713.5834835327009</v>
      </c>
      <c r="CX50" s="88">
        <v>2506.9387755102189</v>
      </c>
      <c r="CY50" s="88">
        <v>3175.3370108039398</v>
      </c>
      <c r="CZ50" s="88">
        <v>2990.188285881809</v>
      </c>
      <c r="DA50" s="88">
        <v>2805.7739198283539</v>
      </c>
      <c r="DB50" s="88">
        <v>2619.0843905129691</v>
      </c>
      <c r="DC50" s="88">
        <v>2436.1375558577761</v>
      </c>
      <c r="DD50" s="88">
        <v>2253.9120318004129</v>
      </c>
      <c r="DE50" s="88">
        <v>2072.4035608308582</v>
      </c>
      <c r="DF50" s="88">
        <v>1891.6079188797739</v>
      </c>
      <c r="DG50" s="93">
        <v>46204</v>
      </c>
      <c r="DH50" s="91">
        <v>6.5000000000000002E-2</v>
      </c>
      <c r="DI50" t="s">
        <v>301</v>
      </c>
      <c r="DJ50" s="93"/>
      <c r="DK50" s="91"/>
      <c r="DM50" s="93"/>
      <c r="DN50" s="91"/>
      <c r="DP50" s="93"/>
      <c r="DQ50" s="91"/>
    </row>
    <row r="51" spans="1:121" x14ac:dyDescent="0.3">
      <c r="A51" t="s">
        <v>22</v>
      </c>
      <c r="B51" t="s">
        <v>47</v>
      </c>
      <c r="C51" t="s">
        <v>66</v>
      </c>
      <c r="D51" t="s">
        <v>398</v>
      </c>
      <c r="E51" t="s">
        <v>399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72000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3599.170925463508</v>
      </c>
      <c r="BL51" s="88">
        <v>-680.54692355499924</v>
      </c>
      <c r="BM51" s="88">
        <v>-681.06721262617759</v>
      </c>
      <c r="BN51" s="88">
        <v>-681.60597572361678</v>
      </c>
      <c r="BO51" s="88">
        <v>-682.14559188070291</v>
      </c>
      <c r="BP51" s="88">
        <v>-682.68606312507791</v>
      </c>
      <c r="BQ51" s="88">
        <v>-683.22739149085089</v>
      </c>
      <c r="BR51" s="88">
        <v>-683.77847450792649</v>
      </c>
      <c r="BS51" s="88">
        <v>-684.32153737988608</v>
      </c>
      <c r="BT51" s="88">
        <v>2167.7399179099498</v>
      </c>
      <c r="BU51" s="88">
        <v>2167.173334724333</v>
      </c>
      <c r="BV51" s="88">
        <v>2166.6058494185791</v>
      </c>
      <c r="BW51" s="88">
        <v>4320.0000000000036</v>
      </c>
      <c r="BX51" s="88">
        <v>0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2880.0000000000032</v>
      </c>
      <c r="CG51" s="88">
        <v>2880.0000000000032</v>
      </c>
      <c r="CH51" s="88">
        <v>2880.0000000000032</v>
      </c>
      <c r="CI51" s="88">
        <v>72000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-680.02742880801122</v>
      </c>
      <c r="CV51" s="88">
        <v>-680.54692355499924</v>
      </c>
      <c r="CW51" s="88">
        <v>-681.06721262617759</v>
      </c>
      <c r="CX51" s="88">
        <v>-681.60597572361678</v>
      </c>
      <c r="CY51" s="88">
        <v>-682.14559188070291</v>
      </c>
      <c r="CZ51" s="88">
        <v>-682.68606312507791</v>
      </c>
      <c r="DA51" s="88">
        <v>-683.22739149085089</v>
      </c>
      <c r="DB51" s="88">
        <v>-683.77847450792649</v>
      </c>
      <c r="DC51" s="88">
        <v>-684.32153737988608</v>
      </c>
      <c r="DD51" s="88">
        <v>-684.86546354812015</v>
      </c>
      <c r="DE51" s="88">
        <v>-685.41025507276481</v>
      </c>
      <c r="DF51" s="88">
        <v>-685.95591402059858</v>
      </c>
      <c r="DG51" s="93">
        <v>46054</v>
      </c>
      <c r="DH51" s="91">
        <v>0.06</v>
      </c>
      <c r="DI51" t="s">
        <v>300</v>
      </c>
      <c r="DJ51" s="93">
        <v>46661</v>
      </c>
      <c r="DK51" s="91">
        <v>0.04</v>
      </c>
      <c r="DL51" t="s">
        <v>301</v>
      </c>
      <c r="DM51" s="93"/>
      <c r="DN51" s="91"/>
      <c r="DP51" s="93"/>
      <c r="DQ51" s="91"/>
    </row>
    <row r="52" spans="1:121" x14ac:dyDescent="0.3">
      <c r="A52" t="s">
        <v>22</v>
      </c>
      <c r="B52" t="s">
        <v>47</v>
      </c>
      <c r="C52" t="s">
        <v>67</v>
      </c>
      <c r="D52" t="s">
        <v>400</v>
      </c>
      <c r="E52" t="s">
        <v>401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54000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5683.343243790715</v>
      </c>
      <c r="BL52" s="88">
        <v>5683.2340492240301</v>
      </c>
      <c r="BM52" s="88">
        <v>5683.1249387875077</v>
      </c>
      <c r="BN52" s="88">
        <v>8070.3327067669197</v>
      </c>
      <c r="BO52" s="88">
        <v>8070.2155705030791</v>
      </c>
      <c r="BP52" s="88">
        <v>8070.0985274361155</v>
      </c>
      <c r="BQ52" s="88">
        <v>8069.9815774548824</v>
      </c>
      <c r="BR52" s="88">
        <v>8069.862805533663</v>
      </c>
      <c r="BS52" s="88">
        <v>8069.7460429124312</v>
      </c>
      <c r="BT52" s="88">
        <v>2426.9357936750839</v>
      </c>
      <c r="BU52" s="88">
        <v>2426.8298143760871</v>
      </c>
      <c r="BV52" s="88">
        <v>2426.723919195862</v>
      </c>
      <c r="BW52" s="88">
        <v>5400.0000000000045</v>
      </c>
      <c r="BX52" s="88">
        <v>5400.0000000000045</v>
      </c>
      <c r="BY52" s="88">
        <v>5400.0000000000045</v>
      </c>
      <c r="BZ52" s="88">
        <v>7776.0000000000073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2160.0000000000018</v>
      </c>
      <c r="CG52" s="88">
        <v>2160.0000000000018</v>
      </c>
      <c r="CH52" s="88">
        <v>2160.0000000000018</v>
      </c>
      <c r="CI52" s="88">
        <v>54000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257.58476708246559</v>
      </c>
      <c r="CV52" s="88">
        <v>257.48549929456391</v>
      </c>
      <c r="CW52" s="88">
        <v>257.38630798863488</v>
      </c>
      <c r="CX52" s="88">
        <v>257.28383458646317</v>
      </c>
      <c r="CY52" s="88">
        <v>257.18144274743969</v>
      </c>
      <c r="CZ52" s="88">
        <v>257.07913237422628</v>
      </c>
      <c r="DA52" s="88">
        <v>256.97690336964081</v>
      </c>
      <c r="DB52" s="88">
        <v>256.87308176018718</v>
      </c>
      <c r="DC52" s="88">
        <v>256.7710165318382</v>
      </c>
      <c r="DD52" s="88">
        <v>256.6690323798868</v>
      </c>
      <c r="DE52" s="88">
        <v>256.56712920777431</v>
      </c>
      <c r="DF52" s="88">
        <v>256.46530691909771</v>
      </c>
      <c r="DG52" s="93">
        <v>46296</v>
      </c>
      <c r="DH52" s="91">
        <v>0.1</v>
      </c>
      <c r="DI52" t="s">
        <v>402</v>
      </c>
      <c r="DJ52" s="93">
        <v>46478</v>
      </c>
      <c r="DK52" s="91">
        <v>0.04</v>
      </c>
      <c r="DL52" t="s">
        <v>301</v>
      </c>
      <c r="DM52" s="93"/>
      <c r="DN52" s="91"/>
      <c r="DP52" s="93"/>
      <c r="DQ52" s="91"/>
    </row>
    <row r="53" spans="1:121" x14ac:dyDescent="0.3">
      <c r="A53" t="s">
        <v>22</v>
      </c>
      <c r="B53" t="s">
        <v>47</v>
      </c>
      <c r="C53" t="s">
        <v>73</v>
      </c>
      <c r="D53" t="s">
        <v>403</v>
      </c>
      <c r="E53" t="s">
        <v>404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36000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1794.714968447176</v>
      </c>
      <c r="BL53" s="88">
        <v>1793.603290098074</v>
      </c>
      <c r="BM53" s="88">
        <v>1792.4950646205671</v>
      </c>
      <c r="BN53" s="88">
        <v>690.633869441819</v>
      </c>
      <c r="BO53" s="88">
        <v>689.52850733345451</v>
      </c>
      <c r="BP53" s="88">
        <v>688.42667784355967</v>
      </c>
      <c r="BQ53" s="88">
        <v>687.32836406433955</v>
      </c>
      <c r="BR53" s="88">
        <v>686.21563046713959</v>
      </c>
      <c r="BS53" s="88">
        <v>685.12435476302608</v>
      </c>
      <c r="BT53" s="88">
        <v>684.03654441812023</v>
      </c>
      <c r="BU53" s="88">
        <v>682.95218295218069</v>
      </c>
      <c r="BV53" s="88">
        <v>681.87125398925912</v>
      </c>
      <c r="BW53" s="88">
        <v>1080.0000000000009</v>
      </c>
      <c r="BX53" s="88">
        <v>1080.0000000000009</v>
      </c>
      <c r="BY53" s="88">
        <v>1080.0000000000009</v>
      </c>
      <c r="BZ53" s="88">
        <v>0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36000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693.89802761861927</v>
      </c>
      <c r="CV53" s="88">
        <v>692.81872825055666</v>
      </c>
      <c r="CW53" s="88">
        <v>691.74278118501763</v>
      </c>
      <c r="CX53" s="88">
        <v>690.633869441819</v>
      </c>
      <c r="CY53" s="88">
        <v>689.52850733345451</v>
      </c>
      <c r="CZ53" s="88">
        <v>688.42667784355967</v>
      </c>
      <c r="DA53" s="88">
        <v>687.32836406433955</v>
      </c>
      <c r="DB53" s="88">
        <v>686.21563046713959</v>
      </c>
      <c r="DC53" s="88">
        <v>685.12435476302608</v>
      </c>
      <c r="DD53" s="88">
        <v>684.03654441812023</v>
      </c>
      <c r="DE53" s="88">
        <v>682.95218295218069</v>
      </c>
      <c r="DF53" s="88">
        <v>681.87125398925912</v>
      </c>
      <c r="DG53" s="93">
        <v>46113</v>
      </c>
      <c r="DH53" s="91">
        <v>0.03</v>
      </c>
      <c r="DI53" t="s">
        <v>300</v>
      </c>
      <c r="DJ53" s="93"/>
      <c r="DK53" s="91"/>
      <c r="DM53" s="93"/>
      <c r="DN53" s="91"/>
      <c r="DP53" s="93"/>
      <c r="DQ53" s="91"/>
    </row>
    <row r="54" spans="1:121" x14ac:dyDescent="0.3">
      <c r="A54" t="s">
        <v>22</v>
      </c>
      <c r="B54" t="s">
        <v>47</v>
      </c>
      <c r="C54" t="s">
        <v>78</v>
      </c>
      <c r="D54" t="s">
        <v>405</v>
      </c>
      <c r="E54" t="s">
        <v>406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94500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3780.0000000000032</v>
      </c>
      <c r="BL54" s="88">
        <v>3780.0000000000032</v>
      </c>
      <c r="BM54" s="88">
        <v>3780.0000000000032</v>
      </c>
      <c r="BN54" s="88">
        <v>3780.0000000000032</v>
      </c>
      <c r="BO54" s="88">
        <v>0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3780.0000000000032</v>
      </c>
      <c r="BX54" s="88">
        <v>3780.0000000000032</v>
      </c>
      <c r="BY54" s="88">
        <v>3780.0000000000032</v>
      </c>
      <c r="BZ54" s="88">
        <v>3780.0000000000032</v>
      </c>
      <c r="CA54" s="88">
        <v>0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94500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93">
        <v>46143</v>
      </c>
      <c r="DH54" s="91">
        <v>0.04</v>
      </c>
      <c r="DI54" t="s">
        <v>300</v>
      </c>
      <c r="DJ54" s="93"/>
      <c r="DK54" s="91"/>
      <c r="DM54" s="93"/>
      <c r="DN54" s="91"/>
      <c r="DP54" s="93"/>
      <c r="DQ54" s="91"/>
    </row>
    <row r="55" spans="1:121" x14ac:dyDescent="0.3">
      <c r="A55" t="s">
        <v>22</v>
      </c>
      <c r="B55" t="s">
        <v>47</v>
      </c>
      <c r="C55" t="s">
        <v>80</v>
      </c>
      <c r="D55" t="s">
        <v>407</v>
      </c>
      <c r="E55" t="s">
        <v>408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76500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1102.153190313596</v>
      </c>
      <c r="BL55" s="88">
        <v>1100.8713136729309</v>
      </c>
      <c r="BM55" s="88">
        <v>1099.5924153818939</v>
      </c>
      <c r="BN55" s="88">
        <v>4202.2042164883624</v>
      </c>
      <c r="BO55" s="88">
        <v>4200.8356086350241</v>
      </c>
      <c r="BP55" s="88">
        <v>4199.4702766333075</v>
      </c>
      <c r="BQ55" s="88">
        <v>4198.10820873587</v>
      </c>
      <c r="BR55" s="88">
        <v>4196.7271446186542</v>
      </c>
      <c r="BS55" s="88">
        <v>4195.3716229424863</v>
      </c>
      <c r="BT55" s="88">
        <v>4194.019330274341</v>
      </c>
      <c r="BU55" s="88">
        <v>4192.6702550900927</v>
      </c>
      <c r="BV55" s="88">
        <v>4191.3243859204831</v>
      </c>
      <c r="BW55" s="88">
        <v>0</v>
      </c>
      <c r="BX55" s="88">
        <v>0</v>
      </c>
      <c r="BY55" s="88">
        <v>0</v>
      </c>
      <c r="BZ55" s="88">
        <v>3060.0000000000032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76500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1102.153190313596</v>
      </c>
      <c r="CV55" s="88">
        <v>1100.8713136729309</v>
      </c>
      <c r="CW55" s="88">
        <v>1099.5924153818939</v>
      </c>
      <c r="CX55" s="88">
        <v>1098.2732850849609</v>
      </c>
      <c r="CY55" s="88">
        <v>1096.957315995211</v>
      </c>
      <c r="CZ55" s="88">
        <v>1095.644496762799</v>
      </c>
      <c r="DA55" s="88">
        <v>1094.3348160921851</v>
      </c>
      <c r="DB55" s="88">
        <v>1093.006869825623</v>
      </c>
      <c r="DC55" s="88">
        <v>1091.703483598546</v>
      </c>
      <c r="DD55" s="88">
        <v>1090.4032021868561</v>
      </c>
      <c r="DE55" s="88">
        <v>1089.1060145097031</v>
      </c>
      <c r="DF55" s="88">
        <v>1087.8119095389311</v>
      </c>
      <c r="DG55" s="93">
        <v>46478</v>
      </c>
      <c r="DH55" s="91">
        <v>0.04</v>
      </c>
      <c r="DI55" t="s">
        <v>301</v>
      </c>
      <c r="DJ55" s="93"/>
      <c r="DK55" s="91"/>
      <c r="DM55" s="93"/>
      <c r="DN55" s="91"/>
      <c r="DP55" s="93"/>
      <c r="DQ55" s="91"/>
    </row>
    <row r="56" spans="1:121" x14ac:dyDescent="0.3">
      <c r="A56" t="s">
        <v>22</v>
      </c>
      <c r="B56" t="s">
        <v>47</v>
      </c>
      <c r="C56" t="s">
        <v>82</v>
      </c>
      <c r="D56" t="s">
        <v>409</v>
      </c>
      <c r="E56" t="s">
        <v>410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58500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3216.1843224051881</v>
      </c>
      <c r="BL56" s="88">
        <v>3216.0717625058528</v>
      </c>
      <c r="BM56" s="88">
        <v>3215.9591163307409</v>
      </c>
      <c r="BN56" s="88">
        <v>3215.8425608234552</v>
      </c>
      <c r="BO56" s="88">
        <v>3215.725912876158</v>
      </c>
      <c r="BP56" s="88">
        <v>3215.6091723788172</v>
      </c>
      <c r="BQ56" s="88">
        <v>-277.83741582902252</v>
      </c>
      <c r="BR56" s="88">
        <v>-277.94953235747471</v>
      </c>
      <c r="BS56" s="88">
        <v>-278.05992889792287</v>
      </c>
      <c r="BT56" s="88">
        <v>-278.17041316823139</v>
      </c>
      <c r="BU56" s="88">
        <v>-278.28098527303172</v>
      </c>
      <c r="BV56" s="88">
        <v>-278.39164531711077</v>
      </c>
      <c r="BW56" s="88">
        <v>3510.0000000000032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0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58500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-277.18460150454121</v>
      </c>
      <c r="CV56" s="88">
        <v>-277.29079008882587</v>
      </c>
      <c r="CW56" s="88">
        <v>-277.39706006534698</v>
      </c>
      <c r="CX56" s="88">
        <v>-277.50701809107869</v>
      </c>
      <c r="CY56" s="88">
        <v>-277.6170633243845</v>
      </c>
      <c r="CZ56" s="88">
        <v>-277.72719586904498</v>
      </c>
      <c r="DA56" s="88">
        <v>-277.83741582902252</v>
      </c>
      <c r="DB56" s="88">
        <v>-277.94953235747471</v>
      </c>
      <c r="DC56" s="88">
        <v>-278.05992889792287</v>
      </c>
      <c r="DD56" s="88">
        <v>-278.17041316823139</v>
      </c>
      <c r="DE56" s="88">
        <v>-278.28098527303172</v>
      </c>
      <c r="DF56" s="88">
        <v>-278.39164531711077</v>
      </c>
      <c r="DG56" s="93">
        <v>46204</v>
      </c>
      <c r="DH56" s="91">
        <v>0.06</v>
      </c>
      <c r="DI56" t="s">
        <v>300</v>
      </c>
      <c r="DJ56" s="93"/>
      <c r="DK56" s="91"/>
      <c r="DM56" s="93"/>
      <c r="DN56" s="91"/>
      <c r="DP56" s="93"/>
      <c r="DQ56" s="91"/>
    </row>
    <row r="57" spans="1:121" x14ac:dyDescent="0.3">
      <c r="A57" t="s">
        <v>22</v>
      </c>
      <c r="B57" t="s">
        <v>47</v>
      </c>
      <c r="C57" t="s">
        <v>84</v>
      </c>
      <c r="D57" t="s">
        <v>411</v>
      </c>
      <c r="E57" t="s">
        <v>412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40500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1205.4354125962141</v>
      </c>
      <c r="BL57" s="88">
        <v>1205.1297169811271</v>
      </c>
      <c r="BM57" s="88">
        <v>1204.824493643544</v>
      </c>
      <c r="BN57" s="88">
        <v>1204.509419152276</v>
      </c>
      <c r="BO57" s="88">
        <v>1204.1948471261769</v>
      </c>
      <c r="BP57" s="88">
        <v>1203.8807763642551</v>
      </c>
      <c r="BQ57" s="88">
        <v>1203.567205669317</v>
      </c>
      <c r="BR57" s="88">
        <v>385.53824085545568</v>
      </c>
      <c r="BS57" s="88">
        <v>385.23180361191748</v>
      </c>
      <c r="BT57" s="88">
        <v>384.9258531123495</v>
      </c>
      <c r="BU57" s="88">
        <v>384.62038819794748</v>
      </c>
      <c r="BV57" s="88">
        <v>384.31540771361261</v>
      </c>
      <c r="BW57" s="88">
        <v>810.00000000000068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0</v>
      </c>
      <c r="CE57" s="88">
        <v>0</v>
      </c>
      <c r="CF57" s="88">
        <v>0</v>
      </c>
      <c r="CG57" s="88">
        <v>0</v>
      </c>
      <c r="CH57" s="88">
        <v>0</v>
      </c>
      <c r="CI57" s="88">
        <v>40500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387.68177705511488</v>
      </c>
      <c r="CV57" s="88">
        <v>387.38207547169333</v>
      </c>
      <c r="CW57" s="88">
        <v>387.08283690543237</v>
      </c>
      <c r="CX57" s="88">
        <v>386.77394034536883</v>
      </c>
      <c r="CY57" s="88">
        <v>386.46553639821468</v>
      </c>
      <c r="CZ57" s="88">
        <v>386.15762388652388</v>
      </c>
      <c r="DA57" s="88">
        <v>385.85020163658231</v>
      </c>
      <c r="DB57" s="88">
        <v>385.53824085545568</v>
      </c>
      <c r="DC57" s="88">
        <v>385.23180361191748</v>
      </c>
      <c r="DD57" s="88">
        <v>384.9258531123495</v>
      </c>
      <c r="DE57" s="88">
        <v>384.62038819794748</v>
      </c>
      <c r="DF57" s="88">
        <v>384.31540771361261</v>
      </c>
      <c r="DG57" s="93">
        <v>46235</v>
      </c>
      <c r="DH57" s="91">
        <v>0.02</v>
      </c>
      <c r="DI57" t="s">
        <v>300</v>
      </c>
      <c r="DJ57" s="93"/>
      <c r="DK57" s="91"/>
      <c r="DM57" s="93"/>
      <c r="DN57" s="91"/>
      <c r="DP57" s="93"/>
      <c r="DQ57" s="91"/>
    </row>
    <row r="58" spans="1:121" x14ac:dyDescent="0.3">
      <c r="A58" t="s">
        <v>22</v>
      </c>
      <c r="B58" t="s">
        <v>47</v>
      </c>
      <c r="C58" t="s">
        <v>86</v>
      </c>
      <c r="D58" t="s">
        <v>413</v>
      </c>
      <c r="E58" t="s">
        <v>414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99000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-935.03771461101553</v>
      </c>
      <c r="BL58" s="88">
        <v>-935.75201988812398</v>
      </c>
      <c r="BM58" s="88">
        <v>-936.4674173609942</v>
      </c>
      <c r="BN58" s="88">
        <v>-937.20821661997309</v>
      </c>
      <c r="BO58" s="88">
        <v>-937.95018883596651</v>
      </c>
      <c r="BP58" s="88">
        <v>-938.69333679698218</v>
      </c>
      <c r="BQ58" s="88">
        <v>-939.4376632999199</v>
      </c>
      <c r="BR58" s="88">
        <v>-940.19540244839891</v>
      </c>
      <c r="BS58" s="88">
        <v>-940.94211389734335</v>
      </c>
      <c r="BT58" s="88">
        <v>-941.69001237866519</v>
      </c>
      <c r="BU58" s="88">
        <v>-942.4391007250515</v>
      </c>
      <c r="BV58" s="88">
        <v>-943.18938177832308</v>
      </c>
      <c r="BW58" s="88">
        <v>0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99000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-935.03771461101553</v>
      </c>
      <c r="CV58" s="88">
        <v>-935.75201988812398</v>
      </c>
      <c r="CW58" s="88">
        <v>-936.4674173609942</v>
      </c>
      <c r="CX58" s="88">
        <v>-937.20821661997309</v>
      </c>
      <c r="CY58" s="88">
        <v>-937.95018883596651</v>
      </c>
      <c r="CZ58" s="88">
        <v>-938.69333679698218</v>
      </c>
      <c r="DA58" s="88">
        <v>-939.4376632999199</v>
      </c>
      <c r="DB58" s="88">
        <v>-940.19540244839891</v>
      </c>
      <c r="DC58" s="88">
        <v>-940.94211389734335</v>
      </c>
      <c r="DD58" s="88">
        <v>-941.69001237866519</v>
      </c>
      <c r="DE58" s="88">
        <v>-942.4391007250515</v>
      </c>
      <c r="DF58" s="88">
        <v>-943.18938177832308</v>
      </c>
      <c r="DG58" s="93"/>
      <c r="DH58" s="91"/>
      <c r="DJ58" s="93"/>
      <c r="DK58" s="91"/>
      <c r="DM58" s="93"/>
      <c r="DN58" s="91"/>
      <c r="DP58" s="93"/>
      <c r="DQ58" s="91"/>
    </row>
    <row r="59" spans="1:121" x14ac:dyDescent="0.3">
      <c r="A59" t="s">
        <v>22</v>
      </c>
      <c r="B59" t="s">
        <v>47</v>
      </c>
      <c r="C59" t="s">
        <v>88</v>
      </c>
      <c r="D59" t="s">
        <v>415</v>
      </c>
      <c r="E59" t="s">
        <v>416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81000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3641.8322366486482</v>
      </c>
      <c r="BL59" s="88">
        <v>3641.677378899522</v>
      </c>
      <c r="BM59" s="88">
        <v>3641.5226404622758</v>
      </c>
      <c r="BN59" s="88">
        <v>3641.3627819548769</v>
      </c>
      <c r="BO59" s="88">
        <v>3641.2030506860128</v>
      </c>
      <c r="BP59" s="88">
        <v>3641.043446503797</v>
      </c>
      <c r="BQ59" s="88">
        <v>3640.8839692566439</v>
      </c>
      <c r="BR59" s="88">
        <v>7026.3508878477414</v>
      </c>
      <c r="BS59" s="88">
        <v>7026.18529722127</v>
      </c>
      <c r="BT59" s="88">
        <v>3640.403690512625</v>
      </c>
      <c r="BU59" s="88">
        <v>3640.24472156413</v>
      </c>
      <c r="BV59" s="88">
        <v>3640.0858787937941</v>
      </c>
      <c r="BW59" s="88">
        <v>3240.0000000000032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6609.6000000000085</v>
      </c>
      <c r="CE59" s="88">
        <v>6609.6000000000085</v>
      </c>
      <c r="CF59" s="88">
        <v>3240.0000000000032</v>
      </c>
      <c r="CG59" s="88">
        <v>3240.0000000000032</v>
      </c>
      <c r="CH59" s="88">
        <v>3240.0000000000032</v>
      </c>
      <c r="CI59" s="88">
        <v>81000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386.37715062369841</v>
      </c>
      <c r="CV59" s="88">
        <v>386.22824894184578</v>
      </c>
      <c r="CW59" s="88">
        <v>386.07946198295241</v>
      </c>
      <c r="CX59" s="88">
        <v>385.92575187969481</v>
      </c>
      <c r="CY59" s="88">
        <v>385.77216412115962</v>
      </c>
      <c r="CZ59" s="88">
        <v>385.61869856133939</v>
      </c>
      <c r="DA59" s="88">
        <v>385.4653550544611</v>
      </c>
      <c r="DB59" s="88">
        <v>385.30962264028079</v>
      </c>
      <c r="DC59" s="88">
        <v>385.1565247977573</v>
      </c>
      <c r="DD59" s="88">
        <v>385.00354856983017</v>
      </c>
      <c r="DE59" s="88">
        <v>384.85069381166142</v>
      </c>
      <c r="DF59" s="88">
        <v>384.69796037864643</v>
      </c>
      <c r="DG59" s="93">
        <v>46296</v>
      </c>
      <c r="DH59" s="91">
        <v>0.04</v>
      </c>
      <c r="DI59" t="s">
        <v>300</v>
      </c>
      <c r="DJ59" s="93">
        <v>46600</v>
      </c>
      <c r="DK59" s="91">
        <v>0.04</v>
      </c>
      <c r="DL59" t="s">
        <v>301</v>
      </c>
      <c r="DM59" s="93"/>
      <c r="DN59" s="91"/>
      <c r="DP59" s="93"/>
      <c r="DQ59" s="91"/>
    </row>
    <row r="60" spans="1:121" x14ac:dyDescent="0.3">
      <c r="A60" t="s">
        <v>22</v>
      </c>
      <c r="B60" t="s">
        <v>47</v>
      </c>
      <c r="C60" t="s">
        <v>90</v>
      </c>
      <c r="D60" t="s">
        <v>417</v>
      </c>
      <c r="E60" t="s">
        <v>418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63000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4425.0376257492189</v>
      </c>
      <c r="BL60" s="88">
        <v>4423.0544131603983</v>
      </c>
      <c r="BM60" s="88">
        <v>4421.0773604274718</v>
      </c>
      <c r="BN60" s="88">
        <v>4419.0397350993417</v>
      </c>
      <c r="BO60" s="88">
        <v>4417.0086322252328</v>
      </c>
      <c r="BP60" s="88">
        <v>4414.9840205375376</v>
      </c>
      <c r="BQ60" s="88">
        <v>4412.9658689682292</v>
      </c>
      <c r="BR60" s="88">
        <v>4410.9212209833686</v>
      </c>
      <c r="BS60" s="88">
        <v>4408.9160018770663</v>
      </c>
      <c r="BT60" s="88">
        <v>4406.9171503682928</v>
      </c>
      <c r="BU60" s="88">
        <v>1195.1663201663159</v>
      </c>
      <c r="BV60" s="88">
        <v>1193.2746944812029</v>
      </c>
      <c r="BW60" s="88">
        <v>3150.0000000000032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0</v>
      </c>
      <c r="CH60" s="88">
        <v>0</v>
      </c>
      <c r="CI60" s="88">
        <v>63000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1214.3215483325839</v>
      </c>
      <c r="CV60" s="88">
        <v>1212.4327744384741</v>
      </c>
      <c r="CW60" s="88">
        <v>1210.5498670737809</v>
      </c>
      <c r="CX60" s="88">
        <v>1208.609271523183</v>
      </c>
      <c r="CY60" s="88">
        <v>1206.674887833545</v>
      </c>
      <c r="CZ60" s="88">
        <v>1204.746686226229</v>
      </c>
      <c r="DA60" s="88">
        <v>1202.824637112594</v>
      </c>
      <c r="DB60" s="88">
        <v>1200.877353317494</v>
      </c>
      <c r="DC60" s="88">
        <v>1198.967620835296</v>
      </c>
      <c r="DD60" s="88">
        <v>1197.0639527317101</v>
      </c>
      <c r="DE60" s="88">
        <v>1195.1663201663159</v>
      </c>
      <c r="DF60" s="88">
        <v>1193.2746944812029</v>
      </c>
      <c r="DG60" s="93">
        <v>46327</v>
      </c>
      <c r="DH60" s="91">
        <v>0.05</v>
      </c>
      <c r="DI60" t="s">
        <v>300</v>
      </c>
      <c r="DJ60" s="93"/>
      <c r="DK60" s="91"/>
      <c r="DM60" s="93"/>
      <c r="DN60" s="91"/>
      <c r="DP60" s="93"/>
      <c r="DQ60" s="91"/>
    </row>
    <row r="61" spans="1:121" x14ac:dyDescent="0.3">
      <c r="A61" t="s">
        <v>22</v>
      </c>
      <c r="B61" t="s">
        <v>47</v>
      </c>
      <c r="C61" t="s">
        <v>91</v>
      </c>
      <c r="D61" t="s">
        <v>419</v>
      </c>
      <c r="E61" t="s">
        <v>420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45000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45000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93"/>
      <c r="DH61" s="91"/>
      <c r="DJ61" s="93"/>
      <c r="DK61" s="91"/>
      <c r="DM61" s="93"/>
      <c r="DN61" s="91"/>
      <c r="DP61" s="93"/>
      <c r="DQ61" s="91"/>
    </row>
    <row r="62" spans="1:121" x14ac:dyDescent="0.3">
      <c r="A62" t="s">
        <v>22</v>
      </c>
      <c r="B62" t="s">
        <v>47</v>
      </c>
      <c r="C62" t="s">
        <v>93</v>
      </c>
      <c r="D62" t="s">
        <v>421</v>
      </c>
      <c r="E62" t="s">
        <v>422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103500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1491.148433953688</v>
      </c>
      <c r="BL62" s="88">
        <v>1489.414130263378</v>
      </c>
      <c r="BM62" s="88">
        <v>1487.6838561049151</v>
      </c>
      <c r="BN62" s="88">
        <v>1485.899150409065</v>
      </c>
      <c r="BO62" s="88">
        <v>1484.118721640579</v>
      </c>
      <c r="BP62" s="88">
        <v>1482.342554443786</v>
      </c>
      <c r="BQ62" s="88">
        <v>1480.570633536486</v>
      </c>
      <c r="BR62" s="88">
        <v>1478.7740003523129</v>
      </c>
      <c r="BS62" s="88">
        <v>1477.0105954568569</v>
      </c>
      <c r="BT62" s="88">
        <v>1475.2513911939809</v>
      </c>
      <c r="BU62" s="88">
        <v>1473.496372571951</v>
      </c>
      <c r="BV62" s="88">
        <v>1471.7455246703189</v>
      </c>
      <c r="BW62" s="88">
        <v>0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103500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1491.148433953688</v>
      </c>
      <c r="CV62" s="88">
        <v>1489.414130263378</v>
      </c>
      <c r="CW62" s="88">
        <v>1487.6838561049151</v>
      </c>
      <c r="CX62" s="88">
        <v>1485.899150409065</v>
      </c>
      <c r="CY62" s="88">
        <v>1484.118721640579</v>
      </c>
      <c r="CZ62" s="88">
        <v>1482.342554443786</v>
      </c>
      <c r="DA62" s="88">
        <v>1480.570633536486</v>
      </c>
      <c r="DB62" s="88">
        <v>1478.7740003523129</v>
      </c>
      <c r="DC62" s="88">
        <v>1477.0105954568569</v>
      </c>
      <c r="DD62" s="88">
        <v>1475.2513911939809</v>
      </c>
      <c r="DE62" s="88">
        <v>1473.496372571951</v>
      </c>
      <c r="DF62" s="88">
        <v>1471.7455246703189</v>
      </c>
      <c r="DG62" s="93">
        <v>46023</v>
      </c>
      <c r="DH62" s="91">
        <v>0.02</v>
      </c>
      <c r="DI62" t="s">
        <v>300</v>
      </c>
      <c r="DJ62" s="93"/>
      <c r="DK62" s="91"/>
      <c r="DM62" s="93"/>
      <c r="DN62" s="91"/>
      <c r="DP62" s="93"/>
      <c r="DQ62" s="91"/>
    </row>
    <row r="63" spans="1:121" x14ac:dyDescent="0.3">
      <c r="A63" t="s">
        <v>22</v>
      </c>
      <c r="B63" t="s">
        <v>47</v>
      </c>
      <c r="C63" t="s">
        <v>94</v>
      </c>
      <c r="D63" t="s">
        <v>423</v>
      </c>
      <c r="E63" t="s">
        <v>424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85500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2147.730565273544</v>
      </c>
      <c r="BL63" s="88">
        <v>2998.5179990649899</v>
      </c>
      <c r="BM63" s="88">
        <v>2998.356468700681</v>
      </c>
      <c r="BN63" s="88">
        <v>2998.1893325015649</v>
      </c>
      <c r="BO63" s="88">
        <v>2998.0220637469479</v>
      </c>
      <c r="BP63" s="88">
        <v>2997.8546622790468</v>
      </c>
      <c r="BQ63" s="88">
        <v>2997.6871279398911</v>
      </c>
      <c r="BR63" s="88">
        <v>2997.5167108166479</v>
      </c>
      <c r="BS63" s="88">
        <v>2997.3489080751692</v>
      </c>
      <c r="BT63" s="88">
        <v>2997.1809719842831</v>
      </c>
      <c r="BU63" s="88">
        <v>2997.0129023849909</v>
      </c>
      <c r="BV63" s="88">
        <v>2996.8446991179921</v>
      </c>
      <c r="BW63" s="88">
        <v>2565.0000000000018</v>
      </c>
      <c r="BX63" s="88">
        <v>3420.0000000000032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85500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-405.1159560450987</v>
      </c>
      <c r="CV63" s="88">
        <v>-405.27115474520713</v>
      </c>
      <c r="CW63" s="88">
        <v>-405.42647240319951</v>
      </c>
      <c r="CX63" s="88">
        <v>-405.58718028696109</v>
      </c>
      <c r="CY63" s="88">
        <v>-405.74801562794659</v>
      </c>
      <c r="CZ63" s="88">
        <v>-405.908978577835</v>
      </c>
      <c r="DA63" s="88">
        <v>-406.07006928857118</v>
      </c>
      <c r="DB63" s="88">
        <v>-406.23393190707827</v>
      </c>
      <c r="DC63" s="88">
        <v>-406.39528069696422</v>
      </c>
      <c r="DD63" s="88">
        <v>-406.55675770741522</v>
      </c>
      <c r="DE63" s="88">
        <v>-406.71836309135398</v>
      </c>
      <c r="DF63" s="88">
        <v>-406.88009700193118</v>
      </c>
      <c r="DG63" s="93">
        <v>46054</v>
      </c>
      <c r="DH63" s="91">
        <v>0.03</v>
      </c>
      <c r="DI63" t="s">
        <v>300</v>
      </c>
      <c r="DJ63" s="93">
        <v>46419</v>
      </c>
      <c r="DK63" s="91">
        <v>0.04</v>
      </c>
      <c r="DL63" t="s">
        <v>301</v>
      </c>
      <c r="DM63" s="93"/>
      <c r="DN63" s="91"/>
      <c r="DP63" s="93"/>
      <c r="DQ63" s="91"/>
    </row>
    <row r="64" spans="1:121" x14ac:dyDescent="0.3">
      <c r="A64" t="s">
        <v>22</v>
      </c>
      <c r="B64" t="s">
        <v>47</v>
      </c>
      <c r="C64" t="s">
        <v>95</v>
      </c>
      <c r="D64" t="s">
        <v>425</v>
      </c>
      <c r="E64" t="s">
        <v>426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67500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646.13629509185807</v>
      </c>
      <c r="BL64" s="88">
        <v>645.63679245282219</v>
      </c>
      <c r="BM64" s="88">
        <v>645.13806150905407</v>
      </c>
      <c r="BN64" s="88">
        <v>644.62323390894801</v>
      </c>
      <c r="BO64" s="88">
        <v>644.10922733035784</v>
      </c>
      <c r="BP64" s="88">
        <v>643.59603981087309</v>
      </c>
      <c r="BQ64" s="88">
        <v>643.08366939430368</v>
      </c>
      <c r="BR64" s="88">
        <v>642.56373475909288</v>
      </c>
      <c r="BS64" s="88">
        <v>642.05300601986255</v>
      </c>
      <c r="BT64" s="88">
        <v>641.5430885205825</v>
      </c>
      <c r="BU64" s="88">
        <v>641.03398032991254</v>
      </c>
      <c r="BV64" s="88">
        <v>640.52567952268771</v>
      </c>
      <c r="BW64" s="88">
        <v>0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67500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646.13629509185807</v>
      </c>
      <c r="CV64" s="88">
        <v>645.63679245282219</v>
      </c>
      <c r="CW64" s="88">
        <v>645.13806150905407</v>
      </c>
      <c r="CX64" s="88">
        <v>644.62323390894801</v>
      </c>
      <c r="CY64" s="88">
        <v>644.10922733035784</v>
      </c>
      <c r="CZ64" s="88">
        <v>643.59603981087309</v>
      </c>
      <c r="DA64" s="88">
        <v>643.08366939430368</v>
      </c>
      <c r="DB64" s="88">
        <v>642.56373475909288</v>
      </c>
      <c r="DC64" s="88">
        <v>642.05300601986255</v>
      </c>
      <c r="DD64" s="88">
        <v>641.5430885205825</v>
      </c>
      <c r="DE64" s="88">
        <v>641.03398032991254</v>
      </c>
      <c r="DF64" s="88">
        <v>640.52567952268771</v>
      </c>
      <c r="DG64" s="93"/>
      <c r="DH64" s="91"/>
      <c r="DJ64" s="93"/>
      <c r="DK64" s="91"/>
      <c r="DM64" s="93"/>
      <c r="DN64" s="91"/>
      <c r="DP64" s="93"/>
      <c r="DQ64" s="91"/>
    </row>
    <row r="65" spans="1:121" x14ac:dyDescent="0.3">
      <c r="A65" t="s">
        <v>24</v>
      </c>
      <c r="B65" t="s">
        <v>42</v>
      </c>
      <c r="C65" t="s">
        <v>43</v>
      </c>
      <c r="D65" t="s">
        <v>298</v>
      </c>
      <c r="E65" t="s">
        <v>427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28000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2523.4991370248831</v>
      </c>
      <c r="BL65" s="88">
        <v>2521.5661090683111</v>
      </c>
      <c r="BM65" s="88">
        <v>2519.641920607653</v>
      </c>
      <c r="BN65" s="88">
        <v>4043.544821898035</v>
      </c>
      <c r="BO65" s="88">
        <v>4041.4754111006841</v>
      </c>
      <c r="BP65" s="88">
        <v>4039.415715348503</v>
      </c>
      <c r="BQ65" s="88">
        <v>2223.9298739522678</v>
      </c>
      <c r="BR65" s="88">
        <v>2221.9734204848728</v>
      </c>
      <c r="BS65" s="88">
        <v>2220.0575693506889</v>
      </c>
      <c r="BT65" s="88">
        <v>2218.1506283594049</v>
      </c>
      <c r="BU65" s="88">
        <v>2216.2525354969662</v>
      </c>
      <c r="BV65" s="88">
        <v>2214.3632293234541</v>
      </c>
      <c r="BW65" s="88">
        <v>1680.000000000002</v>
      </c>
      <c r="BX65" s="88">
        <v>1680.000000000002</v>
      </c>
      <c r="BY65" s="88">
        <v>1680.000000000002</v>
      </c>
      <c r="BZ65" s="88">
        <v>3164</v>
      </c>
      <c r="CA65" s="88">
        <v>3164</v>
      </c>
      <c r="CB65" s="88">
        <v>3164</v>
      </c>
      <c r="CC65" s="88">
        <v>1400.0000000000009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28000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795.75390285366063</v>
      </c>
      <c r="CV65" s="88">
        <v>793.93029157387923</v>
      </c>
      <c r="CW65" s="88">
        <v>792.11501944118106</v>
      </c>
      <c r="CX65" s="88">
        <v>790.2469199443276</v>
      </c>
      <c r="CY65" s="88">
        <v>788.38761105182618</v>
      </c>
      <c r="CZ65" s="88">
        <v>786.53703086119003</v>
      </c>
      <c r="DA65" s="88">
        <v>784.6951180497781</v>
      </c>
      <c r="DB65" s="88">
        <v>782.83182903320812</v>
      </c>
      <c r="DC65" s="88">
        <v>781.00720890541629</v>
      </c>
      <c r="DD65" s="88">
        <v>779.1910746280015</v>
      </c>
      <c r="DE65" s="88">
        <v>777.383367139965</v>
      </c>
      <c r="DF65" s="88">
        <v>775.58402792709649</v>
      </c>
      <c r="DG65" s="93">
        <v>45839</v>
      </c>
      <c r="DH65" s="91">
        <v>0.04</v>
      </c>
      <c r="DI65" t="s">
        <v>300</v>
      </c>
      <c r="DJ65" s="93">
        <v>46204</v>
      </c>
      <c r="DK65" s="91">
        <v>0.06</v>
      </c>
      <c r="DL65" t="s">
        <v>300</v>
      </c>
      <c r="DM65" s="93">
        <v>46478</v>
      </c>
      <c r="DN65" s="91">
        <v>0.05</v>
      </c>
      <c r="DO65" t="s">
        <v>301</v>
      </c>
      <c r="DP65" s="93"/>
      <c r="DQ65" s="91"/>
    </row>
    <row r="66" spans="1:121" x14ac:dyDescent="0.3">
      <c r="A66" t="s">
        <v>24</v>
      </c>
      <c r="B66" t="s">
        <v>42</v>
      </c>
      <c r="C66" t="s">
        <v>46</v>
      </c>
      <c r="D66" t="s">
        <v>302</v>
      </c>
      <c r="E66" t="s">
        <v>428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73500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2527.5870754215962</v>
      </c>
      <c r="BL66" s="88">
        <v>3265.6068527681782</v>
      </c>
      <c r="BM66" s="88">
        <v>3265.4947939452368</v>
      </c>
      <c r="BN66" s="88">
        <v>3265.3790175864169</v>
      </c>
      <c r="BO66" s="88">
        <v>3265.2633235601061</v>
      </c>
      <c r="BP66" s="88">
        <v>3265.147711778483</v>
      </c>
      <c r="BQ66" s="88">
        <v>3265.0321821539092</v>
      </c>
      <c r="BR66" s="88">
        <v>3264.914842699171</v>
      </c>
      <c r="BS66" s="88">
        <v>3264.7994784694069</v>
      </c>
      <c r="BT66" s="88">
        <v>3264.6841961329728</v>
      </c>
      <c r="BU66" s="88">
        <v>3264.5689956027181</v>
      </c>
      <c r="BV66" s="88">
        <v>3264.4538767915728</v>
      </c>
      <c r="BW66" s="88">
        <v>2205.0000000000018</v>
      </c>
      <c r="BX66" s="88">
        <v>2940.0000000000032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73500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313.19133536076612</v>
      </c>
      <c r="CV66" s="88">
        <v>313.08351227709448</v>
      </c>
      <c r="CW66" s="88">
        <v>312.97576340887753</v>
      </c>
      <c r="CX66" s="88">
        <v>312.86443998693738</v>
      </c>
      <c r="CY66" s="88">
        <v>312.75319573086551</v>
      </c>
      <c r="CZ66" s="88">
        <v>312.64203055623688</v>
      </c>
      <c r="DA66" s="88">
        <v>312.53094437875762</v>
      </c>
      <c r="DB66" s="88">
        <v>312.41811797997389</v>
      </c>
      <c r="DC66" s="88">
        <v>312.30719083597018</v>
      </c>
      <c r="DD66" s="88">
        <v>312.19634243554759</v>
      </c>
      <c r="DE66" s="88">
        <v>312.08557269491757</v>
      </c>
      <c r="DF66" s="88">
        <v>311.97488153035738</v>
      </c>
      <c r="DG66" s="93">
        <v>46054</v>
      </c>
      <c r="DH66" s="91">
        <v>0.03</v>
      </c>
      <c r="DI66" t="s">
        <v>300</v>
      </c>
      <c r="DJ66" s="93">
        <v>46419</v>
      </c>
      <c r="DK66" s="91">
        <v>0.04</v>
      </c>
      <c r="DL66" t="s">
        <v>301</v>
      </c>
      <c r="DM66" s="93"/>
      <c r="DN66" s="91"/>
      <c r="DP66" s="93"/>
      <c r="DQ66" s="91"/>
    </row>
    <row r="67" spans="1:121" x14ac:dyDescent="0.3">
      <c r="A67" t="s">
        <v>24</v>
      </c>
      <c r="B67" t="s">
        <v>42</v>
      </c>
      <c r="C67" t="s">
        <v>48</v>
      </c>
      <c r="D67" t="s">
        <v>304</v>
      </c>
      <c r="E67" t="s">
        <v>429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59500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1023.372523148701</v>
      </c>
      <c r="BL67" s="88">
        <v>1021.951908145502</v>
      </c>
      <c r="BM67" s="88">
        <v>1020.5352317849751</v>
      </c>
      <c r="BN67" s="88">
        <v>1019.074656280798</v>
      </c>
      <c r="BO67" s="88">
        <v>1017.618255511563</v>
      </c>
      <c r="BP67" s="88">
        <v>1016.166011603976</v>
      </c>
      <c r="BQ67" s="88">
        <v>1014.717906786594</v>
      </c>
      <c r="BR67" s="88">
        <v>1013.250285767611</v>
      </c>
      <c r="BS67" s="88">
        <v>1011.8104733507359</v>
      </c>
      <c r="BT67" s="88">
        <v>1010.374747028301</v>
      </c>
      <c r="BU67" s="88">
        <v>1008.943089430894</v>
      </c>
      <c r="BV67" s="88">
        <v>1007.515483287328</v>
      </c>
      <c r="BW67" s="88">
        <v>0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59500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1023.372523148701</v>
      </c>
      <c r="CV67" s="88">
        <v>1021.951908145502</v>
      </c>
      <c r="CW67" s="88">
        <v>1020.5352317849751</v>
      </c>
      <c r="CX67" s="88">
        <v>1019.074656280798</v>
      </c>
      <c r="CY67" s="88">
        <v>1017.618255511563</v>
      </c>
      <c r="CZ67" s="88">
        <v>1016.166011603976</v>
      </c>
      <c r="DA67" s="88">
        <v>1014.717906786594</v>
      </c>
      <c r="DB67" s="88">
        <v>1013.250285767611</v>
      </c>
      <c r="DC67" s="88">
        <v>1011.8104733507359</v>
      </c>
      <c r="DD67" s="88">
        <v>1010.374747028301</v>
      </c>
      <c r="DE67" s="88">
        <v>1008.943089430894</v>
      </c>
      <c r="DF67" s="88">
        <v>1007.515483287328</v>
      </c>
      <c r="DG67" s="93"/>
      <c r="DH67" s="91"/>
      <c r="DJ67" s="93"/>
      <c r="DK67" s="91"/>
      <c r="DM67" s="93"/>
      <c r="DN67" s="91"/>
      <c r="DP67" s="93"/>
      <c r="DQ67" s="91"/>
    </row>
    <row r="68" spans="1:121" x14ac:dyDescent="0.3">
      <c r="A68" t="s">
        <v>24</v>
      </c>
      <c r="B68" t="s">
        <v>42</v>
      </c>
      <c r="C68" t="s">
        <v>50</v>
      </c>
      <c r="D68" t="s">
        <v>306</v>
      </c>
      <c r="E68" t="s">
        <v>430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45500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2275.0000000000018</v>
      </c>
      <c r="BL68" s="88">
        <v>2275.0000000000018</v>
      </c>
      <c r="BM68" s="88">
        <v>2275.0000000000018</v>
      </c>
      <c r="BN68" s="88">
        <v>0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2275.0000000000018</v>
      </c>
      <c r="BX68" s="88">
        <v>2275.0000000000018</v>
      </c>
      <c r="BY68" s="88">
        <v>2275.0000000000018</v>
      </c>
      <c r="BZ68" s="88">
        <v>0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93">
        <v>46113</v>
      </c>
      <c r="DH68" s="91">
        <v>0.05</v>
      </c>
      <c r="DI68" t="s">
        <v>300</v>
      </c>
      <c r="DJ68" s="93"/>
      <c r="DK68" s="91"/>
      <c r="DM68" s="93"/>
      <c r="DN68" s="91"/>
      <c r="DP68" s="93"/>
      <c r="DQ68" s="91"/>
    </row>
    <row r="69" spans="1:121" x14ac:dyDescent="0.3">
      <c r="A69" t="s">
        <v>24</v>
      </c>
      <c r="B69" t="s">
        <v>42</v>
      </c>
      <c r="C69" t="s">
        <v>57</v>
      </c>
      <c r="D69" t="s">
        <v>308</v>
      </c>
      <c r="E69" t="s">
        <v>431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31500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2319.416808094571</v>
      </c>
      <c r="BL69" s="88">
        <v>2318.9709264126191</v>
      </c>
      <c r="BM69" s="88">
        <v>2318.5259697259212</v>
      </c>
      <c r="BN69" s="88">
        <v>2318.0668992647429</v>
      </c>
      <c r="BO69" s="88">
        <v>403.40453899547941</v>
      </c>
      <c r="BP69" s="88">
        <v>402.97330451544832</v>
      </c>
      <c r="BQ69" s="88">
        <v>402.54299101959032</v>
      </c>
      <c r="BR69" s="88">
        <v>402.10656392261581</v>
      </c>
      <c r="BS69" s="88">
        <v>401.67809854316459</v>
      </c>
      <c r="BT69" s="88">
        <v>401.25054529591421</v>
      </c>
      <c r="BU69" s="88">
        <v>400.82390127129003</v>
      </c>
      <c r="BV69" s="88">
        <v>400.39816357209747</v>
      </c>
      <c r="BW69" s="88">
        <v>1890.000000000002</v>
      </c>
      <c r="BX69" s="88">
        <v>1890.000000000002</v>
      </c>
      <c r="BY69" s="88">
        <v>1890.000000000002</v>
      </c>
      <c r="BZ69" s="88">
        <v>1890.000000000002</v>
      </c>
      <c r="CA69" s="88">
        <v>0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31500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405.11019631562891</v>
      </c>
      <c r="CV69" s="88">
        <v>404.68955321945282</v>
      </c>
      <c r="CW69" s="88">
        <v>404.26978276030331</v>
      </c>
      <c r="CX69" s="88">
        <v>403.83669741956862</v>
      </c>
      <c r="CY69" s="88">
        <v>403.40453899547941</v>
      </c>
      <c r="CZ69" s="88">
        <v>402.97330451544832</v>
      </c>
      <c r="DA69" s="88">
        <v>402.54299101959032</v>
      </c>
      <c r="DB69" s="88">
        <v>402.10656392261581</v>
      </c>
      <c r="DC69" s="88">
        <v>401.67809854316459</v>
      </c>
      <c r="DD69" s="88">
        <v>401.25054529591421</v>
      </c>
      <c r="DE69" s="88">
        <v>400.82390127129003</v>
      </c>
      <c r="DF69" s="88">
        <v>400.39816357209747</v>
      </c>
      <c r="DG69" s="93">
        <v>46143</v>
      </c>
      <c r="DH69" s="91">
        <v>0.06</v>
      </c>
      <c r="DI69" t="s">
        <v>300</v>
      </c>
      <c r="DJ69" s="93"/>
      <c r="DK69" s="91"/>
      <c r="DM69" s="93"/>
      <c r="DN69" s="91"/>
      <c r="DP69" s="93"/>
      <c r="DQ69" s="91"/>
    </row>
    <row r="70" spans="1:121" x14ac:dyDescent="0.3">
      <c r="A70" t="s">
        <v>24</v>
      </c>
      <c r="B70" t="s">
        <v>42</v>
      </c>
      <c r="C70" t="s">
        <v>58</v>
      </c>
      <c r="D70" t="s">
        <v>310</v>
      </c>
      <c r="E70" t="s">
        <v>432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77000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3972.0235908897948</v>
      </c>
      <c r="BL70" s="88">
        <v>3874.124305141534</v>
      </c>
      <c r="BM70" s="88">
        <v>3776.3943481492179</v>
      </c>
      <c r="BN70" s="88">
        <v>3675.5290805346508</v>
      </c>
      <c r="BO70" s="88">
        <v>3574.843863584369</v>
      </c>
      <c r="BP70" s="88">
        <v>3089.2935351685728</v>
      </c>
      <c r="BQ70" s="88">
        <v>2989.4470076290072</v>
      </c>
      <c r="BR70" s="88">
        <v>2888.14580024308</v>
      </c>
      <c r="BS70" s="88">
        <v>2788.657213142636</v>
      </c>
      <c r="BT70" s="88">
        <v>2739.7318991158631</v>
      </c>
      <c r="BU70" s="88">
        <v>2739.61103994411</v>
      </c>
      <c r="BV70" s="88">
        <v>2739.4900948864029</v>
      </c>
      <c r="BW70" s="88">
        <v>3464.999999999995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3080.0000000000032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77000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485.1900391289916</v>
      </c>
      <c r="CV70" s="88">
        <v>391.50651209716523</v>
      </c>
      <c r="CW70" s="88">
        <v>297.98502215236681</v>
      </c>
      <c r="CX70" s="88">
        <v>201.4632349614001</v>
      </c>
      <c r="CY70" s="88">
        <v>105.1137450568127</v>
      </c>
      <c r="CZ70" s="88">
        <v>8.9360915082332681</v>
      </c>
      <c r="DA70" s="88">
        <v>-87.070184972107839</v>
      </c>
      <c r="DB70" s="88">
        <v>-184.47519207396019</v>
      </c>
      <c r="DC70" s="88">
        <v>-280.13729505516108</v>
      </c>
      <c r="DD70" s="88">
        <v>-327.18086623475779</v>
      </c>
      <c r="DE70" s="88">
        <v>-327.29707697681351</v>
      </c>
      <c r="DF70" s="88">
        <v>-327.41337030153852</v>
      </c>
      <c r="DG70" s="93">
        <v>46174</v>
      </c>
      <c r="DH70" s="91">
        <v>4.4999999999999998E-2</v>
      </c>
      <c r="DI70" t="s">
        <v>300</v>
      </c>
      <c r="DJ70" s="93">
        <v>46539</v>
      </c>
      <c r="DK70" s="91">
        <v>0.04</v>
      </c>
      <c r="DL70" t="s">
        <v>301</v>
      </c>
      <c r="DM70" s="93"/>
      <c r="DN70" s="91"/>
      <c r="DP70" s="93"/>
      <c r="DQ70" s="91"/>
    </row>
    <row r="71" spans="1:121" x14ac:dyDescent="0.3">
      <c r="A71" t="s">
        <v>24</v>
      </c>
      <c r="B71" t="s">
        <v>42</v>
      </c>
      <c r="C71" t="s">
        <v>65</v>
      </c>
      <c r="D71" t="s">
        <v>312</v>
      </c>
      <c r="E71" t="s">
        <v>433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63000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2444.67383285911</v>
      </c>
      <c r="BL71" s="88">
        <v>2444.2908963257701</v>
      </c>
      <c r="BM71" s="88">
        <v>2443.9084881722242</v>
      </c>
      <c r="BN71" s="88">
        <v>2443.5136714185519</v>
      </c>
      <c r="BO71" s="88">
        <v>2443.1194171016232</v>
      </c>
      <c r="BP71" s="88">
        <v>2442.7257240204408</v>
      </c>
      <c r="BQ71" s="88">
        <v>536.24523395870028</v>
      </c>
      <c r="BR71" s="88">
        <v>535.85785027672989</v>
      </c>
      <c r="BS71" s="88">
        <v>535.47726055468627</v>
      </c>
      <c r="BT71" s="88">
        <v>535.09721107194184</v>
      </c>
      <c r="BU71" s="88">
        <v>534.7177006790082</v>
      </c>
      <c r="BV71" s="88">
        <v>534.33872822968431</v>
      </c>
      <c r="BW71" s="88">
        <v>1890.000000000002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0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63000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538.5182843292273</v>
      </c>
      <c r="CV71" s="88">
        <v>538.14650128715289</v>
      </c>
      <c r="CW71" s="88">
        <v>537.77523123516892</v>
      </c>
      <c r="CX71" s="88">
        <v>537.39191399859897</v>
      </c>
      <c r="CY71" s="88">
        <v>537.00914281710618</v>
      </c>
      <c r="CZ71" s="88">
        <v>536.62691652469528</v>
      </c>
      <c r="DA71" s="88">
        <v>536.24523395870028</v>
      </c>
      <c r="DB71" s="88">
        <v>535.85785027672989</v>
      </c>
      <c r="DC71" s="88">
        <v>535.47726055468627</v>
      </c>
      <c r="DD71" s="88">
        <v>535.09721107194184</v>
      </c>
      <c r="DE71" s="88">
        <v>534.7177006790082</v>
      </c>
      <c r="DF71" s="88">
        <v>534.33872822968431</v>
      </c>
      <c r="DG71" s="93">
        <v>46204</v>
      </c>
      <c r="DH71" s="91">
        <v>0.03</v>
      </c>
      <c r="DI71" t="s">
        <v>300</v>
      </c>
      <c r="DJ71" s="93"/>
      <c r="DK71" s="91"/>
      <c r="DM71" s="93"/>
      <c r="DN71" s="91"/>
      <c r="DP71" s="93"/>
      <c r="DQ71" s="91"/>
    </row>
    <row r="72" spans="1:121" x14ac:dyDescent="0.3">
      <c r="A72" t="s">
        <v>24</v>
      </c>
      <c r="B72" t="s">
        <v>42</v>
      </c>
      <c r="C72" t="s">
        <v>66</v>
      </c>
      <c r="D72" t="s">
        <v>314</v>
      </c>
      <c r="E72" t="s">
        <v>434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49000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1529.589614837269</v>
      </c>
      <c r="BL72" s="88">
        <v>1529.2956050572029</v>
      </c>
      <c r="BM72" s="88">
        <v>1529.0011933312551</v>
      </c>
      <c r="BN72" s="88">
        <v>1528.6963780550091</v>
      </c>
      <c r="BO72" s="88">
        <v>1528.391131324631</v>
      </c>
      <c r="BP72" s="88">
        <v>1528.085452223389</v>
      </c>
      <c r="BQ72" s="88">
        <v>1527.7793398320071</v>
      </c>
      <c r="BR72" s="88">
        <v>-415.8963805271635</v>
      </c>
      <c r="BS72" s="88">
        <v>-416.19156214366461</v>
      </c>
      <c r="BT72" s="88">
        <v>-416.48716306689101</v>
      </c>
      <c r="BU72" s="88">
        <v>-416.78318419089447</v>
      </c>
      <c r="BV72" s="88">
        <v>-417.07962641232251</v>
      </c>
      <c r="BW72" s="88">
        <v>1960.000000000002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0</v>
      </c>
      <c r="CE72" s="88">
        <v>0</v>
      </c>
      <c r="CF72" s="88">
        <v>0</v>
      </c>
      <c r="CG72" s="88">
        <v>0</v>
      </c>
      <c r="CH72" s="88">
        <v>0</v>
      </c>
      <c r="CI72" s="88">
        <v>49000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-413.85613957954968</v>
      </c>
      <c r="CV72" s="88">
        <v>-414.13884129115479</v>
      </c>
      <c r="CW72" s="88">
        <v>-414.42192948917682</v>
      </c>
      <c r="CX72" s="88">
        <v>-414.71502110095742</v>
      </c>
      <c r="CY72" s="88">
        <v>-415.00852757247571</v>
      </c>
      <c r="CZ72" s="88">
        <v>-415.30244978520608</v>
      </c>
      <c r="DA72" s="88">
        <v>-415.59678862307152</v>
      </c>
      <c r="DB72" s="88">
        <v>-415.8963805271635</v>
      </c>
      <c r="DC72" s="88">
        <v>-416.19156214366461</v>
      </c>
      <c r="DD72" s="88">
        <v>-416.48716306689101</v>
      </c>
      <c r="DE72" s="88">
        <v>-416.78318419089447</v>
      </c>
      <c r="DF72" s="88">
        <v>-417.07962641232251</v>
      </c>
      <c r="DG72" s="93">
        <v>46235</v>
      </c>
      <c r="DH72" s="91">
        <v>0.04</v>
      </c>
      <c r="DI72" t="s">
        <v>300</v>
      </c>
      <c r="DJ72" s="93"/>
      <c r="DK72" s="91"/>
      <c r="DM72" s="93"/>
      <c r="DN72" s="91"/>
      <c r="DP72" s="93"/>
      <c r="DQ72" s="91"/>
    </row>
    <row r="73" spans="1:121" x14ac:dyDescent="0.3">
      <c r="A73" t="s">
        <v>24</v>
      </c>
      <c r="B73" t="s">
        <v>42</v>
      </c>
      <c r="C73" t="s">
        <v>67</v>
      </c>
      <c r="D73" t="s">
        <v>316</v>
      </c>
      <c r="E73" t="s">
        <v>435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35000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149.13873112417431</v>
      </c>
      <c r="BL73" s="88">
        <v>149.08738679861639</v>
      </c>
      <c r="BM73" s="88">
        <v>149.03607781375121</v>
      </c>
      <c r="BN73" s="88">
        <v>148.98306666044641</v>
      </c>
      <c r="BO73" s="88">
        <v>148.93009320517399</v>
      </c>
      <c r="BP73" s="88">
        <v>148.87715740773189</v>
      </c>
      <c r="BQ73" s="88">
        <v>148.82425922797981</v>
      </c>
      <c r="BR73" s="88">
        <v>148.7705323714161</v>
      </c>
      <c r="BS73" s="88">
        <v>148.71770992189059</v>
      </c>
      <c r="BT73" s="88">
        <v>148.6649249693084</v>
      </c>
      <c r="BU73" s="88">
        <v>148.61217747377029</v>
      </c>
      <c r="BV73" s="88">
        <v>148.55946739540829</v>
      </c>
      <c r="BW73" s="88">
        <v>0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35000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149.13873112417431</v>
      </c>
      <c r="CV73" s="88">
        <v>149.08738679861639</v>
      </c>
      <c r="CW73" s="88">
        <v>149.03607781375121</v>
      </c>
      <c r="CX73" s="88">
        <v>148.98306666044641</v>
      </c>
      <c r="CY73" s="88">
        <v>148.93009320517399</v>
      </c>
      <c r="CZ73" s="88">
        <v>148.87715740773189</v>
      </c>
      <c r="DA73" s="88">
        <v>148.82425922797981</v>
      </c>
      <c r="DB73" s="88">
        <v>148.7705323714161</v>
      </c>
      <c r="DC73" s="88">
        <v>148.71770992189059</v>
      </c>
      <c r="DD73" s="88">
        <v>148.6649249693084</v>
      </c>
      <c r="DE73" s="88">
        <v>148.61217747377029</v>
      </c>
      <c r="DF73" s="88">
        <v>148.55946739540829</v>
      </c>
      <c r="DG73" s="93"/>
      <c r="DH73" s="91"/>
      <c r="DJ73" s="93"/>
      <c r="DK73" s="91"/>
      <c r="DM73" s="93"/>
      <c r="DN73" s="91"/>
      <c r="DP73" s="93"/>
      <c r="DQ73" s="91"/>
    </row>
    <row r="74" spans="1:121" x14ac:dyDescent="0.3">
      <c r="A74" t="s">
        <v>24</v>
      </c>
      <c r="B74" t="s">
        <v>42</v>
      </c>
      <c r="C74" t="s">
        <v>73</v>
      </c>
      <c r="D74" t="s">
        <v>318</v>
      </c>
      <c r="E74" t="s">
        <v>436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80500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6297.6365949626652</v>
      </c>
      <c r="BL74" s="88">
        <v>6295.5992659169106</v>
      </c>
      <c r="BM74" s="88">
        <v>6293.5675853480998</v>
      </c>
      <c r="BN74" s="88">
        <v>6291.4729482426983</v>
      </c>
      <c r="BO74" s="88">
        <v>6289.3842981983471</v>
      </c>
      <c r="BP74" s="88">
        <v>6287.3016095826506</v>
      </c>
      <c r="BQ74" s="88">
        <v>6285.224856909248</v>
      </c>
      <c r="BR74" s="88">
        <v>6283.1201157067326</v>
      </c>
      <c r="BS74" s="88">
        <v>6281.0552553112366</v>
      </c>
      <c r="BT74" s="88">
        <v>4641.6567028774634</v>
      </c>
      <c r="BU74" s="88">
        <v>4639.6422764227746</v>
      </c>
      <c r="BV74" s="88">
        <v>4637.6335506019404</v>
      </c>
      <c r="BW74" s="88">
        <v>4830.0000000000045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3220.0000000000032</v>
      </c>
      <c r="CG74" s="88">
        <v>3220.0000000000032</v>
      </c>
      <c r="CH74" s="88">
        <v>3220.0000000000032</v>
      </c>
      <c r="CI74" s="88">
        <v>80500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1384.5628254364781</v>
      </c>
      <c r="CV74" s="88">
        <v>1382.6408169027379</v>
      </c>
      <c r="CW74" s="88">
        <v>1380.724137120849</v>
      </c>
      <c r="CX74" s="88">
        <v>1378.7480643799031</v>
      </c>
      <c r="CY74" s="88">
        <v>1376.777639809761</v>
      </c>
      <c r="CZ74" s="88">
        <v>1374.8128392289091</v>
      </c>
      <c r="DA74" s="88">
        <v>1372.853638593627</v>
      </c>
      <c r="DB74" s="88">
        <v>1370.8680336855921</v>
      </c>
      <c r="DC74" s="88">
        <v>1368.9200521804071</v>
      </c>
      <c r="DD74" s="88">
        <v>1366.977598920643</v>
      </c>
      <c r="DE74" s="88">
        <v>1365.040650406504</v>
      </c>
      <c r="DF74" s="88">
        <v>1363.1091832710911</v>
      </c>
      <c r="DG74" s="93">
        <v>46296</v>
      </c>
      <c r="DH74" s="91">
        <v>0.06</v>
      </c>
      <c r="DI74" t="s">
        <v>300</v>
      </c>
      <c r="DJ74" s="93">
        <v>46661</v>
      </c>
      <c r="DK74" s="91">
        <v>0.04</v>
      </c>
      <c r="DL74" t="s">
        <v>301</v>
      </c>
      <c r="DM74" s="93"/>
      <c r="DN74" s="91"/>
      <c r="DP74" s="93"/>
      <c r="DQ74" s="91"/>
    </row>
    <row r="75" spans="1:121" x14ac:dyDescent="0.3">
      <c r="A75" t="s">
        <v>24</v>
      </c>
      <c r="B75" t="s">
        <v>42</v>
      </c>
      <c r="C75" t="s">
        <v>78</v>
      </c>
      <c r="D75" t="s">
        <v>320</v>
      </c>
      <c r="E75" t="s">
        <v>437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66500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1330.0000000000009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0</v>
      </c>
      <c r="BV75" s="88">
        <v>0</v>
      </c>
      <c r="BW75" s="88">
        <v>1330.0000000000009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0</v>
      </c>
      <c r="CH75" s="88">
        <v>0</v>
      </c>
      <c r="CI75" s="88">
        <v>66500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93">
        <v>46327</v>
      </c>
      <c r="DH75" s="91">
        <v>0.02</v>
      </c>
      <c r="DI75" t="s">
        <v>300</v>
      </c>
      <c r="DJ75" s="93"/>
      <c r="DK75" s="91"/>
      <c r="DM75" s="93"/>
      <c r="DN75" s="91"/>
      <c r="DP75" s="93"/>
      <c r="DQ75" s="91"/>
    </row>
    <row r="76" spans="1:121" x14ac:dyDescent="0.3">
      <c r="A76" t="s">
        <v>24</v>
      </c>
      <c r="B76" t="s">
        <v>42</v>
      </c>
      <c r="C76" t="s">
        <v>80</v>
      </c>
      <c r="D76" t="s">
        <v>322</v>
      </c>
      <c r="E76" t="s">
        <v>438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52500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675.18366052604802</v>
      </c>
      <c r="BL76" s="88">
        <v>674.48258869908796</v>
      </c>
      <c r="BM76" s="88">
        <v>673.78297126717223</v>
      </c>
      <c r="BN76" s="88">
        <v>673.06116236594767</v>
      </c>
      <c r="BO76" s="88">
        <v>672.34089832579889</v>
      </c>
      <c r="BP76" s="88">
        <v>671.62217419241392</v>
      </c>
      <c r="BQ76" s="88">
        <v>670.90498503265042</v>
      </c>
      <c r="BR76" s="88">
        <v>670.17760653769301</v>
      </c>
      <c r="BS76" s="88">
        <v>669.46349757194105</v>
      </c>
      <c r="BT76" s="88">
        <v>668.75090882652364</v>
      </c>
      <c r="BU76" s="88">
        <v>668.03983545214999</v>
      </c>
      <c r="BV76" s="88">
        <v>667.33027262016242</v>
      </c>
      <c r="BW76" s="88">
        <v>0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52500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675.18366052604802</v>
      </c>
      <c r="CV76" s="88">
        <v>674.48258869908796</v>
      </c>
      <c r="CW76" s="88">
        <v>673.78297126717223</v>
      </c>
      <c r="CX76" s="88">
        <v>673.06116236594767</v>
      </c>
      <c r="CY76" s="88">
        <v>672.34089832579889</v>
      </c>
      <c r="CZ76" s="88">
        <v>671.62217419241392</v>
      </c>
      <c r="DA76" s="88">
        <v>670.90498503265042</v>
      </c>
      <c r="DB76" s="88">
        <v>670.17760653769301</v>
      </c>
      <c r="DC76" s="88">
        <v>669.46349757194105</v>
      </c>
      <c r="DD76" s="88">
        <v>668.75090882652364</v>
      </c>
      <c r="DE76" s="88">
        <v>668.03983545214999</v>
      </c>
      <c r="DF76" s="88">
        <v>667.33027262016242</v>
      </c>
      <c r="DG76" s="93"/>
      <c r="DH76" s="91"/>
      <c r="DJ76" s="93"/>
      <c r="DK76" s="91"/>
      <c r="DM76" s="93"/>
      <c r="DN76" s="91"/>
      <c r="DP76" s="93"/>
      <c r="DQ76" s="91"/>
    </row>
    <row r="77" spans="1:121" x14ac:dyDescent="0.3">
      <c r="A77" t="s">
        <v>24</v>
      </c>
      <c r="B77" t="s">
        <v>42</v>
      </c>
      <c r="C77" t="s">
        <v>82</v>
      </c>
      <c r="D77" t="s">
        <v>324</v>
      </c>
      <c r="E77" t="s">
        <v>439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38500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-163.07217416026339</v>
      </c>
      <c r="BL77" s="88">
        <v>-163.12801820207639</v>
      </c>
      <c r="BM77" s="88">
        <v>-163.18390050455861</v>
      </c>
      <c r="BN77" s="88">
        <v>-163.24171739230809</v>
      </c>
      <c r="BO77" s="88">
        <v>-163.29957526421981</v>
      </c>
      <c r="BP77" s="88">
        <v>-163.35747416387929</v>
      </c>
      <c r="BQ77" s="88">
        <v>-163.41541413494909</v>
      </c>
      <c r="BR77" s="88">
        <v>-163.47434607353131</v>
      </c>
      <c r="BS77" s="88">
        <v>-163.5323689937282</v>
      </c>
      <c r="BT77" s="88">
        <v>-163.59043311737889</v>
      </c>
      <c r="BU77" s="88">
        <v>-163.64853848840681</v>
      </c>
      <c r="BV77" s="88">
        <v>-163.70668515076929</v>
      </c>
      <c r="BW77" s="88">
        <v>0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38500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-163.07217416026339</v>
      </c>
      <c r="CV77" s="88">
        <v>-163.12801820207639</v>
      </c>
      <c r="CW77" s="88">
        <v>-163.18390050455861</v>
      </c>
      <c r="CX77" s="88">
        <v>-163.24171739230809</v>
      </c>
      <c r="CY77" s="88">
        <v>-163.29957526421981</v>
      </c>
      <c r="CZ77" s="88">
        <v>-163.35747416387929</v>
      </c>
      <c r="DA77" s="88">
        <v>-163.41541413494909</v>
      </c>
      <c r="DB77" s="88">
        <v>-163.47434607353131</v>
      </c>
      <c r="DC77" s="88">
        <v>-163.5323689937282</v>
      </c>
      <c r="DD77" s="88">
        <v>-163.59043311737889</v>
      </c>
      <c r="DE77" s="88">
        <v>-163.64853848840681</v>
      </c>
      <c r="DF77" s="88">
        <v>-163.70668515076929</v>
      </c>
      <c r="DG77" s="93">
        <v>46023</v>
      </c>
      <c r="DH77" s="91">
        <v>0.04</v>
      </c>
      <c r="DI77" t="s">
        <v>300</v>
      </c>
      <c r="DJ77" s="93"/>
      <c r="DK77" s="91"/>
      <c r="DM77" s="93"/>
      <c r="DN77" s="91"/>
      <c r="DP77" s="93"/>
      <c r="DQ77" s="91"/>
    </row>
    <row r="78" spans="1:121" x14ac:dyDescent="0.3">
      <c r="A78" t="s">
        <v>24</v>
      </c>
      <c r="B78" t="s">
        <v>42</v>
      </c>
      <c r="C78" t="s">
        <v>84</v>
      </c>
      <c r="D78" t="s">
        <v>326</v>
      </c>
      <c r="E78" t="s">
        <v>440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84000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4953.9255980609132</v>
      </c>
      <c r="BL78" s="88">
        <v>717.52866838287059</v>
      </c>
      <c r="BM78" s="88">
        <v>717.03364164689185</v>
      </c>
      <c r="BN78" s="88">
        <v>4105.1834540780674</v>
      </c>
      <c r="BO78" s="88">
        <v>4104.6526780397326</v>
      </c>
      <c r="BP78" s="88">
        <v>4104.1226575809196</v>
      </c>
      <c r="BQ78" s="88">
        <v>4103.5933910894091</v>
      </c>
      <c r="BR78" s="88">
        <v>4103.0562190504043</v>
      </c>
      <c r="BS78" s="88">
        <v>4102.5284679691731</v>
      </c>
      <c r="BT78" s="88">
        <v>4102.0014660197603</v>
      </c>
      <c r="BU78" s="88">
        <v>4101.4752116082236</v>
      </c>
      <c r="BV78" s="88">
        <v>4100.9497031451556</v>
      </c>
      <c r="BW78" s="88">
        <v>4200.0000000000036</v>
      </c>
      <c r="BX78" s="88">
        <v>0</v>
      </c>
      <c r="BY78" s="88">
        <v>0</v>
      </c>
      <c r="BZ78" s="88">
        <v>3360.0000000000032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84000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718.0243791056364</v>
      </c>
      <c r="CV78" s="88">
        <v>717.52866838287059</v>
      </c>
      <c r="CW78" s="88">
        <v>717.03364164689185</v>
      </c>
      <c r="CX78" s="88">
        <v>716.52255199813203</v>
      </c>
      <c r="CY78" s="88">
        <v>716.01219042280832</v>
      </c>
      <c r="CZ78" s="88">
        <v>715.50255536626037</v>
      </c>
      <c r="DA78" s="88">
        <v>714.99364527826708</v>
      </c>
      <c r="DB78" s="88">
        <v>714.47713370230656</v>
      </c>
      <c r="DC78" s="88">
        <v>713.96968073958169</v>
      </c>
      <c r="DD78" s="88">
        <v>713.46294809592246</v>
      </c>
      <c r="DE78" s="88">
        <v>712.95693423867772</v>
      </c>
      <c r="DF78" s="88">
        <v>712.45163763957908</v>
      </c>
      <c r="DG78" s="93">
        <v>46054</v>
      </c>
      <c r="DH78" s="91">
        <v>0.05</v>
      </c>
      <c r="DI78" t="s">
        <v>300</v>
      </c>
      <c r="DJ78" s="93">
        <v>46478</v>
      </c>
      <c r="DK78" s="91">
        <v>0.04</v>
      </c>
      <c r="DL78" t="s">
        <v>301</v>
      </c>
      <c r="DM78" s="93"/>
      <c r="DN78" s="91"/>
      <c r="DP78" s="93"/>
      <c r="DQ78" s="91"/>
    </row>
    <row r="79" spans="1:121" x14ac:dyDescent="0.3">
      <c r="A79" t="s">
        <v>24</v>
      </c>
      <c r="B79" t="s">
        <v>42</v>
      </c>
      <c r="C79" t="s">
        <v>86</v>
      </c>
      <c r="D79" t="s">
        <v>328</v>
      </c>
      <c r="E79" t="s">
        <v>441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70000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-591.22305654221384</v>
      </c>
      <c r="BL79" s="88">
        <v>-591.62691613022128</v>
      </c>
      <c r="BM79" s="88">
        <v>-592.0313278416811</v>
      </c>
      <c r="BN79" s="88">
        <v>-592.4500301442248</v>
      </c>
      <c r="BO79" s="88">
        <v>-592.86932510353665</v>
      </c>
      <c r="BP79" s="88">
        <v>-593.28921397886586</v>
      </c>
      <c r="BQ79" s="88">
        <v>-593.7096980329593</v>
      </c>
      <c r="BR79" s="88">
        <v>-594.1376864673764</v>
      </c>
      <c r="BS79" s="88">
        <v>-594.55937449094938</v>
      </c>
      <c r="BT79" s="88">
        <v>-594.98166152412989</v>
      </c>
      <c r="BU79" s="88">
        <v>-595.40454884413509</v>
      </c>
      <c r="BV79" s="88">
        <v>-595.82803773188914</v>
      </c>
      <c r="BW79" s="88">
        <v>0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70000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-591.22305654221384</v>
      </c>
      <c r="CV79" s="88">
        <v>-591.62691613022128</v>
      </c>
      <c r="CW79" s="88">
        <v>-592.0313278416811</v>
      </c>
      <c r="CX79" s="88">
        <v>-592.4500301442248</v>
      </c>
      <c r="CY79" s="88">
        <v>-592.86932510353665</v>
      </c>
      <c r="CZ79" s="88">
        <v>-593.28921397886586</v>
      </c>
      <c r="DA79" s="88">
        <v>-593.7096980329593</v>
      </c>
      <c r="DB79" s="88">
        <v>-594.1376864673764</v>
      </c>
      <c r="DC79" s="88">
        <v>-594.55937449094938</v>
      </c>
      <c r="DD79" s="88">
        <v>-594.98166152412989</v>
      </c>
      <c r="DE79" s="88">
        <v>-595.40454884413509</v>
      </c>
      <c r="DF79" s="88">
        <v>-595.82803773188914</v>
      </c>
      <c r="DG79" s="93"/>
      <c r="DH79" s="91"/>
      <c r="DJ79" s="93"/>
      <c r="DK79" s="91"/>
      <c r="DM79" s="93"/>
      <c r="DN79" s="91"/>
      <c r="DP79" s="93"/>
      <c r="DQ79" s="91"/>
    </row>
    <row r="80" spans="1:121" x14ac:dyDescent="0.3">
      <c r="A80" t="s">
        <v>24</v>
      </c>
      <c r="B80" t="s">
        <v>42</v>
      </c>
      <c r="C80" t="s">
        <v>88</v>
      </c>
      <c r="D80" t="s">
        <v>330</v>
      </c>
      <c r="E80" t="s">
        <v>442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56000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1363.394409194648</v>
      </c>
      <c r="BL80" s="88">
        <v>1363.3106152553421</v>
      </c>
      <c r="BM80" s="88">
        <v>1363.226878992037</v>
      </c>
      <c r="BN80" s="88">
        <v>238.37290665671421</v>
      </c>
      <c r="BO80" s="88">
        <v>238.28814912827849</v>
      </c>
      <c r="BP80" s="88">
        <v>238.20345185237099</v>
      </c>
      <c r="BQ80" s="88">
        <v>238.11881476476771</v>
      </c>
      <c r="BR80" s="88">
        <v>238.03285179426581</v>
      </c>
      <c r="BS80" s="88">
        <v>237.94833587502501</v>
      </c>
      <c r="BT80" s="88">
        <v>237.86387995089339</v>
      </c>
      <c r="BU80" s="88">
        <v>237.7794839580325</v>
      </c>
      <c r="BV80" s="88">
        <v>237.69514783265319</v>
      </c>
      <c r="BW80" s="88">
        <v>1120.0000000000009</v>
      </c>
      <c r="BX80" s="88">
        <v>1120.0000000000009</v>
      </c>
      <c r="BY80" s="88">
        <v>1120.0000000000009</v>
      </c>
      <c r="BZ80" s="88">
        <v>0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56000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238.62196979867889</v>
      </c>
      <c r="CV80" s="88">
        <v>238.5398188777863</v>
      </c>
      <c r="CW80" s="88">
        <v>238.45772450200189</v>
      </c>
      <c r="CX80" s="88">
        <v>238.37290665671421</v>
      </c>
      <c r="CY80" s="88">
        <v>238.28814912827849</v>
      </c>
      <c r="CZ80" s="88">
        <v>238.20345185237099</v>
      </c>
      <c r="DA80" s="88">
        <v>238.11881476476771</v>
      </c>
      <c r="DB80" s="88">
        <v>238.03285179426581</v>
      </c>
      <c r="DC80" s="88">
        <v>237.94833587502501</v>
      </c>
      <c r="DD80" s="88">
        <v>237.86387995089339</v>
      </c>
      <c r="DE80" s="88">
        <v>237.7794839580325</v>
      </c>
      <c r="DF80" s="88">
        <v>237.69514783265319</v>
      </c>
      <c r="DG80" s="93">
        <v>46113</v>
      </c>
      <c r="DH80" s="91">
        <v>0.02</v>
      </c>
      <c r="DI80" t="s">
        <v>300</v>
      </c>
      <c r="DJ80" s="93"/>
      <c r="DK80" s="91"/>
      <c r="DM80" s="93"/>
      <c r="DN80" s="91"/>
      <c r="DP80" s="93"/>
      <c r="DQ80" s="91"/>
    </row>
    <row r="81" spans="1:121" x14ac:dyDescent="0.3">
      <c r="A81" t="s">
        <v>24</v>
      </c>
      <c r="B81" t="s">
        <v>42</v>
      </c>
      <c r="C81" t="s">
        <v>90</v>
      </c>
      <c r="D81" t="s">
        <v>332</v>
      </c>
      <c r="E81" t="s">
        <v>443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42000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2004.052022712825</v>
      </c>
      <c r="BL81" s="88">
        <v>2003.0191520399039</v>
      </c>
      <c r="BM81" s="88">
        <v>2001.9891449919039</v>
      </c>
      <c r="BN81" s="88">
        <v>2000.927220684162</v>
      </c>
      <c r="BO81" s="88">
        <v>718.31876859639715</v>
      </c>
      <c r="BP81" s="88">
        <v>717.29365524986565</v>
      </c>
      <c r="BQ81" s="88">
        <v>716.27146361406608</v>
      </c>
      <c r="BR81" s="88">
        <v>715.23549583596105</v>
      </c>
      <c r="BS81" s="88">
        <v>714.21915765934284</v>
      </c>
      <c r="BT81" s="88">
        <v>713.20570378468324</v>
      </c>
      <c r="BU81" s="88">
        <v>712.19512195121922</v>
      </c>
      <c r="BV81" s="88">
        <v>711.18739996752561</v>
      </c>
      <c r="BW81" s="88">
        <v>1260.0000000000009</v>
      </c>
      <c r="BX81" s="88">
        <v>1260.0000000000009</v>
      </c>
      <c r="BY81" s="88">
        <v>1260.0000000000009</v>
      </c>
      <c r="BZ81" s="88">
        <v>1260.0000000000009</v>
      </c>
      <c r="CA81" s="88">
        <v>0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42000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722.38060457555389</v>
      </c>
      <c r="CV81" s="88">
        <v>721.3778175144721</v>
      </c>
      <c r="CW81" s="88">
        <v>720.37781067174706</v>
      </c>
      <c r="CX81" s="88">
        <v>719.34681619821015</v>
      </c>
      <c r="CY81" s="88">
        <v>718.31876859639715</v>
      </c>
      <c r="CZ81" s="88">
        <v>717.29365524986565</v>
      </c>
      <c r="DA81" s="88">
        <v>716.27146361406608</v>
      </c>
      <c r="DB81" s="88">
        <v>715.23549583596105</v>
      </c>
      <c r="DC81" s="88">
        <v>714.21915765934284</v>
      </c>
      <c r="DD81" s="88">
        <v>713.20570378468324</v>
      </c>
      <c r="DE81" s="88">
        <v>712.19512195121922</v>
      </c>
      <c r="DF81" s="88">
        <v>711.18739996752561</v>
      </c>
      <c r="DG81" s="93">
        <v>46143</v>
      </c>
      <c r="DH81" s="91">
        <v>0.03</v>
      </c>
      <c r="DI81" t="s">
        <v>300</v>
      </c>
      <c r="DJ81" s="93"/>
      <c r="DK81" s="91"/>
      <c r="DM81" s="93"/>
      <c r="DN81" s="91"/>
      <c r="DP81" s="93"/>
      <c r="DQ81" s="91"/>
    </row>
    <row r="82" spans="1:121" x14ac:dyDescent="0.3">
      <c r="A82" t="s">
        <v>24</v>
      </c>
      <c r="B82" t="s">
        <v>42</v>
      </c>
      <c r="C82" t="s">
        <v>91</v>
      </c>
      <c r="D82" t="s">
        <v>334</v>
      </c>
      <c r="E82" t="s">
        <v>444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28000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1120.0000000000009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0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1120.0000000000009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28000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93">
        <v>46600</v>
      </c>
      <c r="DH82" s="91">
        <v>0.04</v>
      </c>
      <c r="DI82" t="s">
        <v>301</v>
      </c>
      <c r="DJ82" s="93"/>
      <c r="DK82" s="91"/>
      <c r="DM82" s="93"/>
      <c r="DN82" s="91"/>
      <c r="DP82" s="93"/>
      <c r="DQ82" s="91"/>
    </row>
    <row r="83" spans="1:121" x14ac:dyDescent="0.3">
      <c r="A83" t="s">
        <v>24</v>
      </c>
      <c r="B83" t="s">
        <v>42</v>
      </c>
      <c r="C83" t="s">
        <v>93</v>
      </c>
      <c r="D83" t="s">
        <v>336</v>
      </c>
      <c r="E83" t="s">
        <v>445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73500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4667.5199809732912</v>
      </c>
      <c r="BL83" s="88">
        <v>4666.4894053876624</v>
      </c>
      <c r="BM83" s="88">
        <v>4665.4609677627404</v>
      </c>
      <c r="BN83" s="88">
        <v>4664.3999086779513</v>
      </c>
      <c r="BO83" s="88">
        <v>4663.3411205389239</v>
      </c>
      <c r="BP83" s="88">
        <v>4662.2845960628456</v>
      </c>
      <c r="BQ83" s="88">
        <v>939.26697904571051</v>
      </c>
      <c r="BR83" s="88">
        <v>938.24864915277021</v>
      </c>
      <c r="BS83" s="88">
        <v>937.24889660071744</v>
      </c>
      <c r="BT83" s="88">
        <v>936.25127235713308</v>
      </c>
      <c r="BU83" s="88">
        <v>935.25576963300989</v>
      </c>
      <c r="BV83" s="88">
        <v>934.26238166822736</v>
      </c>
      <c r="BW83" s="88">
        <v>3675.0000000000032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0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73500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945.25712473646729</v>
      </c>
      <c r="CV83" s="88">
        <v>944.27562417872309</v>
      </c>
      <c r="CW83" s="88">
        <v>943.29615977404114</v>
      </c>
      <c r="CX83" s="88">
        <v>942.28562731232682</v>
      </c>
      <c r="CY83" s="88">
        <v>941.27725765611842</v>
      </c>
      <c r="CZ83" s="88">
        <v>940.27104386937947</v>
      </c>
      <c r="DA83" s="88">
        <v>939.26697904571051</v>
      </c>
      <c r="DB83" s="88">
        <v>938.24864915277021</v>
      </c>
      <c r="DC83" s="88">
        <v>937.24889660071744</v>
      </c>
      <c r="DD83" s="88">
        <v>936.25127235713308</v>
      </c>
      <c r="DE83" s="88">
        <v>935.25576963300989</v>
      </c>
      <c r="DF83" s="88">
        <v>934.26238166822736</v>
      </c>
      <c r="DG83" s="93">
        <v>46204</v>
      </c>
      <c r="DH83" s="91">
        <v>0.05</v>
      </c>
      <c r="DI83" t="s">
        <v>300</v>
      </c>
      <c r="DJ83" s="93"/>
      <c r="DK83" s="91"/>
      <c r="DM83" s="93"/>
      <c r="DN83" s="91"/>
      <c r="DP83" s="93"/>
      <c r="DQ83" s="91"/>
    </row>
    <row r="84" spans="1:121" x14ac:dyDescent="0.3">
      <c r="A84" t="s">
        <v>24</v>
      </c>
      <c r="B84" t="s">
        <v>42</v>
      </c>
      <c r="C84" t="s">
        <v>94</v>
      </c>
      <c r="D84" t="s">
        <v>338</v>
      </c>
      <c r="E84" t="s">
        <v>446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59500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3302.8581292392828</v>
      </c>
      <c r="BL84" s="88">
        <v>3302.766646545329</v>
      </c>
      <c r="BM84" s="88">
        <v>3302.67510117344</v>
      </c>
      <c r="BN84" s="88">
        <v>3302.5803865991461</v>
      </c>
      <c r="BO84" s="88">
        <v>3302.4856048853399</v>
      </c>
      <c r="BP84" s="88">
        <v>3302.3907559606268</v>
      </c>
      <c r="BQ84" s="88">
        <v>3302.295839753479</v>
      </c>
      <c r="BR84" s="88">
        <v>-252.64217120454839</v>
      </c>
      <c r="BS84" s="88">
        <v>-252.7318429903072</v>
      </c>
      <c r="BT84" s="88">
        <v>-252.8215784541311</v>
      </c>
      <c r="BU84" s="88">
        <v>-252.91137766390139</v>
      </c>
      <c r="BV84" s="88">
        <v>-253.0012406875525</v>
      </c>
      <c r="BW84" s="88">
        <v>3570.0000000000032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0</v>
      </c>
      <c r="CE84" s="88">
        <v>0</v>
      </c>
      <c r="CF84" s="88">
        <v>0</v>
      </c>
      <c r="CG84" s="88">
        <v>0</v>
      </c>
      <c r="CH84" s="88">
        <v>0</v>
      </c>
      <c r="CI84" s="88">
        <v>59500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-252.0206327931343</v>
      </c>
      <c r="CV84" s="88">
        <v>-252.10693722139089</v>
      </c>
      <c r="CW84" s="88">
        <v>-252.1933007797723</v>
      </c>
      <c r="CX84" s="88">
        <v>-252.28265415174889</v>
      </c>
      <c r="CY84" s="88">
        <v>-252.37207086288521</v>
      </c>
      <c r="CZ84" s="88">
        <v>-252.46155098054069</v>
      </c>
      <c r="DA84" s="88">
        <v>-252.55109457219399</v>
      </c>
      <c r="DB84" s="88">
        <v>-252.64217120454839</v>
      </c>
      <c r="DC84" s="88">
        <v>-252.7318429903072</v>
      </c>
      <c r="DD84" s="88">
        <v>-252.8215784541311</v>
      </c>
      <c r="DE84" s="88">
        <v>-252.91137766390139</v>
      </c>
      <c r="DF84" s="88">
        <v>-253.0012406875525</v>
      </c>
      <c r="DG84" s="93">
        <v>46235</v>
      </c>
      <c r="DH84" s="91">
        <v>0.06</v>
      </c>
      <c r="DI84" t="s">
        <v>300</v>
      </c>
      <c r="DJ84" s="93"/>
      <c r="DK84" s="91"/>
      <c r="DM84" s="93"/>
      <c r="DN84" s="91"/>
      <c r="DP84" s="93"/>
      <c r="DQ84" s="91"/>
    </row>
    <row r="85" spans="1:121" x14ac:dyDescent="0.3">
      <c r="A85" t="s">
        <v>24</v>
      </c>
      <c r="B85" t="s">
        <v>42</v>
      </c>
      <c r="C85" t="s">
        <v>95</v>
      </c>
      <c r="D85" t="s">
        <v>340</v>
      </c>
      <c r="E85" t="s">
        <v>447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45500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388.92987201555309</v>
      </c>
      <c r="BL85" s="88">
        <v>388.66136204072149</v>
      </c>
      <c r="BM85" s="88">
        <v>388.3932225587331</v>
      </c>
      <c r="BN85" s="88">
        <v>388.11638233232151</v>
      </c>
      <c r="BO85" s="88">
        <v>387.83993647902122</v>
      </c>
      <c r="BP85" s="88">
        <v>387.56388415672438</v>
      </c>
      <c r="BQ85" s="88">
        <v>387.28822452572803</v>
      </c>
      <c r="BR85" s="88">
        <v>387.00844742208272</v>
      </c>
      <c r="BS85" s="88">
        <v>386.73357706727342</v>
      </c>
      <c r="BT85" s="88">
        <v>386.45909688529127</v>
      </c>
      <c r="BU85" s="88">
        <v>386.18500604595039</v>
      </c>
      <c r="BV85" s="88">
        <v>385.91130372143868</v>
      </c>
      <c r="BW85" s="88">
        <v>0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45500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388.92987201555309</v>
      </c>
      <c r="CV85" s="88">
        <v>388.66136204072149</v>
      </c>
      <c r="CW85" s="88">
        <v>388.3932225587331</v>
      </c>
      <c r="CX85" s="88">
        <v>388.11638233232151</v>
      </c>
      <c r="CY85" s="88">
        <v>387.83993647902122</v>
      </c>
      <c r="CZ85" s="88">
        <v>387.56388415672438</v>
      </c>
      <c r="DA85" s="88">
        <v>387.28822452572803</v>
      </c>
      <c r="DB85" s="88">
        <v>387.00844742208272</v>
      </c>
      <c r="DC85" s="88">
        <v>386.73357706727342</v>
      </c>
      <c r="DD85" s="88">
        <v>386.45909688529127</v>
      </c>
      <c r="DE85" s="88">
        <v>386.18500604595039</v>
      </c>
      <c r="DF85" s="88">
        <v>385.91130372143868</v>
      </c>
      <c r="DG85" s="93"/>
      <c r="DH85" s="91"/>
      <c r="DJ85" s="93"/>
      <c r="DK85" s="91"/>
      <c r="DM85" s="93"/>
      <c r="DN85" s="91"/>
      <c r="DP85" s="93"/>
      <c r="DQ85" s="91"/>
    </row>
    <row r="86" spans="1:121" x14ac:dyDescent="0.3">
      <c r="A86" t="s">
        <v>24</v>
      </c>
      <c r="B86" t="s">
        <v>45</v>
      </c>
      <c r="C86" t="s">
        <v>43</v>
      </c>
      <c r="D86" t="s">
        <v>342</v>
      </c>
      <c r="E86" t="s">
        <v>448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31500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670.9681132926878</v>
      </c>
      <c r="BL86" s="88">
        <v>1957.61216134859</v>
      </c>
      <c r="BM86" s="88">
        <v>1957.417218727204</v>
      </c>
      <c r="BN86" s="88">
        <v>1957.215387469281</v>
      </c>
      <c r="BO86" s="88">
        <v>1957.0132705270939</v>
      </c>
      <c r="BP86" s="88">
        <v>1956.8108672936339</v>
      </c>
      <c r="BQ86" s="88">
        <v>1956.6081771601971</v>
      </c>
      <c r="BR86" s="88">
        <v>1956.4018696152691</v>
      </c>
      <c r="BS86" s="88">
        <v>1956.1985991203869</v>
      </c>
      <c r="BT86" s="88">
        <v>981.54858240670967</v>
      </c>
      <c r="BU86" s="88">
        <v>981.35067114094898</v>
      </c>
      <c r="BV86" s="88">
        <v>981.15247834147385</v>
      </c>
      <c r="BW86" s="88">
        <v>945.0000000000008</v>
      </c>
      <c r="BX86" s="88">
        <v>2242.8000000000052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1260.0000000000009</v>
      </c>
      <c r="CG86" s="88">
        <v>1260.0000000000009</v>
      </c>
      <c r="CH86" s="88">
        <v>1260.0000000000009</v>
      </c>
      <c r="CI86" s="88">
        <v>31500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-266.05037544399619</v>
      </c>
      <c r="CV86" s="88">
        <v>-266.23211225859961</v>
      </c>
      <c r="CW86" s="88">
        <v>-266.41409752875649</v>
      </c>
      <c r="CX86" s="88">
        <v>-266.60251356490119</v>
      </c>
      <c r="CY86" s="88">
        <v>-266.79119629659152</v>
      </c>
      <c r="CZ86" s="88">
        <v>-266.98014629048959</v>
      </c>
      <c r="DA86" s="88">
        <v>-267.16936411483158</v>
      </c>
      <c r="DB86" s="88">
        <v>-267.3619589103194</v>
      </c>
      <c r="DC86" s="88">
        <v>-267.55171852092718</v>
      </c>
      <c r="DD86" s="88">
        <v>-267.74174768585851</v>
      </c>
      <c r="DE86" s="88">
        <v>-267.93204697986079</v>
      </c>
      <c r="DF86" s="88">
        <v>-268.12261697935008</v>
      </c>
      <c r="DG86" s="93">
        <v>46296</v>
      </c>
      <c r="DH86" s="91">
        <v>0.03</v>
      </c>
      <c r="DI86" t="s">
        <v>300</v>
      </c>
      <c r="DJ86" s="93">
        <v>46419</v>
      </c>
      <c r="DK86" s="91">
        <v>0.04</v>
      </c>
      <c r="DL86" t="s">
        <v>301</v>
      </c>
      <c r="DM86" s="93"/>
      <c r="DN86" s="91"/>
      <c r="DP86" s="93"/>
      <c r="DQ86" s="91"/>
    </row>
    <row r="87" spans="1:121" x14ac:dyDescent="0.3">
      <c r="A87" t="s">
        <v>24</v>
      </c>
      <c r="B87" t="s">
        <v>45</v>
      </c>
      <c r="C87" t="s">
        <v>46</v>
      </c>
      <c r="D87" t="s">
        <v>344</v>
      </c>
      <c r="E87" t="s">
        <v>449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77000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3421.2294168121139</v>
      </c>
      <c r="BL87" s="88">
        <v>3421.1119409952339</v>
      </c>
      <c r="BM87" s="88">
        <v>3420.9945460378681</v>
      </c>
      <c r="BN87" s="88">
        <v>3420.873256519104</v>
      </c>
      <c r="BO87" s="88">
        <v>3420.752053253445</v>
      </c>
      <c r="BP87" s="88">
        <v>3420.630936148887</v>
      </c>
      <c r="BQ87" s="88">
        <v>3420.509905113619</v>
      </c>
      <c r="BR87" s="88">
        <v>3420.3869780657978</v>
      </c>
      <c r="BS87" s="88">
        <v>3420.266120301284</v>
      </c>
      <c r="BT87" s="88">
        <v>3420.145348329781</v>
      </c>
      <c r="BU87" s="88">
        <v>326.94679044229468</v>
      </c>
      <c r="BV87" s="88">
        <v>326.83082826989818</v>
      </c>
      <c r="BW87" s="88">
        <v>3080.0000000000032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0</v>
      </c>
      <c r="CH87" s="88">
        <v>0</v>
      </c>
      <c r="CI87" s="88">
        <v>77000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328.1052084731835</v>
      </c>
      <c r="CV87" s="88">
        <v>327.99225095695618</v>
      </c>
      <c r="CW87" s="88">
        <v>327.87937119025258</v>
      </c>
      <c r="CX87" s="88">
        <v>327.762746652982</v>
      </c>
      <c r="CY87" s="88">
        <v>327.64620505138288</v>
      </c>
      <c r="CZ87" s="88">
        <v>327.52974629701009</v>
      </c>
      <c r="DA87" s="88">
        <v>327.41337030155557</v>
      </c>
      <c r="DB87" s="88">
        <v>327.29517121711552</v>
      </c>
      <c r="DC87" s="88">
        <v>327.17896182815929</v>
      </c>
      <c r="DD87" s="88">
        <v>327.06283493247838</v>
      </c>
      <c r="DE87" s="88">
        <v>326.94679044229468</v>
      </c>
      <c r="DF87" s="88">
        <v>326.83082826989818</v>
      </c>
      <c r="DG87" s="93">
        <v>46327</v>
      </c>
      <c r="DH87" s="91">
        <v>0.04</v>
      </c>
      <c r="DI87" t="s">
        <v>300</v>
      </c>
      <c r="DJ87" s="93"/>
      <c r="DK87" s="91"/>
      <c r="DM87" s="93"/>
      <c r="DN87" s="91"/>
      <c r="DP87" s="93"/>
      <c r="DQ87" s="91"/>
    </row>
    <row r="88" spans="1:121" x14ac:dyDescent="0.3">
      <c r="A88" t="s">
        <v>24</v>
      </c>
      <c r="B88" t="s">
        <v>45</v>
      </c>
      <c r="C88" t="s">
        <v>48</v>
      </c>
      <c r="D88" t="s">
        <v>346</v>
      </c>
      <c r="E88" t="s">
        <v>450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63000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5905.4287587152194</v>
      </c>
      <c r="BL88" s="88">
        <v>5664.0142517814866</v>
      </c>
      <c r="BM88" s="88">
        <v>6792.7711698917201</v>
      </c>
      <c r="BN88" s="88">
        <v>3230.2358490566098</v>
      </c>
      <c r="BO88" s="88">
        <v>4078.568690289605</v>
      </c>
      <c r="BP88" s="88">
        <v>4729.9346680716544</v>
      </c>
      <c r="BQ88" s="88">
        <v>4488.930992241736</v>
      </c>
      <c r="BR88" s="88">
        <v>4245.7276373147452</v>
      </c>
      <c r="BS88" s="88">
        <v>4711.7371025136072</v>
      </c>
      <c r="BT88" s="88">
        <v>4473.3567733595009</v>
      </c>
      <c r="BU88" s="88">
        <v>4236.6490000000094</v>
      </c>
      <c r="BV88" s="88">
        <v>4001.5962411599512</v>
      </c>
      <c r="BW88" s="88">
        <v>3150.0000000000032</v>
      </c>
      <c r="BX88" s="88">
        <v>3150.0000000000032</v>
      </c>
      <c r="BY88" s="88">
        <v>3150.0000000000032</v>
      </c>
      <c r="BZ88" s="88">
        <v>0</v>
      </c>
      <c r="CA88" s="88">
        <v>1036.4516129032199</v>
      </c>
      <c r="CB88" s="88">
        <v>1890.000000000002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63000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2624.2178654430681</v>
      </c>
      <c r="CV88" s="88">
        <v>2394.299287410935</v>
      </c>
      <c r="CW88" s="88">
        <v>3469.3058760873491</v>
      </c>
      <c r="CX88" s="88">
        <v>3230.2358490566098</v>
      </c>
      <c r="CY88" s="88">
        <v>2992.87938429</v>
      </c>
      <c r="CZ88" s="88">
        <v>2757.2181243414088</v>
      </c>
      <c r="DA88" s="88">
        <v>2523.2339730502281</v>
      </c>
      <c r="DB88" s="88">
        <v>2287.114210985188</v>
      </c>
      <c r="DC88" s="88">
        <v>2739.5505849646711</v>
      </c>
      <c r="DD88" s="88">
        <v>2508.1133721936931</v>
      </c>
      <c r="DE88" s="88">
        <v>2278.3000000000029</v>
      </c>
      <c r="DF88" s="88">
        <v>2050.0934380193698</v>
      </c>
      <c r="DG88" s="93">
        <v>46113</v>
      </c>
      <c r="DH88" s="91">
        <v>0.05</v>
      </c>
      <c r="DI88" t="s">
        <v>300</v>
      </c>
      <c r="DJ88" s="93">
        <v>46522</v>
      </c>
      <c r="DK88" s="91">
        <v>0.03</v>
      </c>
      <c r="DL88" t="s">
        <v>301</v>
      </c>
      <c r="DM88" s="93"/>
      <c r="DN88" s="91"/>
      <c r="DP88" s="93"/>
      <c r="DQ88" s="91"/>
    </row>
    <row r="89" spans="1:121" x14ac:dyDescent="0.3">
      <c r="A89" t="s">
        <v>24</v>
      </c>
      <c r="B89" t="s">
        <v>45</v>
      </c>
      <c r="C89" t="s">
        <v>50</v>
      </c>
      <c r="D89" t="s">
        <v>348</v>
      </c>
      <c r="E89" t="s">
        <v>451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49000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3920.0000000000041</v>
      </c>
      <c r="BL89" s="88">
        <v>3920.0000000000041</v>
      </c>
      <c r="BM89" s="88">
        <v>6460.1600000000089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2352.0000000000018</v>
      </c>
      <c r="BU89" s="88">
        <v>2352.0000000000018</v>
      </c>
      <c r="BV89" s="88">
        <v>2352.0000000000018</v>
      </c>
      <c r="BW89" s="88">
        <v>3920.0000000000041</v>
      </c>
      <c r="BX89" s="88">
        <v>3920.0000000000041</v>
      </c>
      <c r="BY89" s="88">
        <v>6460.1600000000089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2352.0000000000018</v>
      </c>
      <c r="CG89" s="88">
        <v>2352.0000000000018</v>
      </c>
      <c r="CH89" s="88">
        <v>2352.0000000000018</v>
      </c>
      <c r="CI89" s="88">
        <v>49000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93">
        <v>46296</v>
      </c>
      <c r="DH89" s="91">
        <v>0.08</v>
      </c>
      <c r="DI89" t="s">
        <v>300</v>
      </c>
      <c r="DJ89" s="93">
        <v>46447</v>
      </c>
      <c r="DK89" s="91">
        <v>4.8000000000000001E-2</v>
      </c>
      <c r="DL89" t="s">
        <v>301</v>
      </c>
      <c r="DM89" s="93"/>
      <c r="DN89" s="91"/>
      <c r="DP89" s="93"/>
      <c r="DQ89" s="91"/>
    </row>
    <row r="90" spans="1:121" x14ac:dyDescent="0.3">
      <c r="A90" t="s">
        <v>24</v>
      </c>
      <c r="B90" t="s">
        <v>45</v>
      </c>
      <c r="C90" t="s">
        <v>57</v>
      </c>
      <c r="D90" t="s">
        <v>350</v>
      </c>
      <c r="E90" t="s">
        <v>452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35000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1159.1248891577141</v>
      </c>
      <c r="BL90" s="88">
        <v>449.65505913272528</v>
      </c>
      <c r="BM90" s="88">
        <v>449.18864751144821</v>
      </c>
      <c r="BN90" s="88">
        <v>448.70744157729848</v>
      </c>
      <c r="BO90" s="88">
        <v>448.22726555053259</v>
      </c>
      <c r="BP90" s="88">
        <v>1865.6580407734091</v>
      </c>
      <c r="BQ90" s="88">
        <v>1865.160789622639</v>
      </c>
      <c r="BR90" s="88">
        <v>1864.656473866138</v>
      </c>
      <c r="BS90" s="88">
        <v>1864.161358316549</v>
      </c>
      <c r="BT90" s="88">
        <v>1863.667296786391</v>
      </c>
      <c r="BU90" s="88">
        <v>1863.1742859134899</v>
      </c>
      <c r="BV90" s="88">
        <v>1862.682322349983</v>
      </c>
      <c r="BW90" s="88">
        <v>700.00000000000057</v>
      </c>
      <c r="BX90" s="88">
        <v>0</v>
      </c>
      <c r="BY90" s="88">
        <v>0</v>
      </c>
      <c r="BZ90" s="88">
        <v>0</v>
      </c>
      <c r="CA90" s="88">
        <v>0</v>
      </c>
      <c r="CB90" s="88">
        <v>1400.0000000000009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35000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450.1224403506987</v>
      </c>
      <c r="CV90" s="88">
        <v>449.65505913272528</v>
      </c>
      <c r="CW90" s="88">
        <v>449.18864751144821</v>
      </c>
      <c r="CX90" s="88">
        <v>448.70744157729848</v>
      </c>
      <c r="CY90" s="88">
        <v>448.22726555053259</v>
      </c>
      <c r="CZ90" s="88">
        <v>447.74811612827591</v>
      </c>
      <c r="DA90" s="88">
        <v>447.26999002176689</v>
      </c>
      <c r="DB90" s="88">
        <v>446.78507102512867</v>
      </c>
      <c r="DC90" s="88">
        <v>446.30899838129397</v>
      </c>
      <c r="DD90" s="88">
        <v>445.83393921768243</v>
      </c>
      <c r="DE90" s="88">
        <v>445.35989030143332</v>
      </c>
      <c r="DF90" s="88">
        <v>444.88684841344161</v>
      </c>
      <c r="DG90" s="93">
        <v>46054</v>
      </c>
      <c r="DH90" s="91">
        <v>0.02</v>
      </c>
      <c r="DI90" t="s">
        <v>300</v>
      </c>
      <c r="DJ90" s="93">
        <v>46539</v>
      </c>
      <c r="DK90" s="91">
        <v>0.04</v>
      </c>
      <c r="DL90" t="s">
        <v>301</v>
      </c>
      <c r="DM90" s="93"/>
      <c r="DN90" s="91"/>
      <c r="DP90" s="93"/>
      <c r="DQ90" s="91"/>
    </row>
    <row r="91" spans="1:121" x14ac:dyDescent="0.3">
      <c r="A91" t="s">
        <v>24</v>
      </c>
      <c r="B91" t="s">
        <v>45</v>
      </c>
      <c r="C91" t="s">
        <v>58</v>
      </c>
      <c r="D91" t="s">
        <v>352</v>
      </c>
      <c r="E91" t="s">
        <v>453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80500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-340.96909142600521</v>
      </c>
      <c r="BL91" s="88">
        <v>-341.08585624070531</v>
      </c>
      <c r="BM91" s="88">
        <v>-341.20270105498611</v>
      </c>
      <c r="BN91" s="88">
        <v>-341.32359091118968</v>
      </c>
      <c r="BO91" s="88">
        <v>-341.44456646155061</v>
      </c>
      <c r="BP91" s="88">
        <v>-341.56562779720218</v>
      </c>
      <c r="BQ91" s="88">
        <v>-341.68677500943897</v>
      </c>
      <c r="BR91" s="88">
        <v>-341.80999633556542</v>
      </c>
      <c r="BS91" s="88">
        <v>-341.9313169868862</v>
      </c>
      <c r="BT91" s="88">
        <v>-342.05272379088319</v>
      </c>
      <c r="BU91" s="88">
        <v>-342.17421683939602</v>
      </c>
      <c r="BV91" s="88">
        <v>-342.29579622433567</v>
      </c>
      <c r="BW91" s="88">
        <v>0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80500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-340.96909142600521</v>
      </c>
      <c r="CV91" s="88">
        <v>-341.08585624070531</v>
      </c>
      <c r="CW91" s="88">
        <v>-341.20270105498611</v>
      </c>
      <c r="CX91" s="88">
        <v>-341.32359091118968</v>
      </c>
      <c r="CY91" s="88">
        <v>-341.44456646155061</v>
      </c>
      <c r="CZ91" s="88">
        <v>-341.56562779720218</v>
      </c>
      <c r="DA91" s="88">
        <v>-341.68677500943897</v>
      </c>
      <c r="DB91" s="88">
        <v>-341.80999633556542</v>
      </c>
      <c r="DC91" s="88">
        <v>-341.9313169868862</v>
      </c>
      <c r="DD91" s="88">
        <v>-342.05272379088319</v>
      </c>
      <c r="DE91" s="88">
        <v>-342.17421683939602</v>
      </c>
      <c r="DF91" s="88">
        <v>-342.29579622433567</v>
      </c>
      <c r="DG91" s="93"/>
      <c r="DH91" s="91"/>
      <c r="DJ91" s="93"/>
      <c r="DK91" s="91"/>
      <c r="DM91" s="93"/>
      <c r="DN91" s="91"/>
      <c r="DP91" s="93"/>
      <c r="DQ91" s="91"/>
    </row>
    <row r="92" spans="1:121" x14ac:dyDescent="0.3">
      <c r="A92" t="s">
        <v>24</v>
      </c>
      <c r="B92" t="s">
        <v>45</v>
      </c>
      <c r="C92" t="s">
        <v>65</v>
      </c>
      <c r="D92" t="s">
        <v>354</v>
      </c>
      <c r="E92" t="s">
        <v>454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66500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3251.173405463649</v>
      </c>
      <c r="BL92" s="88">
        <v>3250.7652703019039</v>
      </c>
      <c r="BM92" s="88">
        <v>3250.357698289275</v>
      </c>
      <c r="BN92" s="88">
        <v>567.24702033185451</v>
      </c>
      <c r="BO92" s="88">
        <v>566.84298408472318</v>
      </c>
      <c r="BP92" s="88">
        <v>566.43952299828948</v>
      </c>
      <c r="BQ92" s="88">
        <v>566.03663584529477</v>
      </c>
      <c r="BR92" s="88">
        <v>565.62773084765934</v>
      </c>
      <c r="BS92" s="88">
        <v>565.22599725216878</v>
      </c>
      <c r="BT92" s="88">
        <v>564.824833909272</v>
      </c>
      <c r="BU92" s="88">
        <v>564.42423960561985</v>
      </c>
      <c r="BV92" s="88">
        <v>564.02421313133345</v>
      </c>
      <c r="BW92" s="88">
        <v>2660.0000000000018</v>
      </c>
      <c r="BX92" s="88">
        <v>2660.0000000000018</v>
      </c>
      <c r="BY92" s="88">
        <v>2660.0000000000018</v>
      </c>
      <c r="BZ92" s="88">
        <v>0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66500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568.43596679196219</v>
      </c>
      <c r="CV92" s="88">
        <v>568.04352913643913</v>
      </c>
      <c r="CW92" s="88">
        <v>567.65163297045603</v>
      </c>
      <c r="CX92" s="88">
        <v>567.24702033185451</v>
      </c>
      <c r="CY92" s="88">
        <v>566.84298408472318</v>
      </c>
      <c r="CZ92" s="88">
        <v>566.43952299828948</v>
      </c>
      <c r="DA92" s="88">
        <v>566.03663584529477</v>
      </c>
      <c r="DB92" s="88">
        <v>565.62773084765934</v>
      </c>
      <c r="DC92" s="88">
        <v>565.22599725216878</v>
      </c>
      <c r="DD92" s="88">
        <v>564.824833909272</v>
      </c>
      <c r="DE92" s="88">
        <v>564.42423960561985</v>
      </c>
      <c r="DF92" s="88">
        <v>564.02421313133345</v>
      </c>
      <c r="DG92" s="93">
        <v>46113</v>
      </c>
      <c r="DH92" s="91">
        <v>0.04</v>
      </c>
      <c r="DI92" t="s">
        <v>300</v>
      </c>
      <c r="DJ92" s="93"/>
      <c r="DK92" s="91"/>
      <c r="DM92" s="93"/>
      <c r="DN92" s="91"/>
      <c r="DP92" s="93"/>
      <c r="DQ92" s="91"/>
    </row>
    <row r="93" spans="1:121" x14ac:dyDescent="0.3">
      <c r="A93" t="s">
        <v>24</v>
      </c>
      <c r="B93" t="s">
        <v>45</v>
      </c>
      <c r="C93" t="s">
        <v>66</v>
      </c>
      <c r="D93" t="s">
        <v>356</v>
      </c>
      <c r="E93" t="s">
        <v>455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52500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2159.4118429730138</v>
      </c>
      <c r="BL93" s="88">
        <v>2159.093803547456</v>
      </c>
      <c r="BM93" s="88">
        <v>2158.775329324676</v>
      </c>
      <c r="BN93" s="88">
        <v>2158.4456012614201</v>
      </c>
      <c r="BO93" s="88">
        <v>-444.65199382765252</v>
      </c>
      <c r="BP93" s="88">
        <v>-444.96691048414942</v>
      </c>
      <c r="BQ93" s="88">
        <v>-445.28227352471941</v>
      </c>
      <c r="BR93" s="88">
        <v>-445.6032648505323</v>
      </c>
      <c r="BS93" s="88">
        <v>-445.91953086821212</v>
      </c>
      <c r="BT93" s="88">
        <v>-446.23624614309739</v>
      </c>
      <c r="BU93" s="88">
        <v>-446.55341163310129</v>
      </c>
      <c r="BV93" s="88">
        <v>-446.87102829891688</v>
      </c>
      <c r="BW93" s="88">
        <v>2625.0000000000018</v>
      </c>
      <c r="BX93" s="88">
        <v>2625.0000000000018</v>
      </c>
      <c r="BY93" s="88">
        <v>2625.0000000000018</v>
      </c>
      <c r="BZ93" s="88">
        <v>2625.0000000000018</v>
      </c>
      <c r="CA93" s="88">
        <v>0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52500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-443.41729240666041</v>
      </c>
      <c r="CV93" s="88">
        <v>-443.72018709766593</v>
      </c>
      <c r="CW93" s="88">
        <v>-444.02349588126083</v>
      </c>
      <c r="CX93" s="88">
        <v>-444.33752260816863</v>
      </c>
      <c r="CY93" s="88">
        <v>-444.65199382765252</v>
      </c>
      <c r="CZ93" s="88">
        <v>-444.96691048414942</v>
      </c>
      <c r="DA93" s="88">
        <v>-445.28227352471941</v>
      </c>
      <c r="DB93" s="88">
        <v>-445.6032648505323</v>
      </c>
      <c r="DC93" s="88">
        <v>-445.91953086821212</v>
      </c>
      <c r="DD93" s="88">
        <v>-446.23624614309739</v>
      </c>
      <c r="DE93" s="88">
        <v>-446.55341163310129</v>
      </c>
      <c r="DF93" s="88">
        <v>-446.87102829891688</v>
      </c>
      <c r="DG93" s="93">
        <v>46143</v>
      </c>
      <c r="DH93" s="91">
        <v>0.05</v>
      </c>
      <c r="DI93" t="s">
        <v>300</v>
      </c>
      <c r="DJ93" s="93"/>
      <c r="DK93" s="91"/>
      <c r="DM93" s="93"/>
      <c r="DN93" s="91"/>
      <c r="DP93" s="93"/>
      <c r="DQ93" s="91"/>
    </row>
    <row r="94" spans="1:121" x14ac:dyDescent="0.3">
      <c r="A94" t="s">
        <v>24</v>
      </c>
      <c r="B94" t="s">
        <v>45</v>
      </c>
      <c r="C94" t="s">
        <v>67</v>
      </c>
      <c r="D94" t="s">
        <v>358</v>
      </c>
      <c r="E94" t="s">
        <v>456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38500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164.05260423659169</v>
      </c>
      <c r="BL94" s="88">
        <v>163.99612547847809</v>
      </c>
      <c r="BM94" s="88">
        <v>163.93968559512629</v>
      </c>
      <c r="BN94" s="88">
        <v>163.881373326491</v>
      </c>
      <c r="BO94" s="88">
        <v>163.82310252569141</v>
      </c>
      <c r="BP94" s="88">
        <v>163.7648731485051</v>
      </c>
      <c r="BQ94" s="88">
        <v>163.70668515077779</v>
      </c>
      <c r="BR94" s="88">
        <v>163.6475856085577</v>
      </c>
      <c r="BS94" s="88">
        <v>163.58948091407959</v>
      </c>
      <c r="BT94" s="88">
        <v>1710.07267416489</v>
      </c>
      <c r="BU94" s="88">
        <v>1710.012331029995</v>
      </c>
      <c r="BV94" s="88">
        <v>1709.9520307003479</v>
      </c>
      <c r="BW94" s="88">
        <v>0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1540.0000000000009</v>
      </c>
      <c r="CG94" s="88">
        <v>1540.0000000000009</v>
      </c>
      <c r="CH94" s="88">
        <v>1540.0000000000009</v>
      </c>
      <c r="CI94" s="88">
        <v>38500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164.05260423659169</v>
      </c>
      <c r="CV94" s="88">
        <v>163.99612547847809</v>
      </c>
      <c r="CW94" s="88">
        <v>163.93968559512629</v>
      </c>
      <c r="CX94" s="88">
        <v>163.881373326491</v>
      </c>
      <c r="CY94" s="88">
        <v>163.82310252569141</v>
      </c>
      <c r="CZ94" s="88">
        <v>163.7648731485051</v>
      </c>
      <c r="DA94" s="88">
        <v>163.70668515077779</v>
      </c>
      <c r="DB94" s="88">
        <v>163.6475856085577</v>
      </c>
      <c r="DC94" s="88">
        <v>163.58948091407959</v>
      </c>
      <c r="DD94" s="88">
        <v>163.53141746623919</v>
      </c>
      <c r="DE94" s="88">
        <v>163.47339522114731</v>
      </c>
      <c r="DF94" s="88">
        <v>163.41541413494909</v>
      </c>
      <c r="DG94" s="93">
        <v>46661</v>
      </c>
      <c r="DH94" s="91">
        <v>0.04</v>
      </c>
      <c r="DI94" t="s">
        <v>301</v>
      </c>
      <c r="DJ94" s="93"/>
      <c r="DK94" s="91"/>
      <c r="DM94" s="93"/>
      <c r="DN94" s="91"/>
      <c r="DP94" s="93"/>
      <c r="DQ94" s="91"/>
    </row>
    <row r="95" spans="1:121" x14ac:dyDescent="0.3">
      <c r="A95" t="s">
        <v>24</v>
      </c>
      <c r="B95" t="s">
        <v>45</v>
      </c>
      <c r="C95" t="s">
        <v>73</v>
      </c>
      <c r="D95" t="s">
        <v>360</v>
      </c>
      <c r="E95" t="s">
        <v>457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84000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3153.6564333341348</v>
      </c>
      <c r="BL95" s="88">
        <v>3151.6107477295318</v>
      </c>
      <c r="BM95" s="88">
        <v>3149.5707337703702</v>
      </c>
      <c r="BN95" s="88">
        <v>3147.4675050443561</v>
      </c>
      <c r="BO95" s="88">
        <v>3145.3702879366501</v>
      </c>
      <c r="BP95" s="88">
        <v>3143.2790567097281</v>
      </c>
      <c r="BQ95" s="88">
        <v>1432.5429272281319</v>
      </c>
      <c r="BR95" s="88">
        <v>1430.4709916719221</v>
      </c>
      <c r="BS95" s="88">
        <v>1428.4383153186859</v>
      </c>
      <c r="BT95" s="88">
        <v>1426.411407569366</v>
      </c>
      <c r="BU95" s="88">
        <v>1424.390243902438</v>
      </c>
      <c r="BV95" s="88">
        <v>1422.374799935051</v>
      </c>
      <c r="BW95" s="88">
        <v>1680.000000000002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0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84000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1444.761209151108</v>
      </c>
      <c r="CV95" s="88">
        <v>1442.755635028944</v>
      </c>
      <c r="CW95" s="88">
        <v>1440.7556213434941</v>
      </c>
      <c r="CX95" s="88">
        <v>1438.6936323964201</v>
      </c>
      <c r="CY95" s="88">
        <v>1436.6375371927941</v>
      </c>
      <c r="CZ95" s="88">
        <v>1434.5873104997311</v>
      </c>
      <c r="DA95" s="88">
        <v>1432.5429272281319</v>
      </c>
      <c r="DB95" s="88">
        <v>1430.4709916719221</v>
      </c>
      <c r="DC95" s="88">
        <v>1428.4383153186859</v>
      </c>
      <c r="DD95" s="88">
        <v>1426.411407569366</v>
      </c>
      <c r="DE95" s="88">
        <v>1424.390243902438</v>
      </c>
      <c r="DF95" s="88">
        <v>1422.374799935051</v>
      </c>
      <c r="DG95" s="93">
        <v>46204</v>
      </c>
      <c r="DH95" s="91">
        <v>0.02</v>
      </c>
      <c r="DI95" t="s">
        <v>300</v>
      </c>
      <c r="DJ95" s="93"/>
      <c r="DK95" s="91"/>
      <c r="DM95" s="93"/>
      <c r="DN95" s="91"/>
      <c r="DP95" s="93"/>
      <c r="DQ95" s="91"/>
    </row>
    <row r="96" spans="1:121" x14ac:dyDescent="0.3">
      <c r="A96" t="s">
        <v>24</v>
      </c>
      <c r="B96" t="s">
        <v>45</v>
      </c>
      <c r="C96" t="s">
        <v>78</v>
      </c>
      <c r="D96" t="s">
        <v>362</v>
      </c>
      <c r="E96" t="s">
        <v>458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70000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2100.0000000000018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0</v>
      </c>
      <c r="BS96" s="88">
        <v>0</v>
      </c>
      <c r="BT96" s="88">
        <v>0</v>
      </c>
      <c r="BU96" s="88">
        <v>0</v>
      </c>
      <c r="BV96" s="88">
        <v>0</v>
      </c>
      <c r="BW96" s="88">
        <v>2100.0000000000018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0</v>
      </c>
      <c r="CE96" s="88">
        <v>0</v>
      </c>
      <c r="CF96" s="88">
        <v>0</v>
      </c>
      <c r="CG96" s="88">
        <v>0</v>
      </c>
      <c r="CH96" s="88">
        <v>0</v>
      </c>
      <c r="CI96" s="88">
        <v>70000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93">
        <v>46235</v>
      </c>
      <c r="DH96" s="91">
        <v>0.03</v>
      </c>
      <c r="DI96" t="s">
        <v>300</v>
      </c>
      <c r="DJ96" s="93"/>
      <c r="DK96" s="91"/>
      <c r="DM96" s="93"/>
      <c r="DN96" s="91"/>
      <c r="DP96" s="93"/>
      <c r="DQ96" s="91"/>
    </row>
    <row r="97" spans="1:121" x14ac:dyDescent="0.3">
      <c r="A97" t="s">
        <v>24</v>
      </c>
      <c r="B97" t="s">
        <v>45</v>
      </c>
      <c r="C97" t="s">
        <v>80</v>
      </c>
      <c r="D97" t="s">
        <v>364</v>
      </c>
      <c r="E97" t="s">
        <v>459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56000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720.19590456111791</v>
      </c>
      <c r="BL97" s="88">
        <v>719.44809461236048</v>
      </c>
      <c r="BM97" s="88">
        <v>718.70183601831707</v>
      </c>
      <c r="BN97" s="88">
        <v>717.93190652367753</v>
      </c>
      <c r="BO97" s="88">
        <v>717.16362488085213</v>
      </c>
      <c r="BP97" s="88">
        <v>716.39698580524146</v>
      </c>
      <c r="BQ97" s="88">
        <v>715.63198403482704</v>
      </c>
      <c r="BR97" s="88">
        <v>714.85611364020588</v>
      </c>
      <c r="BS97" s="88">
        <v>714.09439741007043</v>
      </c>
      <c r="BT97" s="88">
        <v>713.33430274829186</v>
      </c>
      <c r="BU97" s="88">
        <v>712.57582448229323</v>
      </c>
      <c r="BV97" s="88">
        <v>711.81895746150656</v>
      </c>
      <c r="BW97" s="88">
        <v>0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56000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720.19590456111791</v>
      </c>
      <c r="CV97" s="88">
        <v>719.44809461236048</v>
      </c>
      <c r="CW97" s="88">
        <v>718.70183601831707</v>
      </c>
      <c r="CX97" s="88">
        <v>717.93190652367753</v>
      </c>
      <c r="CY97" s="88">
        <v>717.16362488085213</v>
      </c>
      <c r="CZ97" s="88">
        <v>716.39698580524146</v>
      </c>
      <c r="DA97" s="88">
        <v>715.63198403482704</v>
      </c>
      <c r="DB97" s="88">
        <v>714.85611364020588</v>
      </c>
      <c r="DC97" s="88">
        <v>714.09439741007043</v>
      </c>
      <c r="DD97" s="88">
        <v>713.33430274829186</v>
      </c>
      <c r="DE97" s="88">
        <v>712.57582448229323</v>
      </c>
      <c r="DF97" s="88">
        <v>711.81895746150656</v>
      </c>
      <c r="DG97" s="93"/>
      <c r="DH97" s="91"/>
      <c r="DJ97" s="93"/>
      <c r="DK97" s="91"/>
      <c r="DM97" s="93"/>
      <c r="DN97" s="91"/>
      <c r="DP97" s="93"/>
      <c r="DQ97" s="91"/>
    </row>
    <row r="98" spans="1:121" x14ac:dyDescent="0.3">
      <c r="A98" t="s">
        <v>24</v>
      </c>
      <c r="B98" t="s">
        <v>45</v>
      </c>
      <c r="C98" t="s">
        <v>82</v>
      </c>
      <c r="D98" t="s">
        <v>366</v>
      </c>
      <c r="E98" t="s">
        <v>460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42000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1913.2082368709721</v>
      </c>
      <c r="BL98" s="88">
        <v>1913.1442700594389</v>
      </c>
      <c r="BM98" s="88">
        <v>1913.080259422055</v>
      </c>
      <c r="BN98" s="88">
        <v>3669.5345941173841</v>
      </c>
      <c r="BO98" s="88">
        <v>3669.4656696125148</v>
      </c>
      <c r="BP98" s="88">
        <v>3669.396696232413</v>
      </c>
      <c r="BQ98" s="88">
        <v>3669.3276739250582</v>
      </c>
      <c r="BR98" s="88">
        <v>3669.257469913864</v>
      </c>
      <c r="BS98" s="88">
        <v>3669.1883487914761</v>
      </c>
      <c r="BT98" s="88">
        <v>1494.3992176995621</v>
      </c>
      <c r="BU98" s="88">
        <v>1494.3332945149691</v>
      </c>
      <c r="BV98" s="88">
        <v>1494.267324483493</v>
      </c>
      <c r="BW98" s="88">
        <v>2100.0000000000018</v>
      </c>
      <c r="BX98" s="88">
        <v>2100.0000000000018</v>
      </c>
      <c r="BY98" s="88">
        <v>2100.0000000000018</v>
      </c>
      <c r="BZ98" s="88">
        <v>3864.0000000000041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1680.000000000002</v>
      </c>
      <c r="CG98" s="88">
        <v>1680.000000000002</v>
      </c>
      <c r="CH98" s="88">
        <v>1680.000000000002</v>
      </c>
      <c r="CI98" s="88">
        <v>42000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-177.89691726574179</v>
      </c>
      <c r="CV98" s="88">
        <v>-177.95783803862889</v>
      </c>
      <c r="CW98" s="88">
        <v>-178.0188005504275</v>
      </c>
      <c r="CX98" s="88">
        <v>-178.08187351888159</v>
      </c>
      <c r="CY98" s="88">
        <v>-178.14499119733071</v>
      </c>
      <c r="CZ98" s="88">
        <v>-178.20815363332289</v>
      </c>
      <c r="DA98" s="88">
        <v>-178.27136087448989</v>
      </c>
      <c r="DB98" s="88">
        <v>-178.33565026203411</v>
      </c>
      <c r="DC98" s="88">
        <v>-178.398947993158</v>
      </c>
      <c r="DD98" s="88">
        <v>-178.4622906735043</v>
      </c>
      <c r="DE98" s="88">
        <v>-178.52567835098921</v>
      </c>
      <c r="DF98" s="88">
        <v>-178.58911107356639</v>
      </c>
      <c r="DG98" s="93">
        <v>46296</v>
      </c>
      <c r="DH98" s="91">
        <v>0.05</v>
      </c>
      <c r="DI98" t="s">
        <v>300</v>
      </c>
      <c r="DJ98" s="93">
        <v>46478</v>
      </c>
      <c r="DK98" s="91">
        <v>0.04</v>
      </c>
      <c r="DL98" t="s">
        <v>301</v>
      </c>
      <c r="DM98" s="93"/>
      <c r="DN98" s="91"/>
      <c r="DP98" s="93"/>
      <c r="DQ98" s="91"/>
    </row>
    <row r="99" spans="1:121" x14ac:dyDescent="0.3">
      <c r="A99" t="s">
        <v>24</v>
      </c>
      <c r="B99" t="s">
        <v>45</v>
      </c>
      <c r="C99" t="s">
        <v>84</v>
      </c>
      <c r="D99" t="s">
        <v>368</v>
      </c>
      <c r="E99" t="s">
        <v>461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28000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1933.7019472839911</v>
      </c>
      <c r="BL99" s="88">
        <v>1933.5267961619491</v>
      </c>
      <c r="BM99" s="88">
        <v>1933.351886715235</v>
      </c>
      <c r="BN99" s="88">
        <v>1933.1713017060081</v>
      </c>
      <c r="BO99" s="88">
        <v>1932.9909739493951</v>
      </c>
      <c r="BP99" s="88">
        <v>1932.810902896083</v>
      </c>
      <c r="BQ99" s="88">
        <v>1932.63108799832</v>
      </c>
      <c r="BR99" s="88">
        <v>1932.4485872414809</v>
      </c>
      <c r="BS99" s="88">
        <v>1932.269287194656</v>
      </c>
      <c r="BT99" s="88">
        <v>1932.09024166056</v>
      </c>
      <c r="BU99" s="88">
        <v>237.6523114128926</v>
      </c>
      <c r="BV99" s="88">
        <v>237.48387921319301</v>
      </c>
      <c r="BW99" s="88">
        <v>1680.000000000002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0</v>
      </c>
      <c r="CH99" s="88">
        <v>0</v>
      </c>
      <c r="CI99" s="88">
        <v>28000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239.34145970187879</v>
      </c>
      <c r="CV99" s="88">
        <v>239.1762227942902</v>
      </c>
      <c r="CW99" s="88">
        <v>239.01121388229731</v>
      </c>
      <c r="CX99" s="88">
        <v>238.84085066604399</v>
      </c>
      <c r="CY99" s="88">
        <v>238.67073014093609</v>
      </c>
      <c r="CZ99" s="88">
        <v>238.50085178875349</v>
      </c>
      <c r="DA99" s="88">
        <v>238.33121509275571</v>
      </c>
      <c r="DB99" s="88">
        <v>238.1590445674355</v>
      </c>
      <c r="DC99" s="88">
        <v>237.98989357986059</v>
      </c>
      <c r="DD99" s="88">
        <v>237.82098269864079</v>
      </c>
      <c r="DE99" s="88">
        <v>237.6523114128926</v>
      </c>
      <c r="DF99" s="88">
        <v>237.48387921319301</v>
      </c>
      <c r="DG99" s="93">
        <v>46327</v>
      </c>
      <c r="DH99" s="91">
        <v>0.06</v>
      </c>
      <c r="DI99" t="s">
        <v>300</v>
      </c>
      <c r="DJ99" s="93"/>
      <c r="DK99" s="91"/>
      <c r="DM99" s="93"/>
      <c r="DN99" s="91"/>
      <c r="DP99" s="93"/>
      <c r="DQ99" s="91"/>
    </row>
    <row r="100" spans="1:121" x14ac:dyDescent="0.3">
      <c r="A100" t="s">
        <v>24</v>
      </c>
      <c r="B100" t="s">
        <v>45</v>
      </c>
      <c r="C100" t="s">
        <v>86</v>
      </c>
      <c r="D100" t="s">
        <v>370</v>
      </c>
      <c r="E100" t="s">
        <v>462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73500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-620.78420936932457</v>
      </c>
      <c r="BL100" s="88">
        <v>-621.20826193673224</v>
      </c>
      <c r="BM100" s="88">
        <v>-621.63289423376511</v>
      </c>
      <c r="BN100" s="88">
        <v>-622.07253165143607</v>
      </c>
      <c r="BO100" s="88">
        <v>-622.51279135871346</v>
      </c>
      <c r="BP100" s="88">
        <v>-622.9536746778092</v>
      </c>
      <c r="BQ100" s="88">
        <v>-623.39518293460719</v>
      </c>
      <c r="BR100" s="88">
        <v>-623.84457079074525</v>
      </c>
      <c r="BS100" s="88">
        <v>-624.28734321549689</v>
      </c>
      <c r="BT100" s="88">
        <v>-624.73074460033638</v>
      </c>
      <c r="BU100" s="88">
        <v>-625.17477628634185</v>
      </c>
      <c r="BV100" s="88">
        <v>-625.61943961848363</v>
      </c>
      <c r="BW100" s="88">
        <v>0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73500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-620.78420936932457</v>
      </c>
      <c r="CV100" s="88">
        <v>-621.20826193673224</v>
      </c>
      <c r="CW100" s="88">
        <v>-621.63289423376511</v>
      </c>
      <c r="CX100" s="88">
        <v>-622.07253165143607</v>
      </c>
      <c r="CY100" s="88">
        <v>-622.51279135871346</v>
      </c>
      <c r="CZ100" s="88">
        <v>-622.9536746778092</v>
      </c>
      <c r="DA100" s="88">
        <v>-623.39518293460719</v>
      </c>
      <c r="DB100" s="88">
        <v>-623.84457079074525</v>
      </c>
      <c r="DC100" s="88">
        <v>-624.28734321549689</v>
      </c>
      <c r="DD100" s="88">
        <v>-624.73074460033638</v>
      </c>
      <c r="DE100" s="88">
        <v>-625.17477628634185</v>
      </c>
      <c r="DF100" s="88">
        <v>-625.61943961848363</v>
      </c>
      <c r="DG100" s="93"/>
      <c r="DH100" s="91"/>
      <c r="DJ100" s="93"/>
      <c r="DK100" s="91"/>
      <c r="DM100" s="93"/>
      <c r="DN100" s="91"/>
      <c r="DP100" s="93"/>
      <c r="DQ100" s="91"/>
    </row>
    <row r="101" spans="1:121" x14ac:dyDescent="0.3">
      <c r="A101" t="s">
        <v>24</v>
      </c>
      <c r="B101" t="s">
        <v>45</v>
      </c>
      <c r="C101" t="s">
        <v>88</v>
      </c>
      <c r="D101" t="s">
        <v>372</v>
      </c>
      <c r="E101" t="s">
        <v>463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59500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253.5358429110963</v>
      </c>
      <c r="BL101" s="88">
        <v>253.44855755764789</v>
      </c>
      <c r="BM101" s="88">
        <v>253.36133228337701</v>
      </c>
      <c r="BN101" s="88">
        <v>253.2712133227588</v>
      </c>
      <c r="BO101" s="88">
        <v>253.18115844879591</v>
      </c>
      <c r="BP101" s="88">
        <v>253.09116759314421</v>
      </c>
      <c r="BQ101" s="88">
        <v>253.00124068756571</v>
      </c>
      <c r="BR101" s="88">
        <v>252.90990503140739</v>
      </c>
      <c r="BS101" s="88">
        <v>252.82010686721401</v>
      </c>
      <c r="BT101" s="88">
        <v>252.73037244782429</v>
      </c>
      <c r="BU101" s="88">
        <v>252.6407017054095</v>
      </c>
      <c r="BV101" s="88">
        <v>252.55109457219399</v>
      </c>
      <c r="BW101" s="88">
        <v>0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59500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253.5358429110963</v>
      </c>
      <c r="CV101" s="88">
        <v>253.44855755764789</v>
      </c>
      <c r="CW101" s="88">
        <v>253.36133228337701</v>
      </c>
      <c r="CX101" s="88">
        <v>253.2712133227588</v>
      </c>
      <c r="CY101" s="88">
        <v>253.18115844879591</v>
      </c>
      <c r="CZ101" s="88">
        <v>253.09116759314421</v>
      </c>
      <c r="DA101" s="88">
        <v>253.00124068756571</v>
      </c>
      <c r="DB101" s="88">
        <v>252.90990503140739</v>
      </c>
      <c r="DC101" s="88">
        <v>252.82010686721401</v>
      </c>
      <c r="DD101" s="88">
        <v>252.73037244782429</v>
      </c>
      <c r="DE101" s="88">
        <v>252.6407017054095</v>
      </c>
      <c r="DF101" s="88">
        <v>252.55109457219399</v>
      </c>
      <c r="DG101" s="93">
        <v>46023</v>
      </c>
      <c r="DH101" s="91">
        <v>0.03</v>
      </c>
      <c r="DI101" t="s">
        <v>300</v>
      </c>
      <c r="DJ101" s="93"/>
      <c r="DK101" s="91"/>
      <c r="DM101" s="93"/>
      <c r="DN101" s="91"/>
      <c r="DP101" s="93"/>
      <c r="DQ101" s="91"/>
    </row>
    <row r="102" spans="1:121" x14ac:dyDescent="0.3">
      <c r="A102" t="s">
        <v>24</v>
      </c>
      <c r="B102" t="s">
        <v>45</v>
      </c>
      <c r="C102" t="s">
        <v>90</v>
      </c>
      <c r="D102" t="s">
        <v>374</v>
      </c>
      <c r="E102" t="s">
        <v>464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45500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2633.8821478217969</v>
      </c>
      <c r="BL102" s="88">
        <v>781.49263564067803</v>
      </c>
      <c r="BM102" s="88">
        <v>780.4092948943927</v>
      </c>
      <c r="BN102" s="88">
        <v>779.29238421472769</v>
      </c>
      <c r="BO102" s="88">
        <v>778.17866597943032</v>
      </c>
      <c r="BP102" s="88">
        <v>777.06812652068777</v>
      </c>
      <c r="BQ102" s="88">
        <v>775.96075224857168</v>
      </c>
      <c r="BR102" s="88">
        <v>2625.8319919751812</v>
      </c>
      <c r="BS102" s="88">
        <v>2624.686917629524</v>
      </c>
      <c r="BT102" s="88">
        <v>2623.5450929307399</v>
      </c>
      <c r="BU102" s="88">
        <v>2622.4065040650471</v>
      </c>
      <c r="BV102" s="88">
        <v>2621.2711372967492</v>
      </c>
      <c r="BW102" s="88">
        <v>1820.000000000002</v>
      </c>
      <c r="BX102" s="88">
        <v>0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1820.000000000002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45500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782.57898829018336</v>
      </c>
      <c r="CV102" s="88">
        <v>781.49263564067803</v>
      </c>
      <c r="CW102" s="88">
        <v>780.4092948943927</v>
      </c>
      <c r="CX102" s="88">
        <v>779.29238421472769</v>
      </c>
      <c r="CY102" s="88">
        <v>778.17866597943032</v>
      </c>
      <c r="CZ102" s="88">
        <v>777.06812652068777</v>
      </c>
      <c r="DA102" s="88">
        <v>775.96075224857168</v>
      </c>
      <c r="DB102" s="88">
        <v>774.83845382229106</v>
      </c>
      <c r="DC102" s="88">
        <v>773.73742079762144</v>
      </c>
      <c r="DD102" s="88">
        <v>772.63951243340694</v>
      </c>
      <c r="DE102" s="88">
        <v>771.5447154471542</v>
      </c>
      <c r="DF102" s="88">
        <v>770.45301663148598</v>
      </c>
      <c r="DG102" s="93">
        <v>46054</v>
      </c>
      <c r="DH102" s="91">
        <v>0.04</v>
      </c>
      <c r="DI102" t="s">
        <v>300</v>
      </c>
      <c r="DJ102" s="93">
        <v>46600</v>
      </c>
      <c r="DK102" s="91">
        <v>0.04</v>
      </c>
      <c r="DL102" t="s">
        <v>301</v>
      </c>
      <c r="DM102" s="93"/>
      <c r="DN102" s="91"/>
      <c r="DP102" s="93"/>
      <c r="DQ102" s="91"/>
    </row>
    <row r="103" spans="1:121" x14ac:dyDescent="0.3">
      <c r="A103" t="s">
        <v>24</v>
      </c>
      <c r="B103" t="s">
        <v>45</v>
      </c>
      <c r="C103" t="s">
        <v>91</v>
      </c>
      <c r="D103" t="s">
        <v>376</v>
      </c>
      <c r="E103" t="s">
        <v>465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31500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31500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93"/>
      <c r="DH103" s="91"/>
      <c r="DJ103" s="93"/>
      <c r="DK103" s="91"/>
      <c r="DM103" s="93"/>
      <c r="DN103" s="91"/>
      <c r="DP103" s="93"/>
      <c r="DQ103" s="91"/>
    </row>
    <row r="104" spans="1:121" x14ac:dyDescent="0.3">
      <c r="A104" t="s">
        <v>24</v>
      </c>
      <c r="B104" t="s">
        <v>45</v>
      </c>
      <c r="C104" t="s">
        <v>93</v>
      </c>
      <c r="D104" t="s">
        <v>378</v>
      </c>
      <c r="E104" t="s">
        <v>466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77000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5669.6855308978411</v>
      </c>
      <c r="BL104" s="88">
        <v>5668.5955978975126</v>
      </c>
      <c r="BM104" s="88">
        <v>5667.5079259966951</v>
      </c>
      <c r="BN104" s="88">
        <v>987.15637147005668</v>
      </c>
      <c r="BO104" s="88">
        <v>986.09998421117177</v>
      </c>
      <c r="BP104" s="88">
        <v>985.045855482207</v>
      </c>
      <c r="BQ104" s="88">
        <v>983.99397804788725</v>
      </c>
      <c r="BR104" s="88">
        <v>982.92715625528308</v>
      </c>
      <c r="BS104" s="88">
        <v>981.87979643884682</v>
      </c>
      <c r="BT104" s="88">
        <v>980.83466627890141</v>
      </c>
      <c r="BU104" s="88">
        <v>979.79175866315325</v>
      </c>
      <c r="BV104" s="88">
        <v>978.7510665095715</v>
      </c>
      <c r="BW104" s="88">
        <v>4620.0000000000045</v>
      </c>
      <c r="BX104" s="88">
        <v>4620.0000000000045</v>
      </c>
      <c r="BY104" s="88">
        <v>4620.0000000000045</v>
      </c>
      <c r="BZ104" s="88">
        <v>0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77000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990.26936877153719</v>
      </c>
      <c r="CV104" s="88">
        <v>989.24113009199561</v>
      </c>
      <c r="CW104" s="88">
        <v>988.21502452518598</v>
      </c>
      <c r="CX104" s="88">
        <v>987.15637147005668</v>
      </c>
      <c r="CY104" s="88">
        <v>986.09998421117177</v>
      </c>
      <c r="CZ104" s="88">
        <v>985.045855482207</v>
      </c>
      <c r="DA104" s="88">
        <v>983.99397804788725</v>
      </c>
      <c r="DB104" s="88">
        <v>982.92715625528308</v>
      </c>
      <c r="DC104" s="88">
        <v>981.87979643884682</v>
      </c>
      <c r="DD104" s="88">
        <v>980.83466627890141</v>
      </c>
      <c r="DE104" s="88">
        <v>979.79175866315325</v>
      </c>
      <c r="DF104" s="88">
        <v>978.7510665095715</v>
      </c>
      <c r="DG104" s="93">
        <v>46113</v>
      </c>
      <c r="DH104" s="91">
        <v>0.06</v>
      </c>
      <c r="DI104" t="s">
        <v>300</v>
      </c>
      <c r="DJ104" s="93"/>
      <c r="DK104" s="91"/>
      <c r="DM104" s="93"/>
      <c r="DN104" s="91"/>
      <c r="DP104" s="93"/>
      <c r="DQ104" s="91"/>
    </row>
    <row r="105" spans="1:121" x14ac:dyDescent="0.3">
      <c r="A105" t="s">
        <v>24</v>
      </c>
      <c r="B105" t="s">
        <v>45</v>
      </c>
      <c r="C105" t="s">
        <v>94</v>
      </c>
      <c r="D105" t="s">
        <v>380</v>
      </c>
      <c r="E105" t="s">
        <v>467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63000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987.81771658341677</v>
      </c>
      <c r="BL105" s="88">
        <v>987.72450780089446</v>
      </c>
      <c r="BM105" s="88">
        <v>987.63123515784537</v>
      </c>
      <c r="BN105" s="88">
        <v>987.53473351611581</v>
      </c>
      <c r="BO105" s="88">
        <v>-267.21748679599608</v>
      </c>
      <c r="BP105" s="88">
        <v>-267.31223044998433</v>
      </c>
      <c r="BQ105" s="88">
        <v>-267.40704131173487</v>
      </c>
      <c r="BR105" s="88">
        <v>-267.50347539305119</v>
      </c>
      <c r="BS105" s="88">
        <v>-267.59842198973712</v>
      </c>
      <c r="BT105" s="88">
        <v>-267.69343601025639</v>
      </c>
      <c r="BU105" s="88">
        <v>-267.78851752648382</v>
      </c>
      <c r="BV105" s="88">
        <v>-267.88366661034968</v>
      </c>
      <c r="BW105" s="88">
        <v>1260.0000000000009</v>
      </c>
      <c r="BX105" s="88">
        <v>1260.0000000000009</v>
      </c>
      <c r="BY105" s="88">
        <v>1260.0000000000009</v>
      </c>
      <c r="BZ105" s="88">
        <v>1260.0000000000009</v>
      </c>
      <c r="CA105" s="88">
        <v>0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63000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-266.84537589861282</v>
      </c>
      <c r="CV105" s="88">
        <v>-266.93675705794328</v>
      </c>
      <c r="CW105" s="88">
        <v>-267.02820082564119</v>
      </c>
      <c r="CX105" s="88">
        <v>-267.12281027832239</v>
      </c>
      <c r="CY105" s="88">
        <v>-267.21748679599608</v>
      </c>
      <c r="CZ105" s="88">
        <v>-267.31223044998433</v>
      </c>
      <c r="DA105" s="88">
        <v>-267.40704131173487</v>
      </c>
      <c r="DB105" s="88">
        <v>-267.50347539305119</v>
      </c>
      <c r="DC105" s="88">
        <v>-267.59842198973712</v>
      </c>
      <c r="DD105" s="88">
        <v>-267.69343601025639</v>
      </c>
      <c r="DE105" s="88">
        <v>-267.78851752648382</v>
      </c>
      <c r="DF105" s="88">
        <v>-267.88366661034968</v>
      </c>
      <c r="DG105" s="93">
        <v>46143</v>
      </c>
      <c r="DH105" s="91">
        <v>0.02</v>
      </c>
      <c r="DI105" t="s">
        <v>300</v>
      </c>
      <c r="DJ105" s="93"/>
      <c r="DK105" s="91"/>
      <c r="DM105" s="93"/>
      <c r="DN105" s="91"/>
      <c r="DP105" s="93"/>
      <c r="DQ105" s="91"/>
    </row>
    <row r="106" spans="1:121" x14ac:dyDescent="0.3">
      <c r="A106" t="s">
        <v>24</v>
      </c>
      <c r="B106" t="s">
        <v>45</v>
      </c>
      <c r="C106" t="s">
        <v>95</v>
      </c>
      <c r="D106" t="s">
        <v>382</v>
      </c>
      <c r="E106" t="s">
        <v>468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49000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418.84755447828792</v>
      </c>
      <c r="BL106" s="88">
        <v>2395.3007254856138</v>
      </c>
      <c r="BM106" s="88">
        <v>2395.0004092657809</v>
      </c>
      <c r="BN106" s="88">
        <v>2394.6903482122061</v>
      </c>
      <c r="BO106" s="88">
        <v>2394.3807288565108</v>
      </c>
      <c r="BP106" s="88">
        <v>2394.0715502555372</v>
      </c>
      <c r="BQ106" s="88">
        <v>2393.7628114688218</v>
      </c>
      <c r="BR106" s="88">
        <v>2393.4494611127361</v>
      </c>
      <c r="BS106" s="88">
        <v>2393.1416063153511</v>
      </c>
      <c r="BT106" s="88">
        <v>2392.8341885115269</v>
      </c>
      <c r="BU106" s="88">
        <v>2392.5272067714641</v>
      </c>
      <c r="BV106" s="88">
        <v>2392.2206601680082</v>
      </c>
      <c r="BW106" s="88">
        <v>0</v>
      </c>
      <c r="BX106" s="88">
        <v>1960.000000000002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49000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418.84755447828792</v>
      </c>
      <c r="CV106" s="88">
        <v>418.55838989000779</v>
      </c>
      <c r="CW106" s="88">
        <v>418.26962429402028</v>
      </c>
      <c r="CX106" s="88">
        <v>417.971488665577</v>
      </c>
      <c r="CY106" s="88">
        <v>417.67377774663822</v>
      </c>
      <c r="CZ106" s="88">
        <v>417.37649063031859</v>
      </c>
      <c r="DA106" s="88">
        <v>417.07962641232251</v>
      </c>
      <c r="DB106" s="88">
        <v>416.77832799301223</v>
      </c>
      <c r="DC106" s="88">
        <v>416.48231376475599</v>
      </c>
      <c r="DD106" s="88">
        <v>416.18671972262138</v>
      </c>
      <c r="DE106" s="88">
        <v>415.89154497256197</v>
      </c>
      <c r="DF106" s="88">
        <v>415.59678862308778</v>
      </c>
      <c r="DG106" s="93">
        <v>46419</v>
      </c>
      <c r="DH106" s="91">
        <v>0.04</v>
      </c>
      <c r="DI106" t="s">
        <v>301</v>
      </c>
      <c r="DJ106" s="93"/>
      <c r="DK106" s="91"/>
      <c r="DM106" s="93"/>
      <c r="DN106" s="91"/>
      <c r="DP106" s="93"/>
      <c r="DQ106" s="91"/>
    </row>
    <row r="107" spans="1:121" x14ac:dyDescent="0.3">
      <c r="A107" t="s">
        <v>24</v>
      </c>
      <c r="B107" t="s">
        <v>47</v>
      </c>
      <c r="C107" t="s">
        <v>43</v>
      </c>
      <c r="D107" t="s">
        <v>384</v>
      </c>
      <c r="E107" t="s">
        <v>469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35000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1092.564010598049</v>
      </c>
      <c r="BL107" s="88">
        <v>1092.3540036122879</v>
      </c>
      <c r="BM107" s="88">
        <v>1092.143709522325</v>
      </c>
      <c r="BN107" s="88">
        <v>1091.9259843250061</v>
      </c>
      <c r="BO107" s="88">
        <v>1091.7079509461651</v>
      </c>
      <c r="BP107" s="88">
        <v>1091.4896087309919</v>
      </c>
      <c r="BQ107" s="88">
        <v>-296.85484901647959</v>
      </c>
      <c r="BR107" s="88">
        <v>-297.0688432336882</v>
      </c>
      <c r="BS107" s="88">
        <v>-297.27968724547469</v>
      </c>
      <c r="BT107" s="88">
        <v>-297.49083076206489</v>
      </c>
      <c r="BU107" s="88">
        <v>-297.70227442206749</v>
      </c>
      <c r="BV107" s="88">
        <v>-297.91401886594463</v>
      </c>
      <c r="BW107" s="88">
        <v>1400.0000000000009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0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35000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-295.61152827110692</v>
      </c>
      <c r="CV107" s="88">
        <v>-295.81345806511058</v>
      </c>
      <c r="CW107" s="88">
        <v>-296.01566392084061</v>
      </c>
      <c r="CX107" s="88">
        <v>-296.2250150721124</v>
      </c>
      <c r="CY107" s="88">
        <v>-296.43466255176833</v>
      </c>
      <c r="CZ107" s="88">
        <v>-296.64460698943287</v>
      </c>
      <c r="DA107" s="88">
        <v>-296.85484901647959</v>
      </c>
      <c r="DB107" s="88">
        <v>-297.0688432336882</v>
      </c>
      <c r="DC107" s="88">
        <v>-297.27968724547469</v>
      </c>
      <c r="DD107" s="88">
        <v>-297.49083076206489</v>
      </c>
      <c r="DE107" s="88">
        <v>-297.70227442206749</v>
      </c>
      <c r="DF107" s="88">
        <v>-297.91401886594463</v>
      </c>
      <c r="DG107" s="93">
        <v>46204</v>
      </c>
      <c r="DH107" s="91">
        <v>0.04</v>
      </c>
      <c r="DI107" t="s">
        <v>300</v>
      </c>
      <c r="DJ107" s="93"/>
      <c r="DK107" s="91"/>
      <c r="DM107" s="93"/>
      <c r="DN107" s="91"/>
      <c r="DP107" s="93"/>
      <c r="DQ107" s="91"/>
    </row>
    <row r="108" spans="1:121" x14ac:dyDescent="0.3">
      <c r="A108" t="s">
        <v>24</v>
      </c>
      <c r="B108" t="s">
        <v>47</v>
      </c>
      <c r="C108" t="s">
        <v>46</v>
      </c>
      <c r="D108" t="s">
        <v>386</v>
      </c>
      <c r="E108" t="s">
        <v>470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80500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4385.1700356648807</v>
      </c>
      <c r="BL108" s="88">
        <v>4385.046039118668</v>
      </c>
      <c r="BM108" s="88">
        <v>4384.9221279202111</v>
      </c>
      <c r="BN108" s="88">
        <v>4384.7941059849818</v>
      </c>
      <c r="BO108" s="88">
        <v>4384.6661750904941</v>
      </c>
      <c r="BP108" s="88">
        <v>4384.5383351396722</v>
      </c>
      <c r="BQ108" s="88">
        <v>4384.4105860355821</v>
      </c>
      <c r="BR108" s="88">
        <v>342.1722244542571</v>
      </c>
      <c r="BS108" s="88">
        <v>342.05073282034829</v>
      </c>
      <c r="BT108" s="88">
        <v>341.92932742940928</v>
      </c>
      <c r="BU108" s="88">
        <v>341.80800818967168</v>
      </c>
      <c r="BV108" s="88">
        <v>341.68677500943897</v>
      </c>
      <c r="BW108" s="88">
        <v>4025.0000000000041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0</v>
      </c>
      <c r="CE108" s="88">
        <v>0</v>
      </c>
      <c r="CF108" s="88">
        <v>0</v>
      </c>
      <c r="CG108" s="88">
        <v>0</v>
      </c>
      <c r="CH108" s="88">
        <v>0</v>
      </c>
      <c r="CI108" s="88">
        <v>80500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343.01908158560087</v>
      </c>
      <c r="CV108" s="88">
        <v>342.90098963681783</v>
      </c>
      <c r="CW108" s="88">
        <v>342.7829789716277</v>
      </c>
      <c r="CX108" s="88">
        <v>342.66105331902662</v>
      </c>
      <c r="CY108" s="88">
        <v>342.53921437190019</v>
      </c>
      <c r="CZ108" s="88">
        <v>342.41746203778342</v>
      </c>
      <c r="DA108" s="88">
        <v>342.29579622435358</v>
      </c>
      <c r="DB108" s="88">
        <v>342.1722244542571</v>
      </c>
      <c r="DC108" s="88">
        <v>342.05073282034829</v>
      </c>
      <c r="DD108" s="88">
        <v>341.92932742940928</v>
      </c>
      <c r="DE108" s="88">
        <v>341.80800818967168</v>
      </c>
      <c r="DF108" s="88">
        <v>341.68677500943897</v>
      </c>
      <c r="DG108" s="93">
        <v>46235</v>
      </c>
      <c r="DH108" s="91">
        <v>0.05</v>
      </c>
      <c r="DI108" t="s">
        <v>300</v>
      </c>
      <c r="DJ108" s="93"/>
      <c r="DK108" s="91"/>
      <c r="DM108" s="93"/>
      <c r="DN108" s="91"/>
      <c r="DP108" s="93"/>
      <c r="DQ108" s="91"/>
    </row>
    <row r="109" spans="1:121" x14ac:dyDescent="0.3">
      <c r="A109" t="s">
        <v>24</v>
      </c>
      <c r="B109" t="s">
        <v>47</v>
      </c>
      <c r="C109" t="s">
        <v>48</v>
      </c>
      <c r="D109" t="s">
        <v>388</v>
      </c>
      <c r="E109" t="s">
        <v>471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66500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1143.76929057796</v>
      </c>
      <c r="BL109" s="88">
        <v>1142.181544397914</v>
      </c>
      <c r="BM109" s="88">
        <v>1140.598200230266</v>
      </c>
      <c r="BN109" s="88">
        <v>1138.9657923138329</v>
      </c>
      <c r="BO109" s="88">
        <v>1137.338050277629</v>
      </c>
      <c r="BP109" s="88">
        <v>1135.714954145621</v>
      </c>
      <c r="BQ109" s="88">
        <v>1134.0964840556051</v>
      </c>
      <c r="BR109" s="88">
        <v>1132.456201740272</v>
      </c>
      <c r="BS109" s="88">
        <v>1130.8469996272929</v>
      </c>
      <c r="BT109" s="88">
        <v>1129.242364325748</v>
      </c>
      <c r="BU109" s="88">
        <v>1127.6422764227641</v>
      </c>
      <c r="BV109" s="88">
        <v>1126.0467166152489</v>
      </c>
      <c r="BW109" s="88">
        <v>0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66500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1143.76929057796</v>
      </c>
      <c r="CV109" s="88">
        <v>1142.181544397914</v>
      </c>
      <c r="CW109" s="88">
        <v>1140.598200230266</v>
      </c>
      <c r="CX109" s="88">
        <v>1138.9657923138329</v>
      </c>
      <c r="CY109" s="88">
        <v>1137.338050277629</v>
      </c>
      <c r="CZ109" s="88">
        <v>1135.714954145621</v>
      </c>
      <c r="DA109" s="88">
        <v>1134.0964840556051</v>
      </c>
      <c r="DB109" s="88">
        <v>1132.456201740272</v>
      </c>
      <c r="DC109" s="88">
        <v>1130.8469996272929</v>
      </c>
      <c r="DD109" s="88">
        <v>1129.242364325748</v>
      </c>
      <c r="DE109" s="88">
        <v>1127.6422764227641</v>
      </c>
      <c r="DF109" s="88">
        <v>1126.0467166152489</v>
      </c>
      <c r="DG109" s="93"/>
      <c r="DH109" s="91"/>
      <c r="DJ109" s="93"/>
      <c r="DK109" s="91"/>
      <c r="DM109" s="93"/>
      <c r="DN109" s="91"/>
      <c r="DP109" s="93"/>
      <c r="DQ109" s="91"/>
    </row>
    <row r="110" spans="1:121" x14ac:dyDescent="0.3">
      <c r="A110" t="s">
        <v>24</v>
      </c>
      <c r="B110" t="s">
        <v>47</v>
      </c>
      <c r="C110" t="s">
        <v>50</v>
      </c>
      <c r="D110" t="s">
        <v>390</v>
      </c>
      <c r="E110" t="s">
        <v>472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52500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1050.0000000000009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3191.9999999999982</v>
      </c>
      <c r="BQ110" s="88">
        <v>3191.9999999999982</v>
      </c>
      <c r="BR110" s="88">
        <v>3191.9999999999982</v>
      </c>
      <c r="BS110" s="88">
        <v>3191.9999999999982</v>
      </c>
      <c r="BT110" s="88">
        <v>2100.0000000000018</v>
      </c>
      <c r="BU110" s="88">
        <v>2100.0000000000018</v>
      </c>
      <c r="BV110" s="88">
        <v>2100.0000000000018</v>
      </c>
      <c r="BW110" s="88">
        <v>1050.0000000000009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3191.9999999999982</v>
      </c>
      <c r="CC110" s="88">
        <v>3191.9999999999982</v>
      </c>
      <c r="CD110" s="88">
        <v>3191.9999999999982</v>
      </c>
      <c r="CE110" s="88">
        <v>3191.9999999999982</v>
      </c>
      <c r="CF110" s="88">
        <v>2100.0000000000018</v>
      </c>
      <c r="CG110" s="88">
        <v>2100.0000000000018</v>
      </c>
      <c r="CH110" s="88">
        <v>2100.0000000000018</v>
      </c>
      <c r="CI110" s="88">
        <v>52500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93">
        <v>46296</v>
      </c>
      <c r="DH110" s="91">
        <v>0.02</v>
      </c>
      <c r="DI110" t="s">
        <v>300</v>
      </c>
      <c r="DJ110" s="93">
        <v>46539</v>
      </c>
      <c r="DK110" s="91">
        <v>0.04</v>
      </c>
      <c r="DL110" t="s">
        <v>301</v>
      </c>
      <c r="DM110" s="93"/>
      <c r="DN110" s="91"/>
      <c r="DP110" s="93"/>
      <c r="DQ110" s="91"/>
    </row>
    <row r="111" spans="1:121" x14ac:dyDescent="0.3">
      <c r="A111" t="s">
        <v>24</v>
      </c>
      <c r="B111" t="s">
        <v>47</v>
      </c>
      <c r="C111" t="s">
        <v>57</v>
      </c>
      <c r="D111" t="s">
        <v>392</v>
      </c>
      <c r="E111" t="s">
        <v>473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38500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495.13468438576859</v>
      </c>
      <c r="BL111" s="88">
        <v>494.62056504599781</v>
      </c>
      <c r="BM111" s="88">
        <v>494.10751226259299</v>
      </c>
      <c r="BN111" s="88">
        <v>493.57818573502828</v>
      </c>
      <c r="BO111" s="88">
        <v>493.04999210558589</v>
      </c>
      <c r="BP111" s="88">
        <v>492.5229277411035</v>
      </c>
      <c r="BQ111" s="88">
        <v>491.99698902394363</v>
      </c>
      <c r="BR111" s="88">
        <v>491.46357812764148</v>
      </c>
      <c r="BS111" s="88">
        <v>490.93989821942341</v>
      </c>
      <c r="BT111" s="88">
        <v>490.4173331394507</v>
      </c>
      <c r="BU111" s="88">
        <v>489.89587933157662</v>
      </c>
      <c r="BV111" s="88">
        <v>489.37553325478581</v>
      </c>
      <c r="BW111" s="88">
        <v>0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38500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495.13468438576859</v>
      </c>
      <c r="CV111" s="88">
        <v>494.62056504599781</v>
      </c>
      <c r="CW111" s="88">
        <v>494.10751226259299</v>
      </c>
      <c r="CX111" s="88">
        <v>493.57818573502828</v>
      </c>
      <c r="CY111" s="88">
        <v>493.04999210558589</v>
      </c>
      <c r="CZ111" s="88">
        <v>492.5229277411035</v>
      </c>
      <c r="DA111" s="88">
        <v>491.99698902394363</v>
      </c>
      <c r="DB111" s="88">
        <v>491.46357812764148</v>
      </c>
      <c r="DC111" s="88">
        <v>490.93989821942341</v>
      </c>
      <c r="DD111" s="88">
        <v>490.4173331394507</v>
      </c>
      <c r="DE111" s="88">
        <v>489.89587933157662</v>
      </c>
      <c r="DF111" s="88">
        <v>489.37553325478581</v>
      </c>
      <c r="DG111" s="93"/>
      <c r="DH111" s="91"/>
      <c r="DJ111" s="93"/>
      <c r="DK111" s="91"/>
      <c r="DM111" s="93"/>
      <c r="DN111" s="91"/>
      <c r="DP111" s="93"/>
      <c r="DQ111" s="91"/>
    </row>
    <row r="112" spans="1:121" x14ac:dyDescent="0.3">
      <c r="A112" t="s">
        <v>24</v>
      </c>
      <c r="B112" t="s">
        <v>47</v>
      </c>
      <c r="C112" t="s">
        <v>58</v>
      </c>
      <c r="D112" t="s">
        <v>394</v>
      </c>
      <c r="E112" t="s">
        <v>474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84000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-355.7938345314837</v>
      </c>
      <c r="BL112" s="88">
        <v>-355.91567607725767</v>
      </c>
      <c r="BM112" s="88">
        <v>-356.037601100855</v>
      </c>
      <c r="BN112" s="88">
        <v>-356.16374703776319</v>
      </c>
      <c r="BO112" s="88">
        <v>-356.28998239466148</v>
      </c>
      <c r="BP112" s="88">
        <v>-356.41630726664567</v>
      </c>
      <c r="BQ112" s="88">
        <v>-356.54272174897977</v>
      </c>
      <c r="BR112" s="88">
        <v>-356.67130052406827</v>
      </c>
      <c r="BS112" s="88">
        <v>-356.79789598631612</v>
      </c>
      <c r="BT112" s="88">
        <v>-356.92458134700848</v>
      </c>
      <c r="BU112" s="88">
        <v>-357.05135670197842</v>
      </c>
      <c r="BV112" s="88">
        <v>-357.17822214713289</v>
      </c>
      <c r="BW112" s="88">
        <v>0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84000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-355.7938345314837</v>
      </c>
      <c r="CV112" s="88">
        <v>-355.91567607725767</v>
      </c>
      <c r="CW112" s="88">
        <v>-356.037601100855</v>
      </c>
      <c r="CX112" s="88">
        <v>-356.16374703776319</v>
      </c>
      <c r="CY112" s="88">
        <v>-356.28998239466148</v>
      </c>
      <c r="CZ112" s="88">
        <v>-356.41630726664567</v>
      </c>
      <c r="DA112" s="88">
        <v>-356.54272174897977</v>
      </c>
      <c r="DB112" s="88">
        <v>-356.67130052406827</v>
      </c>
      <c r="DC112" s="88">
        <v>-356.79789598631612</v>
      </c>
      <c r="DD112" s="88">
        <v>-356.92458134700848</v>
      </c>
      <c r="DE112" s="88">
        <v>-357.05135670197842</v>
      </c>
      <c r="DF112" s="88">
        <v>-357.17822214713289</v>
      </c>
      <c r="DG112" s="93"/>
      <c r="DH112" s="91"/>
      <c r="DJ112" s="93"/>
      <c r="DK112" s="91"/>
      <c r="DM112" s="93"/>
      <c r="DN112" s="91"/>
      <c r="DP112" s="93"/>
      <c r="DQ112" s="91"/>
    </row>
    <row r="113" spans="1:121" x14ac:dyDescent="0.3">
      <c r="A113" t="s">
        <v>24</v>
      </c>
      <c r="B113" t="s">
        <v>47</v>
      </c>
      <c r="C113" t="s">
        <v>65</v>
      </c>
      <c r="D113" t="s">
        <v>396</v>
      </c>
      <c r="E113" t="s">
        <v>475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70000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6079.1971124218526</v>
      </c>
      <c r="BL113" s="88">
        <v>5947.7033044293366</v>
      </c>
      <c r="BM113" s="88">
        <v>5816.6632548618154</v>
      </c>
      <c r="BN113" s="88">
        <v>6488.9267631947796</v>
      </c>
      <c r="BO113" s="88">
        <v>7058.0708103855241</v>
      </c>
      <c r="BP113" s="88">
        <v>6921.3396939903359</v>
      </c>
      <c r="BQ113" s="88">
        <v>2098.6788234269338</v>
      </c>
      <c r="BR113" s="88">
        <v>1969.1139387264229</v>
      </c>
      <c r="BS113" s="88">
        <v>1842.0924715004919</v>
      </c>
      <c r="BT113" s="88">
        <v>1715.5185859111041</v>
      </c>
      <c r="BU113" s="88">
        <v>1589.389920424413</v>
      </c>
      <c r="BV113" s="88">
        <v>1463.7041300906619</v>
      </c>
      <c r="BW113" s="88">
        <v>4549.9999999999964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0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70000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1435.8658332599659</v>
      </c>
      <c r="CV113" s="88">
        <v>1312.3974689477391</v>
      </c>
      <c r="CW113" s="88">
        <v>1189.3551688843379</v>
      </c>
      <c r="CX113" s="88">
        <v>1820.5885100420451</v>
      </c>
      <c r="CY113" s="88">
        <v>2354.9960660896959</v>
      </c>
      <c r="CZ113" s="88">
        <v>2226.6100413054828</v>
      </c>
      <c r="DA113" s="88">
        <v>2098.6788234269338</v>
      </c>
      <c r="DB113" s="88">
        <v>1969.1139387264229</v>
      </c>
      <c r="DC113" s="88">
        <v>1842.0924715004919</v>
      </c>
      <c r="DD113" s="88">
        <v>1715.5185859111041</v>
      </c>
      <c r="DE113" s="88">
        <v>1589.389920424413</v>
      </c>
      <c r="DF113" s="88">
        <v>1463.7041300906619</v>
      </c>
      <c r="DG113" s="93">
        <v>46204</v>
      </c>
      <c r="DH113" s="91">
        <v>6.5000000000000002E-2</v>
      </c>
      <c r="DI113" t="s">
        <v>301</v>
      </c>
      <c r="DJ113" s="93"/>
      <c r="DK113" s="91"/>
      <c r="DM113" s="93"/>
      <c r="DN113" s="91"/>
      <c r="DP113" s="93"/>
      <c r="DQ113" s="91"/>
    </row>
    <row r="114" spans="1:121" x14ac:dyDescent="0.3">
      <c r="A114" t="s">
        <v>24</v>
      </c>
      <c r="B114" t="s">
        <v>47</v>
      </c>
      <c r="C114" t="s">
        <v>66</v>
      </c>
      <c r="D114" t="s">
        <v>398</v>
      </c>
      <c r="E114" t="s">
        <v>476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56000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2858.642848052204</v>
      </c>
      <c r="BL114" s="88">
        <v>-473.30153290417701</v>
      </c>
      <c r="BM114" s="88">
        <v>-473.62506227334489</v>
      </c>
      <c r="BN114" s="88">
        <v>-473.96002411537978</v>
      </c>
      <c r="BO114" s="88">
        <v>-474.29546008282932</v>
      </c>
      <c r="BP114" s="88">
        <v>-474.63137118309271</v>
      </c>
      <c r="BQ114" s="88">
        <v>-474.96775842636742</v>
      </c>
      <c r="BR114" s="88">
        <v>-475.31014917390121</v>
      </c>
      <c r="BS114" s="88">
        <v>-475.64749959275952</v>
      </c>
      <c r="BT114" s="88">
        <v>1744.9752576119281</v>
      </c>
      <c r="BU114" s="88">
        <v>1744.623415361687</v>
      </c>
      <c r="BV114" s="88">
        <v>1744.271072607065</v>
      </c>
      <c r="BW114" s="88">
        <v>3360.0000000000032</v>
      </c>
      <c r="BX114" s="88">
        <v>0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2240.0000000000018</v>
      </c>
      <c r="CG114" s="88">
        <v>2240.0000000000018</v>
      </c>
      <c r="CH114" s="88">
        <v>2240.0000000000018</v>
      </c>
      <c r="CI114" s="88">
        <v>56000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-472.97844523377108</v>
      </c>
      <c r="CV114" s="88">
        <v>-473.30153290417701</v>
      </c>
      <c r="CW114" s="88">
        <v>-473.62506227334489</v>
      </c>
      <c r="CX114" s="88">
        <v>-473.96002411537978</v>
      </c>
      <c r="CY114" s="88">
        <v>-474.29546008282932</v>
      </c>
      <c r="CZ114" s="88">
        <v>-474.63137118309271</v>
      </c>
      <c r="DA114" s="88">
        <v>-474.96775842636742</v>
      </c>
      <c r="DB114" s="88">
        <v>-475.31014917390121</v>
      </c>
      <c r="DC114" s="88">
        <v>-475.64749959275952</v>
      </c>
      <c r="DD114" s="88">
        <v>-475.98532921930388</v>
      </c>
      <c r="DE114" s="88">
        <v>-476.32363907530811</v>
      </c>
      <c r="DF114" s="88">
        <v>-476.66243018551143</v>
      </c>
      <c r="DG114" s="93">
        <v>46054</v>
      </c>
      <c r="DH114" s="91">
        <v>0.06</v>
      </c>
      <c r="DI114" t="s">
        <v>300</v>
      </c>
      <c r="DJ114" s="93">
        <v>46661</v>
      </c>
      <c r="DK114" s="91">
        <v>0.04</v>
      </c>
      <c r="DL114" t="s">
        <v>301</v>
      </c>
      <c r="DM114" s="93"/>
      <c r="DN114" s="91"/>
      <c r="DP114" s="93"/>
      <c r="DQ114" s="91"/>
    </row>
    <row r="115" spans="1:121" x14ac:dyDescent="0.3">
      <c r="A115" t="s">
        <v>24</v>
      </c>
      <c r="B115" t="s">
        <v>47</v>
      </c>
      <c r="C115" t="s">
        <v>67</v>
      </c>
      <c r="D115" t="s">
        <v>400</v>
      </c>
      <c r="E115" t="s">
        <v>477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42000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4396.8631250839098</v>
      </c>
      <c r="BL115" s="88">
        <v>4396.7953505741734</v>
      </c>
      <c r="BM115" s="88">
        <v>4396.7276227141538</v>
      </c>
      <c r="BN115" s="88">
        <v>6252.52395391147</v>
      </c>
      <c r="BO115" s="88">
        <v>6252.4512319520672</v>
      </c>
      <c r="BP115" s="88">
        <v>6252.3785616893392</v>
      </c>
      <c r="BQ115" s="88">
        <v>6252.3059430681769</v>
      </c>
      <c r="BR115" s="88">
        <v>6252.2321868394874</v>
      </c>
      <c r="BS115" s="88">
        <v>6252.1596721807746</v>
      </c>
      <c r="BT115" s="88">
        <v>1865.5338263616991</v>
      </c>
      <c r="BU115" s="88">
        <v>1865.467997487267</v>
      </c>
      <c r="BV115" s="88">
        <v>1865.40221530947</v>
      </c>
      <c r="BW115" s="88">
        <v>4200.0000000000036</v>
      </c>
      <c r="BX115" s="88">
        <v>4200.0000000000036</v>
      </c>
      <c r="BY115" s="88">
        <v>4200.0000000000036</v>
      </c>
      <c r="BZ115" s="88">
        <v>6048.0000000000045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1680.000000000002</v>
      </c>
      <c r="CG115" s="88">
        <v>1680.000000000002</v>
      </c>
      <c r="CH115" s="88">
        <v>1680.000000000002</v>
      </c>
      <c r="CI115" s="88">
        <v>42000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178.96647734900921</v>
      </c>
      <c r="CV115" s="88">
        <v>178.90486415833971</v>
      </c>
      <c r="CW115" s="88">
        <v>178.84329337650141</v>
      </c>
      <c r="CX115" s="88">
        <v>178.77967999253559</v>
      </c>
      <c r="CY115" s="88">
        <v>178.7161118462088</v>
      </c>
      <c r="CZ115" s="88">
        <v>178.65258888927829</v>
      </c>
      <c r="DA115" s="88">
        <v>178.58911107357579</v>
      </c>
      <c r="DB115" s="88">
        <v>178.5246388456994</v>
      </c>
      <c r="DC115" s="88">
        <v>178.4612519062687</v>
      </c>
      <c r="DD115" s="88">
        <v>178.39790996317009</v>
      </c>
      <c r="DE115" s="88">
        <v>178.3346129685244</v>
      </c>
      <c r="DF115" s="88">
        <v>178.27136087448989</v>
      </c>
      <c r="DG115" s="93">
        <v>46296</v>
      </c>
      <c r="DH115" s="91">
        <v>0.1</v>
      </c>
      <c r="DI115" t="s">
        <v>402</v>
      </c>
      <c r="DJ115" s="93">
        <v>46478</v>
      </c>
      <c r="DK115" s="91">
        <v>0.04</v>
      </c>
      <c r="DL115" t="s">
        <v>301</v>
      </c>
      <c r="DM115" s="93"/>
      <c r="DN115" s="91"/>
      <c r="DP115" s="93"/>
      <c r="DQ115" s="91"/>
    </row>
    <row r="116" spans="1:121" x14ac:dyDescent="0.3">
      <c r="A116" t="s">
        <v>24</v>
      </c>
      <c r="B116" t="s">
        <v>47</v>
      </c>
      <c r="C116" t="s">
        <v>73</v>
      </c>
      <c r="D116" t="s">
        <v>403</v>
      </c>
      <c r="E116" t="s">
        <v>478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28000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1336.03468180855</v>
      </c>
      <c r="BL116" s="88">
        <v>1335.346101359936</v>
      </c>
      <c r="BM116" s="88">
        <v>1334.659429994603</v>
      </c>
      <c r="BN116" s="88">
        <v>479.5645441321401</v>
      </c>
      <c r="BO116" s="88">
        <v>478.8791790642648</v>
      </c>
      <c r="BP116" s="88">
        <v>478.19577016657712</v>
      </c>
      <c r="BQ116" s="88">
        <v>477.51430907604413</v>
      </c>
      <c r="BR116" s="88">
        <v>476.82366389064072</v>
      </c>
      <c r="BS116" s="88">
        <v>476.14610510622862</v>
      </c>
      <c r="BT116" s="88">
        <v>475.47046918978879</v>
      </c>
      <c r="BU116" s="88">
        <v>474.79674796747952</v>
      </c>
      <c r="BV116" s="88">
        <v>474.12493331168372</v>
      </c>
      <c r="BW116" s="88">
        <v>840.0000000000008</v>
      </c>
      <c r="BX116" s="88">
        <v>840.0000000000008</v>
      </c>
      <c r="BY116" s="88">
        <v>840.0000000000008</v>
      </c>
      <c r="BZ116" s="88">
        <v>0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28000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481.58706971703589</v>
      </c>
      <c r="CV116" s="88">
        <v>480.91854500964803</v>
      </c>
      <c r="CW116" s="88">
        <v>480.25187378116482</v>
      </c>
      <c r="CX116" s="88">
        <v>479.5645441321401</v>
      </c>
      <c r="CY116" s="88">
        <v>478.8791790642648</v>
      </c>
      <c r="CZ116" s="88">
        <v>478.19577016657712</v>
      </c>
      <c r="DA116" s="88">
        <v>477.51430907604413</v>
      </c>
      <c r="DB116" s="88">
        <v>476.82366389064072</v>
      </c>
      <c r="DC116" s="88">
        <v>476.14610510622862</v>
      </c>
      <c r="DD116" s="88">
        <v>475.47046918978879</v>
      </c>
      <c r="DE116" s="88">
        <v>474.79674796747952</v>
      </c>
      <c r="DF116" s="88">
        <v>474.12493331168372</v>
      </c>
      <c r="DG116" s="93">
        <v>46113</v>
      </c>
      <c r="DH116" s="91">
        <v>0.03</v>
      </c>
      <c r="DI116" t="s">
        <v>300</v>
      </c>
      <c r="DJ116" s="93"/>
      <c r="DK116" s="91"/>
      <c r="DM116" s="93"/>
      <c r="DN116" s="91"/>
      <c r="DP116" s="93"/>
      <c r="DQ116" s="91"/>
    </row>
    <row r="117" spans="1:121" x14ac:dyDescent="0.3">
      <c r="A117" t="s">
        <v>24</v>
      </c>
      <c r="B117" t="s">
        <v>47</v>
      </c>
      <c r="C117" t="s">
        <v>78</v>
      </c>
      <c r="D117" t="s">
        <v>405</v>
      </c>
      <c r="E117" t="s">
        <v>479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73500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2940.0000000000032</v>
      </c>
      <c r="BL117" s="88">
        <v>2940.0000000000032</v>
      </c>
      <c r="BM117" s="88">
        <v>2940.0000000000032</v>
      </c>
      <c r="BN117" s="88">
        <v>2940.0000000000032</v>
      </c>
      <c r="BO117" s="88">
        <v>0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2940.0000000000032</v>
      </c>
      <c r="BX117" s="88">
        <v>2940.0000000000032</v>
      </c>
      <c r="BY117" s="88">
        <v>2940.0000000000032</v>
      </c>
      <c r="BZ117" s="88">
        <v>2940.0000000000032</v>
      </c>
      <c r="CA117" s="88">
        <v>0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73500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93">
        <v>46143</v>
      </c>
      <c r="DH117" s="91">
        <v>0.04</v>
      </c>
      <c r="DI117" t="s">
        <v>300</v>
      </c>
      <c r="DJ117" s="93"/>
      <c r="DK117" s="91"/>
      <c r="DM117" s="93"/>
      <c r="DN117" s="91"/>
      <c r="DP117" s="93"/>
      <c r="DQ117" s="91"/>
    </row>
    <row r="118" spans="1:121" x14ac:dyDescent="0.3">
      <c r="A118" t="s">
        <v>24</v>
      </c>
      <c r="B118" t="s">
        <v>47</v>
      </c>
      <c r="C118" t="s">
        <v>80</v>
      </c>
      <c r="D118" t="s">
        <v>407</v>
      </c>
      <c r="E118" t="s">
        <v>480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59500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765.20814859618781</v>
      </c>
      <c r="BL118" s="88">
        <v>764.413600525633</v>
      </c>
      <c r="BM118" s="88">
        <v>763.62070076946191</v>
      </c>
      <c r="BN118" s="88">
        <v>3173.314756708663</v>
      </c>
      <c r="BO118" s="88">
        <v>3172.4658054933411</v>
      </c>
      <c r="BP118" s="88">
        <v>3171.6186693147961</v>
      </c>
      <c r="BQ118" s="88">
        <v>3170.773342358485</v>
      </c>
      <c r="BR118" s="88">
        <v>3169.9160055724342</v>
      </c>
      <c r="BS118" s="88">
        <v>3169.0743091381341</v>
      </c>
      <c r="BT118" s="88">
        <v>3168.234404536865</v>
      </c>
      <c r="BU118" s="88">
        <v>3167.3962860529341</v>
      </c>
      <c r="BV118" s="88">
        <v>3166.559947994971</v>
      </c>
      <c r="BW118" s="88">
        <v>0</v>
      </c>
      <c r="BX118" s="88">
        <v>0</v>
      </c>
      <c r="BY118" s="88">
        <v>0</v>
      </c>
      <c r="BZ118" s="88">
        <v>2380.0000000000018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59500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765.20814859618781</v>
      </c>
      <c r="CV118" s="88">
        <v>764.413600525633</v>
      </c>
      <c r="CW118" s="88">
        <v>763.62070076946191</v>
      </c>
      <c r="CX118" s="88">
        <v>762.80265068140739</v>
      </c>
      <c r="CY118" s="88">
        <v>761.98635143590548</v>
      </c>
      <c r="CZ118" s="88">
        <v>761.1717974180691</v>
      </c>
      <c r="DA118" s="88">
        <v>760.35898303700378</v>
      </c>
      <c r="DB118" s="88">
        <v>759.53462074271874</v>
      </c>
      <c r="DC118" s="88">
        <v>758.72529724819981</v>
      </c>
      <c r="DD118" s="88">
        <v>757.9176966700602</v>
      </c>
      <c r="DE118" s="88">
        <v>757.11181351243658</v>
      </c>
      <c r="DF118" s="88">
        <v>756.3076423028507</v>
      </c>
      <c r="DG118" s="93">
        <v>46478</v>
      </c>
      <c r="DH118" s="91">
        <v>0.04</v>
      </c>
      <c r="DI118" t="s">
        <v>301</v>
      </c>
      <c r="DJ118" s="93"/>
      <c r="DK118" s="91"/>
      <c r="DM118" s="93"/>
      <c r="DN118" s="91"/>
      <c r="DP118" s="93"/>
      <c r="DQ118" s="91"/>
    </row>
    <row r="119" spans="1:121" x14ac:dyDescent="0.3">
      <c r="A119" t="s">
        <v>24</v>
      </c>
      <c r="B119" t="s">
        <v>47</v>
      </c>
      <c r="C119" t="s">
        <v>82</v>
      </c>
      <c r="D119" t="s">
        <v>409</v>
      </c>
      <c r="E119" t="s">
        <v>481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45500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2525.7150400065102</v>
      </c>
      <c r="BL119" s="88">
        <v>2525.645082652311</v>
      </c>
      <c r="BM119" s="88">
        <v>2525.5750773679251</v>
      </c>
      <c r="BN119" s="88">
        <v>2525.5026485758181</v>
      </c>
      <c r="BO119" s="88">
        <v>2525.430168441731</v>
      </c>
      <c r="BP119" s="88">
        <v>2525.3576369110679</v>
      </c>
      <c r="BQ119" s="88">
        <v>-193.12730761403071</v>
      </c>
      <c r="BR119" s="88">
        <v>-193.19695445053699</v>
      </c>
      <c r="BS119" s="88">
        <v>-193.26552699258789</v>
      </c>
      <c r="BT119" s="88">
        <v>-193.33414822962959</v>
      </c>
      <c r="BU119" s="88">
        <v>-193.40281821357161</v>
      </c>
      <c r="BV119" s="88">
        <v>-193.47153699636371</v>
      </c>
      <c r="BW119" s="88">
        <v>2730.0000000000018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0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45500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-192.72166037122031</v>
      </c>
      <c r="CV119" s="88">
        <v>-192.78765787518131</v>
      </c>
      <c r="CW119" s="88">
        <v>-192.85370059629651</v>
      </c>
      <c r="CX119" s="88">
        <v>-192.9220296454551</v>
      </c>
      <c r="CY119" s="88">
        <v>-192.99040713044161</v>
      </c>
      <c r="CZ119" s="88">
        <v>-193.05883310276641</v>
      </c>
      <c r="DA119" s="88">
        <v>-193.12730761403071</v>
      </c>
      <c r="DB119" s="88">
        <v>-193.19695445053699</v>
      </c>
      <c r="DC119" s="88">
        <v>-193.26552699258789</v>
      </c>
      <c r="DD119" s="88">
        <v>-193.33414822962959</v>
      </c>
      <c r="DE119" s="88">
        <v>-193.40281821357161</v>
      </c>
      <c r="DF119" s="88">
        <v>-193.47153699636371</v>
      </c>
      <c r="DG119" s="93">
        <v>46204</v>
      </c>
      <c r="DH119" s="91">
        <v>0.06</v>
      </c>
      <c r="DI119" t="s">
        <v>300</v>
      </c>
      <c r="DJ119" s="93"/>
      <c r="DK119" s="91"/>
      <c r="DM119" s="93"/>
      <c r="DN119" s="91"/>
      <c r="DP119" s="93"/>
      <c r="DQ119" s="91"/>
    </row>
    <row r="120" spans="1:121" x14ac:dyDescent="0.3">
      <c r="A120" t="s">
        <v>24</v>
      </c>
      <c r="B120" t="s">
        <v>47</v>
      </c>
      <c r="C120" t="s">
        <v>84</v>
      </c>
      <c r="D120" t="s">
        <v>411</v>
      </c>
      <c r="E120" t="s">
        <v>482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31500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904.64432500790804</v>
      </c>
      <c r="BL120" s="88">
        <v>904.4547156564463</v>
      </c>
      <c r="BM120" s="88">
        <v>904.26536792993625</v>
      </c>
      <c r="BN120" s="88">
        <v>904.06987613928379</v>
      </c>
      <c r="BO120" s="88">
        <v>903.87466283672291</v>
      </c>
      <c r="BP120" s="88">
        <v>903.67972742759628</v>
      </c>
      <c r="BQ120" s="88">
        <v>903.48506931893928</v>
      </c>
      <c r="BR120" s="88">
        <v>267.92892513836489</v>
      </c>
      <c r="BS120" s="88">
        <v>267.73863027734308</v>
      </c>
      <c r="BT120" s="88">
        <v>267.54860553597092</v>
      </c>
      <c r="BU120" s="88">
        <v>267.3588503395041</v>
      </c>
      <c r="BV120" s="88">
        <v>267.16936411484221</v>
      </c>
      <c r="BW120" s="88">
        <v>630.00000000000057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0</v>
      </c>
      <c r="CE120" s="88">
        <v>0</v>
      </c>
      <c r="CF120" s="88">
        <v>0</v>
      </c>
      <c r="CG120" s="88">
        <v>0</v>
      </c>
      <c r="CH120" s="88">
        <v>0</v>
      </c>
      <c r="CI120" s="88">
        <v>31500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269.25914216461359</v>
      </c>
      <c r="CV120" s="88">
        <v>269.07325064357639</v>
      </c>
      <c r="CW120" s="88">
        <v>268.88761561758452</v>
      </c>
      <c r="CX120" s="88">
        <v>268.69595699929948</v>
      </c>
      <c r="CY120" s="88">
        <v>268.50457140855309</v>
      </c>
      <c r="CZ120" s="88">
        <v>268.31345826234758</v>
      </c>
      <c r="DA120" s="88">
        <v>268.12261697935008</v>
      </c>
      <c r="DB120" s="88">
        <v>267.92892513836489</v>
      </c>
      <c r="DC120" s="88">
        <v>267.73863027734308</v>
      </c>
      <c r="DD120" s="88">
        <v>267.54860553597092</v>
      </c>
      <c r="DE120" s="88">
        <v>267.3588503395041</v>
      </c>
      <c r="DF120" s="88">
        <v>267.16936411484221</v>
      </c>
      <c r="DG120" s="93">
        <v>46235</v>
      </c>
      <c r="DH120" s="91">
        <v>0.02</v>
      </c>
      <c r="DI120" t="s">
        <v>300</v>
      </c>
      <c r="DJ120" s="93"/>
      <c r="DK120" s="91"/>
      <c r="DM120" s="93"/>
      <c r="DN120" s="91"/>
      <c r="DP120" s="93"/>
      <c r="DQ120" s="91"/>
    </row>
    <row r="121" spans="1:121" x14ac:dyDescent="0.3">
      <c r="A121" t="s">
        <v>24</v>
      </c>
      <c r="B121" t="s">
        <v>47</v>
      </c>
      <c r="C121" t="s">
        <v>86</v>
      </c>
      <c r="D121" t="s">
        <v>413</v>
      </c>
      <c r="E121" t="s">
        <v>483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77000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-650.34536219643519</v>
      </c>
      <c r="BL121" s="88">
        <v>-650.78960774324332</v>
      </c>
      <c r="BM121" s="88">
        <v>-651.23446062584924</v>
      </c>
      <c r="BN121" s="88">
        <v>-651.69503315864733</v>
      </c>
      <c r="BO121" s="88">
        <v>-652.15625761389026</v>
      </c>
      <c r="BP121" s="88">
        <v>-652.61813537675255</v>
      </c>
      <c r="BQ121" s="88">
        <v>-653.0806678362552</v>
      </c>
      <c r="BR121" s="88">
        <v>-653.55145511411411</v>
      </c>
      <c r="BS121" s="88">
        <v>-654.0153119400444</v>
      </c>
      <c r="BT121" s="88">
        <v>-654.47982767654287</v>
      </c>
      <c r="BU121" s="88">
        <v>-654.94500372854861</v>
      </c>
      <c r="BV121" s="88">
        <v>-655.41084150507811</v>
      </c>
      <c r="BW121" s="88">
        <v>0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77000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-650.34536219643519</v>
      </c>
      <c r="CV121" s="88">
        <v>-650.78960774324332</v>
      </c>
      <c r="CW121" s="88">
        <v>-651.23446062584924</v>
      </c>
      <c r="CX121" s="88">
        <v>-651.69503315864733</v>
      </c>
      <c r="CY121" s="88">
        <v>-652.15625761389026</v>
      </c>
      <c r="CZ121" s="88">
        <v>-652.61813537675255</v>
      </c>
      <c r="DA121" s="88">
        <v>-653.0806678362552</v>
      </c>
      <c r="DB121" s="88">
        <v>-653.55145511411411</v>
      </c>
      <c r="DC121" s="88">
        <v>-654.0153119400444</v>
      </c>
      <c r="DD121" s="88">
        <v>-654.47982767654287</v>
      </c>
      <c r="DE121" s="88">
        <v>-654.94500372854861</v>
      </c>
      <c r="DF121" s="88">
        <v>-655.41084150507811</v>
      </c>
      <c r="DG121" s="93"/>
      <c r="DH121" s="91"/>
      <c r="DJ121" s="93"/>
      <c r="DK121" s="91"/>
      <c r="DM121" s="93"/>
      <c r="DN121" s="91"/>
      <c r="DP121" s="93"/>
      <c r="DQ121" s="91"/>
    </row>
    <row r="122" spans="1:121" x14ac:dyDescent="0.3">
      <c r="A122" t="s">
        <v>24</v>
      </c>
      <c r="B122" t="s">
        <v>47</v>
      </c>
      <c r="C122" t="s">
        <v>88</v>
      </c>
      <c r="D122" t="s">
        <v>415</v>
      </c>
      <c r="E122" t="s">
        <v>484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63000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2799.1877046644572</v>
      </c>
      <c r="BL122" s="88">
        <v>2799.0915880870102</v>
      </c>
      <c r="BM122" s="88">
        <v>2798.9955376673461</v>
      </c>
      <c r="BN122" s="88">
        <v>2798.8963007883581</v>
      </c>
      <c r="BO122" s="88">
        <v>2798.7971344800908</v>
      </c>
      <c r="BP122" s="88">
        <v>2798.6980386672708</v>
      </c>
      <c r="BQ122" s="88">
        <v>2798.5990132747788</v>
      </c>
      <c r="BR122" s="88">
        <v>5430.4383740632629</v>
      </c>
      <c r="BS122" s="88">
        <v>5430.3355350927404</v>
      </c>
      <c r="BT122" s="88">
        <v>2798.3007395425479</v>
      </c>
      <c r="BU122" s="88">
        <v>2798.2019962309009</v>
      </c>
      <c r="BV122" s="88">
        <v>2798.1033229642048</v>
      </c>
      <c r="BW122" s="88">
        <v>2520.0000000000018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5140.8000000000065</v>
      </c>
      <c r="CE122" s="88">
        <v>5140.8000000000065</v>
      </c>
      <c r="CF122" s="88">
        <v>2520.0000000000018</v>
      </c>
      <c r="CG122" s="88">
        <v>2520.0000000000018</v>
      </c>
      <c r="CH122" s="88">
        <v>2520.0000000000018</v>
      </c>
      <c r="CI122" s="88">
        <v>63000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268.44971602351382</v>
      </c>
      <c r="CV122" s="88">
        <v>268.35729623750962</v>
      </c>
      <c r="CW122" s="88">
        <v>268.26494006475212</v>
      </c>
      <c r="CX122" s="88">
        <v>268.16951998880347</v>
      </c>
      <c r="CY122" s="88">
        <v>268.07416776931319</v>
      </c>
      <c r="CZ122" s="88">
        <v>267.97888333391739</v>
      </c>
      <c r="DA122" s="88">
        <v>267.88366661036372</v>
      </c>
      <c r="DB122" s="88">
        <v>267.78695826854897</v>
      </c>
      <c r="DC122" s="88">
        <v>267.69187785940312</v>
      </c>
      <c r="DD122" s="88">
        <v>267.59686494475511</v>
      </c>
      <c r="DE122" s="88">
        <v>267.50191945278658</v>
      </c>
      <c r="DF122" s="88">
        <v>267.40704131173487</v>
      </c>
      <c r="DG122" s="93">
        <v>46296</v>
      </c>
      <c r="DH122" s="91">
        <v>0.04</v>
      </c>
      <c r="DI122" t="s">
        <v>300</v>
      </c>
      <c r="DJ122" s="93">
        <v>46600</v>
      </c>
      <c r="DK122" s="91">
        <v>0.04</v>
      </c>
      <c r="DL122" t="s">
        <v>301</v>
      </c>
      <c r="DM122" s="93"/>
      <c r="DN122" s="91"/>
      <c r="DP122" s="93"/>
      <c r="DQ122" s="91"/>
    </row>
    <row r="123" spans="1:121" x14ac:dyDescent="0.3">
      <c r="A123" t="s">
        <v>24</v>
      </c>
      <c r="B123" t="s">
        <v>47</v>
      </c>
      <c r="C123" t="s">
        <v>90</v>
      </c>
      <c r="D123" t="s">
        <v>417</v>
      </c>
      <c r="E123" t="s">
        <v>485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49000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3334.9162406050509</v>
      </c>
      <c r="BL123" s="88">
        <v>3333.6878264552311</v>
      </c>
      <c r="BM123" s="88">
        <v>3332.4628180728891</v>
      </c>
      <c r="BN123" s="88">
        <v>3331.199849842807</v>
      </c>
      <c r="BO123" s="88">
        <v>3329.9404915305872</v>
      </c>
      <c r="BP123" s="88">
        <v>3328.684727681089</v>
      </c>
      <c r="BQ123" s="88">
        <v>3327.4325429272362</v>
      </c>
      <c r="BR123" s="88">
        <v>3326.163482399058</v>
      </c>
      <c r="BS123" s="88">
        <v>3324.918468132696</v>
      </c>
      <c r="BT123" s="88">
        <v>3323.6769871362362</v>
      </c>
      <c r="BU123" s="88">
        <v>830.89430894308919</v>
      </c>
      <c r="BV123" s="88">
        <v>829.71863329544647</v>
      </c>
      <c r="BW123" s="88">
        <v>2450.0000000000018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0</v>
      </c>
      <c r="CH123" s="88">
        <v>0</v>
      </c>
      <c r="CI123" s="88">
        <v>49000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842.77737200481283</v>
      </c>
      <c r="CV123" s="88">
        <v>841.60745376688408</v>
      </c>
      <c r="CW123" s="88">
        <v>840.44077911703835</v>
      </c>
      <c r="CX123" s="88">
        <v>839.23795223124523</v>
      </c>
      <c r="CY123" s="88">
        <v>838.03856336246338</v>
      </c>
      <c r="CZ123" s="88">
        <v>836.84259779150989</v>
      </c>
      <c r="DA123" s="88">
        <v>835.65004088307717</v>
      </c>
      <c r="DB123" s="88">
        <v>834.44141180862118</v>
      </c>
      <c r="DC123" s="88">
        <v>833.25568393590004</v>
      </c>
      <c r="DD123" s="88">
        <v>832.07332108213052</v>
      </c>
      <c r="DE123" s="88">
        <v>830.89430894308919</v>
      </c>
      <c r="DF123" s="88">
        <v>829.71863329544647</v>
      </c>
      <c r="DG123" s="93">
        <v>46327</v>
      </c>
      <c r="DH123" s="91">
        <v>0.05</v>
      </c>
      <c r="DI123" t="s">
        <v>300</v>
      </c>
      <c r="DJ123" s="93"/>
      <c r="DK123" s="91"/>
      <c r="DM123" s="93"/>
      <c r="DN123" s="91"/>
      <c r="DP123" s="93"/>
      <c r="DQ123" s="91"/>
    </row>
    <row r="124" spans="1:121" x14ac:dyDescent="0.3">
      <c r="A124" t="s">
        <v>24</v>
      </c>
      <c r="B124" t="s">
        <v>47</v>
      </c>
      <c r="C124" t="s">
        <v>91</v>
      </c>
      <c r="D124" t="s">
        <v>419</v>
      </c>
      <c r="E124" t="s">
        <v>486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35000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35000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93"/>
      <c r="DH124" s="91"/>
      <c r="DJ124" s="93"/>
      <c r="DK124" s="91"/>
      <c r="DM124" s="93"/>
      <c r="DN124" s="91"/>
      <c r="DP124" s="93"/>
      <c r="DQ124" s="91"/>
    </row>
    <row r="125" spans="1:121" x14ac:dyDescent="0.3">
      <c r="A125" t="s">
        <v>24</v>
      </c>
      <c r="B125" t="s">
        <v>47</v>
      </c>
      <c r="C125" t="s">
        <v>93</v>
      </c>
      <c r="D125" t="s">
        <v>421</v>
      </c>
      <c r="E125" t="s">
        <v>487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80500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1035.281612806607</v>
      </c>
      <c r="BL125" s="88">
        <v>1034.2066360052679</v>
      </c>
      <c r="BM125" s="88">
        <v>1033.133889276331</v>
      </c>
      <c r="BN125" s="88">
        <v>1032.027115627787</v>
      </c>
      <c r="BO125" s="88">
        <v>1030.922710766225</v>
      </c>
      <c r="BP125" s="88">
        <v>1029.8206670950351</v>
      </c>
      <c r="BQ125" s="88">
        <v>1028.720977050064</v>
      </c>
      <c r="BR125" s="88">
        <v>1027.6056633577959</v>
      </c>
      <c r="BS125" s="88">
        <v>1026.510696276976</v>
      </c>
      <c r="BT125" s="88">
        <v>1025.41806020067</v>
      </c>
      <c r="BU125" s="88">
        <v>1024.327747693296</v>
      </c>
      <c r="BV125" s="88">
        <v>1023.239751350916</v>
      </c>
      <c r="BW125" s="88">
        <v>0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80500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1035.281612806607</v>
      </c>
      <c r="CV125" s="88">
        <v>1034.2066360052679</v>
      </c>
      <c r="CW125" s="88">
        <v>1033.133889276331</v>
      </c>
      <c r="CX125" s="88">
        <v>1032.027115627787</v>
      </c>
      <c r="CY125" s="88">
        <v>1030.922710766225</v>
      </c>
      <c r="CZ125" s="88">
        <v>1029.8206670950351</v>
      </c>
      <c r="DA125" s="88">
        <v>1028.720977050064</v>
      </c>
      <c r="DB125" s="88">
        <v>1027.6056633577959</v>
      </c>
      <c r="DC125" s="88">
        <v>1026.510696276976</v>
      </c>
      <c r="DD125" s="88">
        <v>1025.41806020067</v>
      </c>
      <c r="DE125" s="88">
        <v>1024.327747693296</v>
      </c>
      <c r="DF125" s="88">
        <v>1023.239751350916</v>
      </c>
      <c r="DG125" s="93">
        <v>46023</v>
      </c>
      <c r="DH125" s="91">
        <v>0.02</v>
      </c>
      <c r="DI125" t="s">
        <v>300</v>
      </c>
      <c r="DJ125" s="93"/>
      <c r="DK125" s="91"/>
      <c r="DM125" s="93"/>
      <c r="DN125" s="91"/>
      <c r="DP125" s="93"/>
      <c r="DQ125" s="91"/>
    </row>
    <row r="126" spans="1:121" x14ac:dyDescent="0.3">
      <c r="A126" t="s">
        <v>24</v>
      </c>
      <c r="B126" t="s">
        <v>47</v>
      </c>
      <c r="C126" t="s">
        <v>94</v>
      </c>
      <c r="D126" t="s">
        <v>423</v>
      </c>
      <c r="E126" t="s">
        <v>488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66500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1704.879777425793</v>
      </c>
      <c r="BL126" s="88">
        <v>2366.9627600297322</v>
      </c>
      <c r="BM126" s="88">
        <v>2366.8623750936281</v>
      </c>
      <c r="BN126" s="88">
        <v>2366.758514938911</v>
      </c>
      <c r="BO126" s="88">
        <v>2366.6545811617352</v>
      </c>
      <c r="BP126" s="88">
        <v>2366.5505736837981</v>
      </c>
      <c r="BQ126" s="88">
        <v>2366.4464924266772</v>
      </c>
      <c r="BR126" s="88">
        <v>2366.340629235181</v>
      </c>
      <c r="BS126" s="88">
        <v>2366.236398971269</v>
      </c>
      <c r="BT126" s="88">
        <v>2366.1320946909718</v>
      </c>
      <c r="BU126" s="88">
        <v>2366.0277163153669</v>
      </c>
      <c r="BV126" s="88">
        <v>2365.92326376553</v>
      </c>
      <c r="BW126" s="88">
        <v>1995.000000000002</v>
      </c>
      <c r="BX126" s="88">
        <v>2660.0000000000018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66500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-281.6701190040913</v>
      </c>
      <c r="CV126" s="88">
        <v>-281.7665768944957</v>
      </c>
      <c r="CW126" s="88">
        <v>-281.86310087151031</v>
      </c>
      <c r="CX126" s="88">
        <v>-281.96296640489589</v>
      </c>
      <c r="CY126" s="88">
        <v>-282.06290272910701</v>
      </c>
      <c r="CZ126" s="88">
        <v>-282.16290991942788</v>
      </c>
      <c r="DA126" s="88">
        <v>-282.26298805127573</v>
      </c>
      <c r="DB126" s="88">
        <v>-282.36477958155399</v>
      </c>
      <c r="DC126" s="88">
        <v>-282.46500098916692</v>
      </c>
      <c r="DD126" s="88">
        <v>-282.5652935663818</v>
      </c>
      <c r="DE126" s="88">
        <v>-282.66565738906621</v>
      </c>
      <c r="DF126" s="88">
        <v>-282.76609253314689</v>
      </c>
      <c r="DG126" s="93">
        <v>46054</v>
      </c>
      <c r="DH126" s="91">
        <v>0.03</v>
      </c>
      <c r="DI126" t="s">
        <v>300</v>
      </c>
      <c r="DJ126" s="93">
        <v>46419</v>
      </c>
      <c r="DK126" s="91">
        <v>0.04</v>
      </c>
      <c r="DL126" t="s">
        <v>301</v>
      </c>
      <c r="DM126" s="93"/>
      <c r="DN126" s="91"/>
      <c r="DP126" s="93"/>
      <c r="DQ126" s="91"/>
    </row>
    <row r="127" spans="1:121" x14ac:dyDescent="0.3">
      <c r="A127" t="s">
        <v>24</v>
      </c>
      <c r="B127" t="s">
        <v>47</v>
      </c>
      <c r="C127" t="s">
        <v>95</v>
      </c>
      <c r="D127" t="s">
        <v>425</v>
      </c>
      <c r="E127" t="s">
        <v>489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52500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448.76523694102269</v>
      </c>
      <c r="BL127" s="88">
        <v>448.45541773929409</v>
      </c>
      <c r="BM127" s="88">
        <v>448.14602602930739</v>
      </c>
      <c r="BN127" s="88">
        <v>447.82659499883249</v>
      </c>
      <c r="BO127" s="88">
        <v>447.50761901425523</v>
      </c>
      <c r="BP127" s="88">
        <v>447.18909710391267</v>
      </c>
      <c r="BQ127" s="88">
        <v>446.87102829891688</v>
      </c>
      <c r="BR127" s="88">
        <v>446.54820856394161</v>
      </c>
      <c r="BS127" s="88">
        <v>446.23105046223861</v>
      </c>
      <c r="BT127" s="88">
        <v>445.91434255995148</v>
      </c>
      <c r="BU127" s="88">
        <v>445.59808389917362</v>
      </c>
      <c r="BV127" s="88">
        <v>445.28227352473692</v>
      </c>
      <c r="BW127" s="88">
        <v>0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52500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448.76523694102269</v>
      </c>
      <c r="CV127" s="88">
        <v>448.45541773929409</v>
      </c>
      <c r="CW127" s="88">
        <v>448.14602602930739</v>
      </c>
      <c r="CX127" s="88">
        <v>447.82659499883249</v>
      </c>
      <c r="CY127" s="88">
        <v>447.50761901425523</v>
      </c>
      <c r="CZ127" s="88">
        <v>447.18909710391267</v>
      </c>
      <c r="DA127" s="88">
        <v>446.87102829891688</v>
      </c>
      <c r="DB127" s="88">
        <v>446.54820856394161</v>
      </c>
      <c r="DC127" s="88">
        <v>446.23105046223861</v>
      </c>
      <c r="DD127" s="88">
        <v>445.91434255995148</v>
      </c>
      <c r="DE127" s="88">
        <v>445.59808389917362</v>
      </c>
      <c r="DF127" s="88">
        <v>445.28227352473692</v>
      </c>
      <c r="DG127" s="93"/>
      <c r="DH127" s="91"/>
      <c r="DJ127" s="93"/>
      <c r="DK127" s="91"/>
      <c r="DM127" s="93"/>
      <c r="DN127" s="91"/>
      <c r="DP127" s="93"/>
      <c r="DQ127" s="91"/>
    </row>
    <row r="128" spans="1:121" x14ac:dyDescent="0.3">
      <c r="A128" t="s">
        <v>26</v>
      </c>
      <c r="B128" t="s">
        <v>42</v>
      </c>
      <c r="C128" t="s">
        <v>43</v>
      </c>
      <c r="D128" t="s">
        <v>298</v>
      </c>
      <c r="E128" t="s">
        <v>490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32000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2883.999013742723</v>
      </c>
      <c r="BL128" s="88">
        <v>2881.7898389352122</v>
      </c>
      <c r="BM128" s="88">
        <v>2879.5907664087472</v>
      </c>
      <c r="BN128" s="88">
        <v>4621.1940821691824</v>
      </c>
      <c r="BO128" s="88">
        <v>4618.8290412579236</v>
      </c>
      <c r="BP128" s="88">
        <v>4616.4751032554323</v>
      </c>
      <c r="BQ128" s="88">
        <v>2541.6341416597352</v>
      </c>
      <c r="BR128" s="88">
        <v>2539.398194839855</v>
      </c>
      <c r="BS128" s="88">
        <v>2537.2086506865021</v>
      </c>
      <c r="BT128" s="88">
        <v>2535.0292895536058</v>
      </c>
      <c r="BU128" s="88">
        <v>2532.8600405679608</v>
      </c>
      <c r="BV128" s="88">
        <v>2530.7008335125188</v>
      </c>
      <c r="BW128" s="88">
        <v>1920.000000000002</v>
      </c>
      <c r="BX128" s="88">
        <v>1920.000000000002</v>
      </c>
      <c r="BY128" s="88">
        <v>1920.000000000002</v>
      </c>
      <c r="BZ128" s="88">
        <v>3616</v>
      </c>
      <c r="CA128" s="88">
        <v>3616</v>
      </c>
      <c r="CB128" s="88">
        <v>3616</v>
      </c>
      <c r="CC128" s="88">
        <v>1600.0000000000009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32000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909.43303183275498</v>
      </c>
      <c r="CV128" s="88">
        <v>907.34890465586204</v>
      </c>
      <c r="CW128" s="88">
        <v>905.27430793277836</v>
      </c>
      <c r="CX128" s="88">
        <v>903.13933707923161</v>
      </c>
      <c r="CY128" s="88">
        <v>901.01441263065851</v>
      </c>
      <c r="CZ128" s="88">
        <v>898.8994638413601</v>
      </c>
      <c r="DA128" s="88">
        <v>896.79442062831777</v>
      </c>
      <c r="DB128" s="88">
        <v>894.66494746652359</v>
      </c>
      <c r="DC128" s="88">
        <v>892.57966732047578</v>
      </c>
      <c r="DD128" s="88">
        <v>890.50408528914454</v>
      </c>
      <c r="DE128" s="88">
        <v>888.43813387424575</v>
      </c>
      <c r="DF128" s="88">
        <v>886.38174620239602</v>
      </c>
      <c r="DG128" s="93">
        <v>45839</v>
      </c>
      <c r="DH128" s="91">
        <v>0.04</v>
      </c>
      <c r="DI128" t="s">
        <v>300</v>
      </c>
      <c r="DJ128" s="93">
        <v>46204</v>
      </c>
      <c r="DK128" s="91">
        <v>0.06</v>
      </c>
      <c r="DL128" t="s">
        <v>300</v>
      </c>
      <c r="DM128" s="93">
        <v>46478</v>
      </c>
      <c r="DN128" s="91">
        <v>0.05</v>
      </c>
      <c r="DO128" t="s">
        <v>301</v>
      </c>
      <c r="DP128" s="93"/>
      <c r="DQ128" s="91"/>
    </row>
    <row r="129" spans="1:121" x14ac:dyDescent="0.3">
      <c r="A129" t="s">
        <v>26</v>
      </c>
      <c r="B129" t="s">
        <v>42</v>
      </c>
      <c r="C129" t="s">
        <v>46</v>
      </c>
      <c r="D129" t="s">
        <v>302</v>
      </c>
      <c r="E129" t="s">
        <v>491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84000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2869.9980604797738</v>
      </c>
      <c r="BL129" s="88">
        <v>3713.280595625863</v>
      </c>
      <c r="BM129" s="88">
        <v>3713.1651668281902</v>
      </c>
      <c r="BN129" s="88">
        <v>3713.045904470875</v>
      </c>
      <c r="BO129" s="88">
        <v>3712.926722635128</v>
      </c>
      <c r="BP129" s="88">
        <v>3712.8076212394408</v>
      </c>
      <c r="BQ129" s="88">
        <v>3712.688600202418</v>
      </c>
      <c r="BR129" s="88">
        <v>3712.5677102625641</v>
      </c>
      <c r="BS129" s="88">
        <v>3712.4488510130309</v>
      </c>
      <c r="BT129" s="88">
        <v>3712.3300718772639</v>
      </c>
      <c r="BU129" s="88">
        <v>3712.211372774259</v>
      </c>
      <c r="BV129" s="88">
        <v>3712.092753623197</v>
      </c>
      <c r="BW129" s="88">
        <v>2520.0000000000018</v>
      </c>
      <c r="BX129" s="88">
        <v>3360.0000000000032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84000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339.80394221337559</v>
      </c>
      <c r="CV129" s="88">
        <v>339.69288040948612</v>
      </c>
      <c r="CW129" s="88">
        <v>339.58189118094231</v>
      </c>
      <c r="CX129" s="88">
        <v>339.46721583736928</v>
      </c>
      <c r="CY129" s="88">
        <v>339.35261791839099</v>
      </c>
      <c r="CZ129" s="88">
        <v>339.23809734561422</v>
      </c>
      <c r="DA129" s="88">
        <v>339.12365404077599</v>
      </c>
      <c r="DB129" s="88">
        <v>339.00741371399329</v>
      </c>
      <c r="DC129" s="88">
        <v>338.8931259740682</v>
      </c>
      <c r="DD129" s="88">
        <v>338.77891526660341</v>
      </c>
      <c r="DE129" s="88">
        <v>338.66478151370939</v>
      </c>
      <c r="DF129" s="88">
        <v>338.55072463768289</v>
      </c>
      <c r="DG129" s="93">
        <v>46054</v>
      </c>
      <c r="DH129" s="91">
        <v>0.03</v>
      </c>
      <c r="DI129" t="s">
        <v>300</v>
      </c>
      <c r="DJ129" s="93">
        <v>46419</v>
      </c>
      <c r="DK129" s="91">
        <v>0.04</v>
      </c>
      <c r="DL129" t="s">
        <v>301</v>
      </c>
      <c r="DM129" s="93"/>
      <c r="DN129" s="91"/>
      <c r="DP129" s="93"/>
      <c r="DQ129" s="91"/>
    </row>
    <row r="130" spans="1:121" x14ac:dyDescent="0.3">
      <c r="A130" t="s">
        <v>26</v>
      </c>
      <c r="B130" t="s">
        <v>42</v>
      </c>
      <c r="C130" t="s">
        <v>48</v>
      </c>
      <c r="D130" t="s">
        <v>304</v>
      </c>
      <c r="E130" t="s">
        <v>492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68000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1109.819352530862</v>
      </c>
      <c r="BL130" s="88">
        <v>1108.3573358340559</v>
      </c>
      <c r="BM130" s="88">
        <v>1106.899166034879</v>
      </c>
      <c r="BN130" s="88">
        <v>1105.395595341482</v>
      </c>
      <c r="BO130" s="88">
        <v>1103.896103896114</v>
      </c>
      <c r="BP130" s="88">
        <v>1102.4006751204729</v>
      </c>
      <c r="BQ130" s="88">
        <v>1100.9092925260679</v>
      </c>
      <c r="BR130" s="88">
        <v>1099.397590361453</v>
      </c>
      <c r="BS130" s="88">
        <v>1097.914316678831</v>
      </c>
      <c r="BT130" s="88">
        <v>1096.4350399788009</v>
      </c>
      <c r="BU130" s="88">
        <v>1094.95974412705</v>
      </c>
      <c r="BV130" s="88">
        <v>1093.4884130760379</v>
      </c>
      <c r="BW130" s="88">
        <v>0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68000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1109.819352530862</v>
      </c>
      <c r="CV130" s="88">
        <v>1108.3573358340559</v>
      </c>
      <c r="CW130" s="88">
        <v>1106.899166034879</v>
      </c>
      <c r="CX130" s="88">
        <v>1105.395595341482</v>
      </c>
      <c r="CY130" s="88">
        <v>1103.896103896114</v>
      </c>
      <c r="CZ130" s="88">
        <v>1102.4006751204729</v>
      </c>
      <c r="DA130" s="88">
        <v>1100.9092925260679</v>
      </c>
      <c r="DB130" s="88">
        <v>1099.397590361453</v>
      </c>
      <c r="DC130" s="88">
        <v>1097.914316678831</v>
      </c>
      <c r="DD130" s="88">
        <v>1096.4350399788009</v>
      </c>
      <c r="DE130" s="88">
        <v>1094.95974412705</v>
      </c>
      <c r="DF130" s="88">
        <v>1093.4884130760379</v>
      </c>
      <c r="DG130" s="93"/>
      <c r="DH130" s="91"/>
      <c r="DJ130" s="93"/>
      <c r="DK130" s="91"/>
      <c r="DM130" s="93"/>
      <c r="DN130" s="91"/>
      <c r="DP130" s="93"/>
      <c r="DQ130" s="91"/>
    </row>
    <row r="131" spans="1:121" x14ac:dyDescent="0.3">
      <c r="A131" t="s">
        <v>26</v>
      </c>
      <c r="B131" t="s">
        <v>42</v>
      </c>
      <c r="C131" t="s">
        <v>50</v>
      </c>
      <c r="D131" t="s">
        <v>306</v>
      </c>
      <c r="E131" t="s">
        <v>493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52000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2600.0000000000018</v>
      </c>
      <c r="BL131" s="88">
        <v>2600.0000000000018</v>
      </c>
      <c r="BM131" s="88">
        <v>2600.0000000000018</v>
      </c>
      <c r="BN131" s="88">
        <v>0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2600.0000000000018</v>
      </c>
      <c r="BX131" s="88">
        <v>2600.0000000000018</v>
      </c>
      <c r="BY131" s="88">
        <v>2600.0000000000018</v>
      </c>
      <c r="BZ131" s="88">
        <v>0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93">
        <v>46113</v>
      </c>
      <c r="DH131" s="91">
        <v>0.05</v>
      </c>
      <c r="DI131" t="s">
        <v>300</v>
      </c>
      <c r="DJ131" s="93"/>
      <c r="DK131" s="91"/>
      <c r="DM131" s="93"/>
      <c r="DN131" s="91"/>
      <c r="DP131" s="93"/>
      <c r="DQ131" s="91"/>
    </row>
    <row r="132" spans="1:121" x14ac:dyDescent="0.3">
      <c r="A132" t="s">
        <v>26</v>
      </c>
      <c r="B132" t="s">
        <v>42</v>
      </c>
      <c r="C132" t="s">
        <v>57</v>
      </c>
      <c r="D132" t="s">
        <v>308</v>
      </c>
      <c r="E132" t="s">
        <v>494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36000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2625.7626778578551</v>
      </c>
      <c r="BL132" s="88">
        <v>2625.303668069756</v>
      </c>
      <c r="BM132" s="88">
        <v>2624.8455621005501</v>
      </c>
      <c r="BN132" s="88">
        <v>2624.372874574909</v>
      </c>
      <c r="BO132" s="88">
        <v>437.64259188329743</v>
      </c>
      <c r="BP132" s="88">
        <v>437.19846947263358</v>
      </c>
      <c r="BQ132" s="88">
        <v>436.75524754449049</v>
      </c>
      <c r="BR132" s="88">
        <v>436.30567961084222</v>
      </c>
      <c r="BS132" s="88">
        <v>435.86426510100199</v>
      </c>
      <c r="BT132" s="88">
        <v>435.42374285477689</v>
      </c>
      <c r="BU132" s="88">
        <v>434.9841101694887</v>
      </c>
      <c r="BV132" s="88">
        <v>434.54536435339452</v>
      </c>
      <c r="BW132" s="88">
        <v>2160.0000000000018</v>
      </c>
      <c r="BX132" s="88">
        <v>2160.0000000000018</v>
      </c>
      <c r="BY132" s="88">
        <v>2160.0000000000018</v>
      </c>
      <c r="BZ132" s="88">
        <v>2160.0000000000018</v>
      </c>
      <c r="CA132" s="88">
        <v>0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36000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439.39875269608473</v>
      </c>
      <c r="CV132" s="88">
        <v>438.96572459410879</v>
      </c>
      <c r="CW132" s="88">
        <v>438.53354915145991</v>
      </c>
      <c r="CX132" s="88">
        <v>438.08761752350023</v>
      </c>
      <c r="CY132" s="88">
        <v>437.64259188329743</v>
      </c>
      <c r="CZ132" s="88">
        <v>437.19846947263358</v>
      </c>
      <c r="DA132" s="88">
        <v>436.75524754449049</v>
      </c>
      <c r="DB132" s="88">
        <v>436.30567961084222</v>
      </c>
      <c r="DC132" s="88">
        <v>435.86426510100199</v>
      </c>
      <c r="DD132" s="88">
        <v>435.42374285477689</v>
      </c>
      <c r="DE132" s="88">
        <v>434.9841101694887</v>
      </c>
      <c r="DF132" s="88">
        <v>434.54536435339452</v>
      </c>
      <c r="DG132" s="93">
        <v>46143</v>
      </c>
      <c r="DH132" s="91">
        <v>0.06</v>
      </c>
      <c r="DI132" t="s">
        <v>300</v>
      </c>
      <c r="DJ132" s="93"/>
      <c r="DK132" s="91"/>
      <c r="DM132" s="93"/>
      <c r="DN132" s="91"/>
      <c r="DP132" s="93"/>
      <c r="DQ132" s="91"/>
    </row>
    <row r="133" spans="1:121" x14ac:dyDescent="0.3">
      <c r="A133" t="s">
        <v>26</v>
      </c>
      <c r="B133" t="s">
        <v>42</v>
      </c>
      <c r="C133" t="s">
        <v>58</v>
      </c>
      <c r="D133" t="s">
        <v>310</v>
      </c>
      <c r="E133" t="s">
        <v>495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88000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4509.980057657277</v>
      </c>
      <c r="BL133" s="88">
        <v>4403.8060089463816</v>
      </c>
      <c r="BM133" s="88">
        <v>4297.8062751764128</v>
      </c>
      <c r="BN133" s="88">
        <v>4188.3961525879686</v>
      </c>
      <c r="BO133" s="88">
        <v>4079.1714322490502</v>
      </c>
      <c r="BP133" s="88">
        <v>3530.0831665330138</v>
      </c>
      <c r="BQ133" s="88">
        <v>3421.7486785772339</v>
      </c>
      <c r="BR133" s="88">
        <v>3311.825854292536</v>
      </c>
      <c r="BS133" s="88">
        <v>3203.8601210164952</v>
      </c>
      <c r="BT133" s="88">
        <v>3150.7658297456001</v>
      </c>
      <c r="BU133" s="88">
        <v>3150.6413091552349</v>
      </c>
      <c r="BV133" s="88">
        <v>3150.5167045498551</v>
      </c>
      <c r="BW133" s="88">
        <v>3959.9999999999941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3520.0000000000032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88000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526.29670589214504</v>
      </c>
      <c r="CV133" s="88">
        <v>424.69474540324552</v>
      </c>
      <c r="CW133" s="88">
        <v>323.25959347026162</v>
      </c>
      <c r="CX133" s="88">
        <v>218.5609115674367</v>
      </c>
      <c r="CY133" s="88">
        <v>114.0396480852193</v>
      </c>
      <c r="CZ133" s="88">
        <v>9.6953524355907206</v>
      </c>
      <c r="DA133" s="88">
        <v>-94.472424444972177</v>
      </c>
      <c r="DB133" s="88">
        <v>-200.16744779564371</v>
      </c>
      <c r="DC133" s="88">
        <v>-303.98065286875391</v>
      </c>
      <c r="DD133" s="88">
        <v>-355.03285601384158</v>
      </c>
      <c r="DE133" s="88">
        <v>-355.1525873507311</v>
      </c>
      <c r="DF133" s="88">
        <v>-355.27239947128919</v>
      </c>
      <c r="DG133" s="93">
        <v>46174</v>
      </c>
      <c r="DH133" s="91">
        <v>4.4999999999999998E-2</v>
      </c>
      <c r="DI133" t="s">
        <v>300</v>
      </c>
      <c r="DJ133" s="93">
        <v>46539</v>
      </c>
      <c r="DK133" s="91">
        <v>0.04</v>
      </c>
      <c r="DL133" t="s">
        <v>301</v>
      </c>
      <c r="DM133" s="93"/>
      <c r="DN133" s="91"/>
      <c r="DP133" s="93"/>
      <c r="DQ133" s="91"/>
    </row>
    <row r="134" spans="1:121" x14ac:dyDescent="0.3">
      <c r="A134" t="s">
        <v>26</v>
      </c>
      <c r="B134" t="s">
        <v>42</v>
      </c>
      <c r="C134" t="s">
        <v>65</v>
      </c>
      <c r="D134" t="s">
        <v>312</v>
      </c>
      <c r="E134" t="s">
        <v>496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72000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2761.7138855853559</v>
      </c>
      <c r="BL134" s="88">
        <v>2761.3195601466068</v>
      </c>
      <c r="BM134" s="88">
        <v>2760.9257512015852</v>
      </c>
      <c r="BN134" s="88">
        <v>2760.5191347753748</v>
      </c>
      <c r="BO134" s="88">
        <v>2760.113068251098</v>
      </c>
      <c r="BP134" s="88">
        <v>2759.707550513996</v>
      </c>
      <c r="BQ134" s="88">
        <v>581.84716548769802</v>
      </c>
      <c r="BR134" s="88">
        <v>581.44808894297557</v>
      </c>
      <c r="BS134" s="88">
        <v>581.05598301937357</v>
      </c>
      <c r="BT134" s="88">
        <v>580.66440558128284</v>
      </c>
      <c r="BU134" s="88">
        <v>580.27335556094965</v>
      </c>
      <c r="BV134" s="88">
        <v>579.88283189356162</v>
      </c>
      <c r="BW134" s="88">
        <v>2160.0000000000018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0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72000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584.18823843238238</v>
      </c>
      <c r="CV134" s="88">
        <v>583.80539820059414</v>
      </c>
      <c r="CW134" s="88">
        <v>583.42305941901532</v>
      </c>
      <c r="CX134" s="88">
        <v>583.02828618967692</v>
      </c>
      <c r="CY134" s="88">
        <v>582.63404684572254</v>
      </c>
      <c r="CZ134" s="88">
        <v>582.24034030484972</v>
      </c>
      <c r="DA134" s="88">
        <v>581.84716548769802</v>
      </c>
      <c r="DB134" s="88">
        <v>581.44808894297557</v>
      </c>
      <c r="DC134" s="88">
        <v>581.05598301937357</v>
      </c>
      <c r="DD134" s="88">
        <v>580.66440558128284</v>
      </c>
      <c r="DE134" s="88">
        <v>580.27335556094965</v>
      </c>
      <c r="DF134" s="88">
        <v>579.88283189356162</v>
      </c>
      <c r="DG134" s="93">
        <v>46204</v>
      </c>
      <c r="DH134" s="91">
        <v>0.03</v>
      </c>
      <c r="DI134" t="s">
        <v>300</v>
      </c>
      <c r="DJ134" s="93"/>
      <c r="DK134" s="91"/>
      <c r="DM134" s="93"/>
      <c r="DN134" s="91"/>
      <c r="DP134" s="93"/>
      <c r="DQ134" s="91"/>
    </row>
    <row r="135" spans="1:121" x14ac:dyDescent="0.3">
      <c r="A135" t="s">
        <v>26</v>
      </c>
      <c r="B135" t="s">
        <v>42</v>
      </c>
      <c r="C135" t="s">
        <v>66</v>
      </c>
      <c r="D135" t="s">
        <v>314</v>
      </c>
      <c r="E135" t="s">
        <v>497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56000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1772.8051340095219</v>
      </c>
      <c r="BL135" s="88">
        <v>1772.502034263598</v>
      </c>
      <c r="BM135" s="88">
        <v>1772.1985409812719</v>
      </c>
      <c r="BN135" s="88">
        <v>1771.884345202702</v>
      </c>
      <c r="BO135" s="88">
        <v>1771.56972708543</v>
      </c>
      <c r="BP135" s="88">
        <v>1771.2546857772941</v>
      </c>
      <c r="BQ135" s="88">
        <v>1770.939220423882</v>
      </c>
      <c r="BR135" s="88">
        <v>-451.32870375481821</v>
      </c>
      <c r="BS135" s="88">
        <v>-451.6328604887496</v>
      </c>
      <c r="BT135" s="88">
        <v>-451.93742745012071</v>
      </c>
      <c r="BU135" s="88">
        <v>-452.2424054693879</v>
      </c>
      <c r="BV135" s="88">
        <v>-452.54779537932058</v>
      </c>
      <c r="BW135" s="88">
        <v>2240.0000000000018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0</v>
      </c>
      <c r="CE135" s="88">
        <v>0</v>
      </c>
      <c r="CF135" s="88">
        <v>0</v>
      </c>
      <c r="CG135" s="88">
        <v>0</v>
      </c>
      <c r="CH135" s="88">
        <v>0</v>
      </c>
      <c r="CI135" s="88">
        <v>56000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-449.22583268315458</v>
      </c>
      <c r="CV135" s="88">
        <v>-449.51727474654041</v>
      </c>
      <c r="CW135" s="88">
        <v>-449.80909521032328</v>
      </c>
      <c r="CX135" s="88">
        <v>-450.11120653586011</v>
      </c>
      <c r="CY135" s="88">
        <v>-450.41372395632442</v>
      </c>
      <c r="CZ135" s="88">
        <v>-450.71664829106868</v>
      </c>
      <c r="DA135" s="88">
        <v>-451.01998036165281</v>
      </c>
      <c r="DB135" s="88">
        <v>-451.32870375481821</v>
      </c>
      <c r="DC135" s="88">
        <v>-451.6328604887496</v>
      </c>
      <c r="DD135" s="88">
        <v>-451.93742745012071</v>
      </c>
      <c r="DE135" s="88">
        <v>-452.2424054693879</v>
      </c>
      <c r="DF135" s="88">
        <v>-452.54779537932058</v>
      </c>
      <c r="DG135" s="93">
        <v>46235</v>
      </c>
      <c r="DH135" s="91">
        <v>0.04</v>
      </c>
      <c r="DI135" t="s">
        <v>300</v>
      </c>
      <c r="DJ135" s="93"/>
      <c r="DK135" s="91"/>
      <c r="DM135" s="93"/>
      <c r="DN135" s="91"/>
      <c r="DP135" s="93"/>
      <c r="DQ135" s="91"/>
    </row>
    <row r="136" spans="1:121" x14ac:dyDescent="0.3">
      <c r="A136" t="s">
        <v>26</v>
      </c>
      <c r="B136" t="s">
        <v>42</v>
      </c>
      <c r="C136" t="s">
        <v>67</v>
      </c>
      <c r="D136" t="s">
        <v>316</v>
      </c>
      <c r="E136" t="s">
        <v>498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40000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161.81140105398839</v>
      </c>
      <c r="BL136" s="88">
        <v>161.7585144807077</v>
      </c>
      <c r="BM136" s="88">
        <v>161.70566246711539</v>
      </c>
      <c r="BN136" s="88">
        <v>161.65105516065199</v>
      </c>
      <c r="BO136" s="88">
        <v>161.59648472304329</v>
      </c>
      <c r="BP136" s="88">
        <v>161.5419511169591</v>
      </c>
      <c r="BQ136" s="88">
        <v>161.48745430513151</v>
      </c>
      <c r="BR136" s="88">
        <v>161.43210176856829</v>
      </c>
      <c r="BS136" s="88">
        <v>161.37767903527049</v>
      </c>
      <c r="BT136" s="88">
        <v>161.32329298409689</v>
      </c>
      <c r="BU136" s="88">
        <v>161.26894357795689</v>
      </c>
      <c r="BV136" s="88">
        <v>161.21463077984899</v>
      </c>
      <c r="BW136" s="88">
        <v>0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40000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161.81140105398839</v>
      </c>
      <c r="CV136" s="88">
        <v>161.7585144807077</v>
      </c>
      <c r="CW136" s="88">
        <v>161.70566246711539</v>
      </c>
      <c r="CX136" s="88">
        <v>161.65105516065199</v>
      </c>
      <c r="CY136" s="88">
        <v>161.59648472304329</v>
      </c>
      <c r="CZ136" s="88">
        <v>161.5419511169591</v>
      </c>
      <c r="DA136" s="88">
        <v>161.48745430513151</v>
      </c>
      <c r="DB136" s="88">
        <v>161.43210176856829</v>
      </c>
      <c r="DC136" s="88">
        <v>161.37767903527049</v>
      </c>
      <c r="DD136" s="88">
        <v>161.32329298409689</v>
      </c>
      <c r="DE136" s="88">
        <v>161.26894357795689</v>
      </c>
      <c r="DF136" s="88">
        <v>161.21463077984899</v>
      </c>
      <c r="DG136" s="93"/>
      <c r="DH136" s="91"/>
      <c r="DJ136" s="93"/>
      <c r="DK136" s="91"/>
      <c r="DM136" s="93"/>
      <c r="DN136" s="91"/>
      <c r="DP136" s="93"/>
      <c r="DQ136" s="91"/>
    </row>
    <row r="137" spans="1:121" x14ac:dyDescent="0.3">
      <c r="A137" t="s">
        <v>26</v>
      </c>
      <c r="B137" t="s">
        <v>42</v>
      </c>
      <c r="C137" t="s">
        <v>73</v>
      </c>
      <c r="D137" t="s">
        <v>318</v>
      </c>
      <c r="E137" t="s">
        <v>499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92000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7111.6115185119124</v>
      </c>
      <c r="BL137" s="88">
        <v>7109.5148145667372</v>
      </c>
      <c r="BM137" s="88">
        <v>7107.4236275253243</v>
      </c>
      <c r="BN137" s="88">
        <v>7105.2673302603198</v>
      </c>
      <c r="BO137" s="88">
        <v>7103.1168831169107</v>
      </c>
      <c r="BP137" s="88">
        <v>7100.9722623198259</v>
      </c>
      <c r="BQ137" s="88">
        <v>7098.8334442226787</v>
      </c>
      <c r="BR137" s="88">
        <v>7096.6654854713179</v>
      </c>
      <c r="BS137" s="88">
        <v>7094.5382965076406</v>
      </c>
      <c r="BT137" s="88">
        <v>5222.7485974290084</v>
      </c>
      <c r="BU137" s="88">
        <v>5220.67276938347</v>
      </c>
      <c r="BV137" s="88">
        <v>5218.6025200458171</v>
      </c>
      <c r="BW137" s="88">
        <v>5520.0000000000045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3680.0000000000032</v>
      </c>
      <c r="CG137" s="88">
        <v>3680.0000000000032</v>
      </c>
      <c r="CH137" s="88">
        <v>3680.0000000000032</v>
      </c>
      <c r="CI137" s="88">
        <v>92000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1501.5203004829309</v>
      </c>
      <c r="CV137" s="88">
        <v>1499.542277893135</v>
      </c>
      <c r="CW137" s="88">
        <v>1497.569459929543</v>
      </c>
      <c r="CX137" s="88">
        <v>1495.5352172267119</v>
      </c>
      <c r="CY137" s="88">
        <v>1493.506493506507</v>
      </c>
      <c r="CZ137" s="88">
        <v>1491.4832663394629</v>
      </c>
      <c r="DA137" s="88">
        <v>1489.465513417621</v>
      </c>
      <c r="DB137" s="88">
        <v>1487.420269312554</v>
      </c>
      <c r="DC137" s="88">
        <v>1485.4134872713601</v>
      </c>
      <c r="DD137" s="88">
        <v>1483.412112912496</v>
      </c>
      <c r="DE137" s="88">
        <v>1481.416124407185</v>
      </c>
      <c r="DF137" s="88">
        <v>1479.425500044051</v>
      </c>
      <c r="DG137" s="93">
        <v>46296</v>
      </c>
      <c r="DH137" s="91">
        <v>0.06</v>
      </c>
      <c r="DI137" t="s">
        <v>300</v>
      </c>
      <c r="DJ137" s="93">
        <v>46661</v>
      </c>
      <c r="DK137" s="91">
        <v>0.04</v>
      </c>
      <c r="DL137" t="s">
        <v>301</v>
      </c>
      <c r="DM137" s="93"/>
      <c r="DN137" s="91"/>
      <c r="DP137" s="93"/>
      <c r="DQ137" s="91"/>
    </row>
    <row r="138" spans="1:121" x14ac:dyDescent="0.3">
      <c r="A138" t="s">
        <v>26</v>
      </c>
      <c r="B138" t="s">
        <v>42</v>
      </c>
      <c r="C138" t="s">
        <v>78</v>
      </c>
      <c r="D138" t="s">
        <v>320</v>
      </c>
      <c r="E138" t="s">
        <v>500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76000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1520.0000000000009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0</v>
      </c>
      <c r="BV138" s="88">
        <v>0</v>
      </c>
      <c r="BW138" s="88">
        <v>1520.0000000000009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0</v>
      </c>
      <c r="CH138" s="88">
        <v>0</v>
      </c>
      <c r="CI138" s="88">
        <v>76000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93">
        <v>46327</v>
      </c>
      <c r="DH138" s="91">
        <v>0.02</v>
      </c>
      <c r="DI138" t="s">
        <v>300</v>
      </c>
      <c r="DJ138" s="93"/>
      <c r="DK138" s="91"/>
      <c r="DM138" s="93"/>
      <c r="DN138" s="91"/>
      <c r="DP138" s="93"/>
      <c r="DQ138" s="91"/>
    </row>
    <row r="139" spans="1:121" x14ac:dyDescent="0.3">
      <c r="A139" t="s">
        <v>26</v>
      </c>
      <c r="B139" t="s">
        <v>42</v>
      </c>
      <c r="C139" t="s">
        <v>80</v>
      </c>
      <c r="D139" t="s">
        <v>322</v>
      </c>
      <c r="E139" t="s">
        <v>501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60000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732.3312544934746</v>
      </c>
      <c r="BL139" s="88">
        <v>731.60954099018124</v>
      </c>
      <c r="BM139" s="88">
        <v>730.8892485857665</v>
      </c>
      <c r="BN139" s="88">
        <v>730.14602920583366</v>
      </c>
      <c r="BO139" s="88">
        <v>729.40431980549556</v>
      </c>
      <c r="BP139" s="88">
        <v>728.66411578772272</v>
      </c>
      <c r="BQ139" s="88">
        <v>727.92541257415076</v>
      </c>
      <c r="BR139" s="88">
        <v>727.17613268473701</v>
      </c>
      <c r="BS139" s="88">
        <v>726.44044183500341</v>
      </c>
      <c r="BT139" s="88">
        <v>725.70623809129484</v>
      </c>
      <c r="BU139" s="88">
        <v>724.97351694914778</v>
      </c>
      <c r="BV139" s="88">
        <v>724.24227392232422</v>
      </c>
      <c r="BW139" s="88">
        <v>0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60000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732.3312544934746</v>
      </c>
      <c r="CV139" s="88">
        <v>731.60954099018124</v>
      </c>
      <c r="CW139" s="88">
        <v>730.8892485857665</v>
      </c>
      <c r="CX139" s="88">
        <v>730.14602920583366</v>
      </c>
      <c r="CY139" s="88">
        <v>729.40431980549556</v>
      </c>
      <c r="CZ139" s="88">
        <v>728.66411578772272</v>
      </c>
      <c r="DA139" s="88">
        <v>727.92541257415076</v>
      </c>
      <c r="DB139" s="88">
        <v>727.17613268473701</v>
      </c>
      <c r="DC139" s="88">
        <v>726.44044183500341</v>
      </c>
      <c r="DD139" s="88">
        <v>725.70623809129484</v>
      </c>
      <c r="DE139" s="88">
        <v>724.97351694914778</v>
      </c>
      <c r="DF139" s="88">
        <v>724.24227392232422</v>
      </c>
      <c r="DG139" s="93"/>
      <c r="DH139" s="91"/>
      <c r="DJ139" s="93"/>
      <c r="DK139" s="91"/>
      <c r="DM139" s="93"/>
      <c r="DN139" s="91"/>
      <c r="DP139" s="93"/>
      <c r="DQ139" s="91"/>
    </row>
    <row r="140" spans="1:121" x14ac:dyDescent="0.3">
      <c r="A140" t="s">
        <v>26</v>
      </c>
      <c r="B140" t="s">
        <v>42</v>
      </c>
      <c r="C140" t="s">
        <v>82</v>
      </c>
      <c r="D140" t="s">
        <v>324</v>
      </c>
      <c r="E140" t="s">
        <v>502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44000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-176.98237339313621</v>
      </c>
      <c r="BL140" s="88">
        <v>-177.0399276848118</v>
      </c>
      <c r="BM140" s="88">
        <v>-177.09751942173031</v>
      </c>
      <c r="BN140" s="88">
        <v>-177.1571028305425</v>
      </c>
      <c r="BO140" s="88">
        <v>-177.2167263458133</v>
      </c>
      <c r="BP140" s="88">
        <v>-177.27639000805871</v>
      </c>
      <c r="BQ140" s="88">
        <v>-177.3360938578339</v>
      </c>
      <c r="BR140" s="88">
        <v>-177.39681768224401</v>
      </c>
      <c r="BS140" s="88">
        <v>-177.4566026894768</v>
      </c>
      <c r="BT140" s="88">
        <v>-177.51642800692079</v>
      </c>
      <c r="BU140" s="88">
        <v>-177.57629367536549</v>
      </c>
      <c r="BV140" s="88">
        <v>-177.6361997356446</v>
      </c>
      <c r="BW140" s="88">
        <v>0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44000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-176.98237339313621</v>
      </c>
      <c r="CV140" s="88">
        <v>-177.0399276848118</v>
      </c>
      <c r="CW140" s="88">
        <v>-177.09751942173031</v>
      </c>
      <c r="CX140" s="88">
        <v>-177.1571028305425</v>
      </c>
      <c r="CY140" s="88">
        <v>-177.2167263458133</v>
      </c>
      <c r="CZ140" s="88">
        <v>-177.27639000805871</v>
      </c>
      <c r="DA140" s="88">
        <v>-177.3360938578339</v>
      </c>
      <c r="DB140" s="88">
        <v>-177.39681768224401</v>
      </c>
      <c r="DC140" s="88">
        <v>-177.4566026894768</v>
      </c>
      <c r="DD140" s="88">
        <v>-177.51642800692079</v>
      </c>
      <c r="DE140" s="88">
        <v>-177.57629367536549</v>
      </c>
      <c r="DF140" s="88">
        <v>-177.6361997356446</v>
      </c>
      <c r="DG140" s="93">
        <v>46023</v>
      </c>
      <c r="DH140" s="91">
        <v>0.04</v>
      </c>
      <c r="DI140" t="s">
        <v>300</v>
      </c>
      <c r="DJ140" s="93"/>
      <c r="DK140" s="91"/>
      <c r="DM140" s="93"/>
      <c r="DN140" s="91"/>
      <c r="DP140" s="93"/>
      <c r="DQ140" s="91"/>
    </row>
    <row r="141" spans="1:121" x14ac:dyDescent="0.3">
      <c r="A141" t="s">
        <v>26</v>
      </c>
      <c r="B141" t="s">
        <v>42</v>
      </c>
      <c r="C141" t="s">
        <v>84</v>
      </c>
      <c r="D141" t="s">
        <v>326</v>
      </c>
      <c r="E141" t="s">
        <v>503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96000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5617.8635338053482</v>
      </c>
      <c r="BL141" s="88">
        <v>778.40719760079219</v>
      </c>
      <c r="BM141" s="88">
        <v>777.89741255868705</v>
      </c>
      <c r="BN141" s="88">
        <v>4648.4658901830189</v>
      </c>
      <c r="BO141" s="88">
        <v>4647.9192116260674</v>
      </c>
      <c r="BP141" s="88">
        <v>4647.3732718893853</v>
      </c>
      <c r="BQ141" s="88">
        <v>4646.8280694762707</v>
      </c>
      <c r="BR141" s="88">
        <v>4646.2746833342617</v>
      </c>
      <c r="BS141" s="88">
        <v>4645.7309631201933</v>
      </c>
      <c r="BT141" s="88">
        <v>4645.1879757393754</v>
      </c>
      <c r="BU141" s="88">
        <v>4644.6457197111786</v>
      </c>
      <c r="BV141" s="88">
        <v>4644.1041935590674</v>
      </c>
      <c r="BW141" s="88">
        <v>4800.0000000000045</v>
      </c>
      <c r="BX141" s="88">
        <v>0</v>
      </c>
      <c r="BY141" s="88">
        <v>0</v>
      </c>
      <c r="BZ141" s="88">
        <v>3840.0000000000041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96000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778.91765124317658</v>
      </c>
      <c r="CV141" s="88">
        <v>778.40719760079219</v>
      </c>
      <c r="CW141" s="88">
        <v>777.89741255868705</v>
      </c>
      <c r="CX141" s="88">
        <v>777.3710482529026</v>
      </c>
      <c r="CY141" s="88">
        <v>776.84539579429668</v>
      </c>
      <c r="CZ141" s="88">
        <v>776.32045373979963</v>
      </c>
      <c r="DA141" s="88">
        <v>775.79622065026399</v>
      </c>
      <c r="DB141" s="88">
        <v>775.2641185906341</v>
      </c>
      <c r="DC141" s="88">
        <v>774.74131069249802</v>
      </c>
      <c r="DD141" s="88">
        <v>774.21920744171052</v>
      </c>
      <c r="DE141" s="88">
        <v>773.69780741459954</v>
      </c>
      <c r="DF141" s="88">
        <v>773.17710919141541</v>
      </c>
      <c r="DG141" s="93">
        <v>46054</v>
      </c>
      <c r="DH141" s="91">
        <v>0.05</v>
      </c>
      <c r="DI141" t="s">
        <v>300</v>
      </c>
      <c r="DJ141" s="93">
        <v>46478</v>
      </c>
      <c r="DK141" s="91">
        <v>0.04</v>
      </c>
      <c r="DL141" t="s">
        <v>301</v>
      </c>
      <c r="DM141" s="93"/>
      <c r="DN141" s="91"/>
      <c r="DP141" s="93"/>
      <c r="DQ141" s="91"/>
    </row>
    <row r="142" spans="1:121" x14ac:dyDescent="0.3">
      <c r="A142" t="s">
        <v>26</v>
      </c>
      <c r="B142" t="s">
        <v>42</v>
      </c>
      <c r="C142" t="s">
        <v>86</v>
      </c>
      <c r="D142" t="s">
        <v>328</v>
      </c>
      <c r="E142" t="s">
        <v>504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80000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-641.75118954736377</v>
      </c>
      <c r="BL142" s="88">
        <v>-642.1675353522005</v>
      </c>
      <c r="BM142" s="88">
        <v>-642.58442172903324</v>
      </c>
      <c r="BN142" s="88">
        <v>-643.01600933694306</v>
      </c>
      <c r="BO142" s="88">
        <v>-643.44817708046344</v>
      </c>
      <c r="BP142" s="88">
        <v>-643.88092613009815</v>
      </c>
      <c r="BQ142" s="88">
        <v>-644.31425765950405</v>
      </c>
      <c r="BR142" s="88">
        <v>-644.75529107831164</v>
      </c>
      <c r="BS142" s="88">
        <v>-645.18980069821373</v>
      </c>
      <c r="BT142" s="88">
        <v>-645.62489635731527</v>
      </c>
      <c r="BU142" s="88">
        <v>-646.06057924198262</v>
      </c>
      <c r="BV142" s="88">
        <v>-646.49685054188672</v>
      </c>
      <c r="BW142" s="88">
        <v>0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80000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-641.75118954736377</v>
      </c>
      <c r="CV142" s="88">
        <v>-642.1675353522005</v>
      </c>
      <c r="CW142" s="88">
        <v>-642.58442172903324</v>
      </c>
      <c r="CX142" s="88">
        <v>-643.01600933694306</v>
      </c>
      <c r="CY142" s="88">
        <v>-643.44817708046344</v>
      </c>
      <c r="CZ142" s="88">
        <v>-643.88092613009815</v>
      </c>
      <c r="DA142" s="88">
        <v>-644.31425765950405</v>
      </c>
      <c r="DB142" s="88">
        <v>-644.75529107831164</v>
      </c>
      <c r="DC142" s="88">
        <v>-645.18980069821373</v>
      </c>
      <c r="DD142" s="88">
        <v>-645.62489635731527</v>
      </c>
      <c r="DE142" s="88">
        <v>-646.06057924198262</v>
      </c>
      <c r="DF142" s="88">
        <v>-646.49685054188672</v>
      </c>
      <c r="DG142" s="93"/>
      <c r="DH142" s="91"/>
      <c r="DJ142" s="93"/>
      <c r="DK142" s="91"/>
      <c r="DM142" s="93"/>
      <c r="DN142" s="91"/>
      <c r="DP142" s="93"/>
      <c r="DQ142" s="91"/>
    </row>
    <row r="143" spans="1:121" x14ac:dyDescent="0.3">
      <c r="A143" t="s">
        <v>26</v>
      </c>
      <c r="B143" t="s">
        <v>42</v>
      </c>
      <c r="C143" t="s">
        <v>88</v>
      </c>
      <c r="D143" t="s">
        <v>330</v>
      </c>
      <c r="E143" t="s">
        <v>505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64000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1544.076206520117</v>
      </c>
      <c r="BL143" s="88">
        <v>1543.989895632521</v>
      </c>
      <c r="BM143" s="88">
        <v>1543.9036411463289</v>
      </c>
      <c r="BN143" s="88">
        <v>258.64168825704331</v>
      </c>
      <c r="BO143" s="88">
        <v>258.55437555686927</v>
      </c>
      <c r="BP143" s="88">
        <v>258.4671217871346</v>
      </c>
      <c r="BQ143" s="88">
        <v>258.37992688821032</v>
      </c>
      <c r="BR143" s="88">
        <v>258.29136282970921</v>
      </c>
      <c r="BS143" s="88">
        <v>258.2042864564329</v>
      </c>
      <c r="BT143" s="88">
        <v>258.11726877455499</v>
      </c>
      <c r="BU143" s="88">
        <v>258.03030972473101</v>
      </c>
      <c r="BV143" s="88">
        <v>257.94340924775838</v>
      </c>
      <c r="BW143" s="88">
        <v>1280.0000000000009</v>
      </c>
      <c r="BX143" s="88">
        <v>1280.0000000000009</v>
      </c>
      <c r="BY143" s="88">
        <v>1280.0000000000009</v>
      </c>
      <c r="BZ143" s="88">
        <v>0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64000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258.89824168638143</v>
      </c>
      <c r="CV143" s="88">
        <v>258.81362316913231</v>
      </c>
      <c r="CW143" s="88">
        <v>258.7290599473846</v>
      </c>
      <c r="CX143" s="88">
        <v>258.64168825704331</v>
      </c>
      <c r="CY143" s="88">
        <v>258.55437555686927</v>
      </c>
      <c r="CZ143" s="88">
        <v>258.4671217871346</v>
      </c>
      <c r="DA143" s="88">
        <v>258.37992688821032</v>
      </c>
      <c r="DB143" s="88">
        <v>258.29136282970921</v>
      </c>
      <c r="DC143" s="88">
        <v>258.2042864564329</v>
      </c>
      <c r="DD143" s="88">
        <v>258.11726877455499</v>
      </c>
      <c r="DE143" s="88">
        <v>258.03030972473101</v>
      </c>
      <c r="DF143" s="88">
        <v>257.94340924775838</v>
      </c>
      <c r="DG143" s="93">
        <v>46113</v>
      </c>
      <c r="DH143" s="91">
        <v>0.02</v>
      </c>
      <c r="DI143" t="s">
        <v>300</v>
      </c>
      <c r="DJ143" s="93"/>
      <c r="DK143" s="91"/>
      <c r="DM143" s="93"/>
      <c r="DN143" s="91"/>
      <c r="DP143" s="93"/>
      <c r="DQ143" s="91"/>
    </row>
    <row r="144" spans="1:121" x14ac:dyDescent="0.3">
      <c r="A144" t="s">
        <v>26</v>
      </c>
      <c r="B144" t="s">
        <v>42</v>
      </c>
      <c r="C144" t="s">
        <v>90</v>
      </c>
      <c r="D144" t="s">
        <v>332</v>
      </c>
      <c r="E144" t="s">
        <v>506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48000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2246.9039527812629</v>
      </c>
      <c r="BL144" s="88">
        <v>2245.8409806417062</v>
      </c>
      <c r="BM144" s="88">
        <v>2244.780805423009</v>
      </c>
      <c r="BN144" s="88">
        <v>2243.687621083574</v>
      </c>
      <c r="BO144" s="88">
        <v>779.2207792207862</v>
      </c>
      <c r="BP144" s="88">
        <v>778.16518243798077</v>
      </c>
      <c r="BQ144" s="88">
        <v>777.11244178310676</v>
      </c>
      <c r="BR144" s="88">
        <v>776.045357902202</v>
      </c>
      <c r="BS144" s="88">
        <v>774.99834118505714</v>
      </c>
      <c r="BT144" s="88">
        <v>773.95414586738912</v>
      </c>
      <c r="BU144" s="88">
        <v>772.91276056027061</v>
      </c>
      <c r="BV144" s="88">
        <v>771.87417393602686</v>
      </c>
      <c r="BW144" s="88">
        <v>1440.0000000000009</v>
      </c>
      <c r="BX144" s="88">
        <v>1440.0000000000009</v>
      </c>
      <c r="BY144" s="88">
        <v>1440.0000000000009</v>
      </c>
      <c r="BZ144" s="88">
        <v>1440.0000000000009</v>
      </c>
      <c r="CA144" s="88">
        <v>0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48000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783.40189590413797</v>
      </c>
      <c r="CV144" s="88">
        <v>782.36988411815742</v>
      </c>
      <c r="CW144" s="88">
        <v>781.34058778932672</v>
      </c>
      <c r="CX144" s="88">
        <v>780.27924377045815</v>
      </c>
      <c r="CY144" s="88">
        <v>779.2207792207862</v>
      </c>
      <c r="CZ144" s="88">
        <v>778.16518243798077</v>
      </c>
      <c r="DA144" s="88">
        <v>777.11244178310676</v>
      </c>
      <c r="DB144" s="88">
        <v>776.045357902202</v>
      </c>
      <c r="DC144" s="88">
        <v>774.99834118505714</v>
      </c>
      <c r="DD144" s="88">
        <v>773.95414586738912</v>
      </c>
      <c r="DE144" s="88">
        <v>772.91276056027061</v>
      </c>
      <c r="DF144" s="88">
        <v>771.87417393602686</v>
      </c>
      <c r="DG144" s="93">
        <v>46143</v>
      </c>
      <c r="DH144" s="91">
        <v>0.03</v>
      </c>
      <c r="DI144" t="s">
        <v>300</v>
      </c>
      <c r="DJ144" s="93"/>
      <c r="DK144" s="91"/>
      <c r="DM144" s="93"/>
      <c r="DN144" s="91"/>
      <c r="DP144" s="93"/>
      <c r="DQ144" s="91"/>
    </row>
    <row r="145" spans="1:121" x14ac:dyDescent="0.3">
      <c r="A145" t="s">
        <v>26</v>
      </c>
      <c r="B145" t="s">
        <v>42</v>
      </c>
      <c r="C145" t="s">
        <v>91</v>
      </c>
      <c r="D145" t="s">
        <v>334</v>
      </c>
      <c r="E145" t="s">
        <v>507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32000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1280.0000000000009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0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1280.0000000000009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32000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93">
        <v>46600</v>
      </c>
      <c r="DH145" s="91">
        <v>0.04</v>
      </c>
      <c r="DI145" t="s">
        <v>301</v>
      </c>
      <c r="DJ145" s="93"/>
      <c r="DK145" s="91"/>
      <c r="DM145" s="93"/>
      <c r="DN145" s="91"/>
      <c r="DP145" s="93"/>
      <c r="DQ145" s="91"/>
    </row>
    <row r="146" spans="1:121" x14ac:dyDescent="0.3">
      <c r="A146" t="s">
        <v>26</v>
      </c>
      <c r="B146" t="s">
        <v>42</v>
      </c>
      <c r="C146" t="s">
        <v>93</v>
      </c>
      <c r="D146" t="s">
        <v>336</v>
      </c>
      <c r="E146" t="s">
        <v>508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84000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5276.5269441054088</v>
      </c>
      <c r="BL146" s="88">
        <v>5275.4660252555632</v>
      </c>
      <c r="BM146" s="88">
        <v>5274.4071954210749</v>
      </c>
      <c r="BN146" s="88">
        <v>5273.3146629325756</v>
      </c>
      <c r="BO146" s="88">
        <v>5272.2243501140811</v>
      </c>
      <c r="BP146" s="88">
        <v>5271.1362502079528</v>
      </c>
      <c r="BQ146" s="88">
        <v>1019.095577603811</v>
      </c>
      <c r="BR146" s="88">
        <v>1018.046585758632</v>
      </c>
      <c r="BS146" s="88">
        <v>1017.016618569005</v>
      </c>
      <c r="BT146" s="88">
        <v>1015.988733327813</v>
      </c>
      <c r="BU146" s="88">
        <v>1014.962923728807</v>
      </c>
      <c r="BV146" s="88">
        <v>1013.939183491254</v>
      </c>
      <c r="BW146" s="88">
        <v>4200.0000000000036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0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84000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1025.263756290864</v>
      </c>
      <c r="CV146" s="88">
        <v>1024.253357386254</v>
      </c>
      <c r="CW146" s="88">
        <v>1023.244948020073</v>
      </c>
      <c r="CX146" s="88">
        <v>1022.204440888167</v>
      </c>
      <c r="CY146" s="88">
        <v>1021.166047727694</v>
      </c>
      <c r="CZ146" s="88">
        <v>1020.129762102812</v>
      </c>
      <c r="DA146" s="88">
        <v>1019.095577603811</v>
      </c>
      <c r="DB146" s="88">
        <v>1018.046585758632</v>
      </c>
      <c r="DC146" s="88">
        <v>1017.016618569005</v>
      </c>
      <c r="DD146" s="88">
        <v>1015.988733327813</v>
      </c>
      <c r="DE146" s="88">
        <v>1014.962923728807</v>
      </c>
      <c r="DF146" s="88">
        <v>1013.939183491254</v>
      </c>
      <c r="DG146" s="93">
        <v>46204</v>
      </c>
      <c r="DH146" s="91">
        <v>0.05</v>
      </c>
      <c r="DI146" t="s">
        <v>300</v>
      </c>
      <c r="DJ146" s="93"/>
      <c r="DK146" s="91"/>
      <c r="DM146" s="93"/>
      <c r="DN146" s="91"/>
      <c r="DP146" s="93"/>
      <c r="DQ146" s="91"/>
    </row>
    <row r="147" spans="1:121" x14ac:dyDescent="0.3">
      <c r="A147" t="s">
        <v>26</v>
      </c>
      <c r="B147" t="s">
        <v>42</v>
      </c>
      <c r="C147" t="s">
        <v>94</v>
      </c>
      <c r="D147" t="s">
        <v>338</v>
      </c>
      <c r="E147" t="s">
        <v>509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68000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3790.070693768695</v>
      </c>
      <c r="BL147" s="88">
        <v>3789.9764093745221</v>
      </c>
      <c r="BM147" s="88">
        <v>3789.882063638217</v>
      </c>
      <c r="BN147" s="88">
        <v>3789.78445518124</v>
      </c>
      <c r="BO147" s="88">
        <v>3789.6867810225858</v>
      </c>
      <c r="BP147" s="88">
        <v>3789.5890410958959</v>
      </c>
      <c r="BQ147" s="88">
        <v>3789.491235334719</v>
      </c>
      <c r="BR147" s="88">
        <v>-274.15871823619528</v>
      </c>
      <c r="BS147" s="88">
        <v>-274.25111324737333</v>
      </c>
      <c r="BT147" s="88">
        <v>-274.34357055615033</v>
      </c>
      <c r="BU147" s="88">
        <v>-274.4360902255649</v>
      </c>
      <c r="BV147" s="88">
        <v>-274.52867231872352</v>
      </c>
      <c r="BW147" s="88">
        <v>4080.0000000000041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0</v>
      </c>
      <c r="CE147" s="88">
        <v>0</v>
      </c>
      <c r="CF147" s="88">
        <v>0</v>
      </c>
      <c r="CG147" s="88">
        <v>0</v>
      </c>
      <c r="CH147" s="88">
        <v>0</v>
      </c>
      <c r="CI147" s="88">
        <v>68000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-273.5182134257559</v>
      </c>
      <c r="CV147" s="88">
        <v>-273.60716096743641</v>
      </c>
      <c r="CW147" s="88">
        <v>-273.69616637903778</v>
      </c>
      <c r="CX147" s="88">
        <v>-273.78824982902029</v>
      </c>
      <c r="CY147" s="88">
        <v>-273.8803952617115</v>
      </c>
      <c r="CZ147" s="88">
        <v>-273.97260273972711</v>
      </c>
      <c r="DA147" s="88">
        <v>-274.06487232574329</v>
      </c>
      <c r="DB147" s="88">
        <v>-274.15871823619528</v>
      </c>
      <c r="DC147" s="88">
        <v>-274.25111324737333</v>
      </c>
      <c r="DD147" s="88">
        <v>-274.34357055615033</v>
      </c>
      <c r="DE147" s="88">
        <v>-274.4360902255649</v>
      </c>
      <c r="DF147" s="88">
        <v>-274.52867231872352</v>
      </c>
      <c r="DG147" s="93">
        <v>46235</v>
      </c>
      <c r="DH147" s="91">
        <v>0.06</v>
      </c>
      <c r="DI147" t="s">
        <v>300</v>
      </c>
      <c r="DJ147" s="93"/>
      <c r="DK147" s="91"/>
      <c r="DM147" s="93"/>
      <c r="DN147" s="91"/>
      <c r="DP147" s="93"/>
      <c r="DQ147" s="91"/>
    </row>
    <row r="148" spans="1:121" x14ac:dyDescent="0.3">
      <c r="A148" t="s">
        <v>26</v>
      </c>
      <c r="B148" t="s">
        <v>42</v>
      </c>
      <c r="C148" t="s">
        <v>95</v>
      </c>
      <c r="D148" t="s">
        <v>340</v>
      </c>
      <c r="E148" t="s">
        <v>510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52000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421.91372775672062</v>
      </c>
      <c r="BL148" s="88">
        <v>421.63723203376247</v>
      </c>
      <c r="BM148" s="88">
        <v>421.36109846928878</v>
      </c>
      <c r="BN148" s="88">
        <v>421.07598447032223</v>
      </c>
      <c r="BO148" s="88">
        <v>420.79125605524399</v>
      </c>
      <c r="BP148" s="88">
        <v>420.50691244239152</v>
      </c>
      <c r="BQ148" s="88">
        <v>420.22295285222629</v>
      </c>
      <c r="BR148" s="88">
        <v>419.93473090326017</v>
      </c>
      <c r="BS148" s="88">
        <v>419.65154329176983</v>
      </c>
      <c r="BT148" s="88">
        <v>419.36873736425991</v>
      </c>
      <c r="BU148" s="88">
        <v>419.08631234957471</v>
      </c>
      <c r="BV148" s="88">
        <v>418.80426747868341</v>
      </c>
      <c r="BW148" s="88">
        <v>0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52000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421.91372775672062</v>
      </c>
      <c r="CV148" s="88">
        <v>421.63723203376247</v>
      </c>
      <c r="CW148" s="88">
        <v>421.36109846928878</v>
      </c>
      <c r="CX148" s="88">
        <v>421.07598447032223</v>
      </c>
      <c r="CY148" s="88">
        <v>420.79125605524399</v>
      </c>
      <c r="CZ148" s="88">
        <v>420.50691244239152</v>
      </c>
      <c r="DA148" s="88">
        <v>420.22295285222629</v>
      </c>
      <c r="DB148" s="88">
        <v>419.93473090326017</v>
      </c>
      <c r="DC148" s="88">
        <v>419.65154329176983</v>
      </c>
      <c r="DD148" s="88">
        <v>419.36873736425991</v>
      </c>
      <c r="DE148" s="88">
        <v>419.08631234957471</v>
      </c>
      <c r="DF148" s="88">
        <v>418.80426747868341</v>
      </c>
      <c r="DG148" s="93"/>
      <c r="DH148" s="91"/>
      <c r="DJ148" s="93"/>
      <c r="DK148" s="91"/>
      <c r="DM148" s="93"/>
      <c r="DN148" s="91"/>
      <c r="DP148" s="93"/>
      <c r="DQ148" s="91"/>
    </row>
    <row r="149" spans="1:121" x14ac:dyDescent="0.3">
      <c r="A149" t="s">
        <v>26</v>
      </c>
      <c r="B149" t="s">
        <v>45</v>
      </c>
      <c r="C149" t="s">
        <v>43</v>
      </c>
      <c r="D149" t="s">
        <v>342</v>
      </c>
      <c r="E149" t="s">
        <v>511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36000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782.54832364480012</v>
      </c>
      <c r="BL149" s="88">
        <v>2253.6495612588319</v>
      </c>
      <c r="BM149" s="88">
        <v>2253.448605349744</v>
      </c>
      <c r="BN149" s="88">
        <v>2253.2405628592278</v>
      </c>
      <c r="BO149" s="88">
        <v>2253.032240720137</v>
      </c>
      <c r="BP149" s="88">
        <v>2252.8236383682488</v>
      </c>
      <c r="BQ149" s="88">
        <v>2252.614755237817</v>
      </c>
      <c r="BR149" s="88">
        <v>2252.4021594886199</v>
      </c>
      <c r="BS149" s="88">
        <v>2252.1927084714421</v>
      </c>
      <c r="BT149" s="88">
        <v>1137.847548504777</v>
      </c>
      <c r="BU149" s="88">
        <v>1137.643648914757</v>
      </c>
      <c r="BV149" s="88">
        <v>1137.439473946401</v>
      </c>
      <c r="BW149" s="88">
        <v>1080.0000000000009</v>
      </c>
      <c r="BX149" s="88">
        <v>2563.2000000000048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1440.0000000000009</v>
      </c>
      <c r="CG149" s="88">
        <v>1440.0000000000009</v>
      </c>
      <c r="CH149" s="88">
        <v>1440.0000000000009</v>
      </c>
      <c r="CI149" s="88">
        <v>36000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-288.78803529631369</v>
      </c>
      <c r="CV149" s="88">
        <v>-288.97539090849023</v>
      </c>
      <c r="CW149" s="88">
        <v>-289.16298977806503</v>
      </c>
      <c r="CX149" s="88">
        <v>-289.35720420162443</v>
      </c>
      <c r="CY149" s="88">
        <v>-289.55167968620862</v>
      </c>
      <c r="CZ149" s="88">
        <v>-289.74641675854423</v>
      </c>
      <c r="DA149" s="88">
        <v>-289.94141594677677</v>
      </c>
      <c r="DB149" s="88">
        <v>-290.13988098524021</v>
      </c>
      <c r="DC149" s="88">
        <v>-290.33541031419622</v>
      </c>
      <c r="DD149" s="88">
        <v>-290.53120336079178</v>
      </c>
      <c r="DE149" s="88">
        <v>-290.72726065889219</v>
      </c>
      <c r="DF149" s="88">
        <v>-290.92358274384901</v>
      </c>
      <c r="DG149" s="93">
        <v>46296</v>
      </c>
      <c r="DH149" s="91">
        <v>0.03</v>
      </c>
      <c r="DI149" t="s">
        <v>300</v>
      </c>
      <c r="DJ149" s="93">
        <v>46419</v>
      </c>
      <c r="DK149" s="91">
        <v>0.04</v>
      </c>
      <c r="DL149" t="s">
        <v>301</v>
      </c>
      <c r="DM149" s="93"/>
      <c r="DN149" s="91"/>
      <c r="DP149" s="93"/>
      <c r="DQ149" s="91"/>
    </row>
    <row r="150" spans="1:121" x14ac:dyDescent="0.3">
      <c r="A150" t="s">
        <v>26</v>
      </c>
      <c r="B150" t="s">
        <v>45</v>
      </c>
      <c r="C150" t="s">
        <v>46</v>
      </c>
      <c r="D150" t="s">
        <v>344</v>
      </c>
      <c r="E150" t="s">
        <v>512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88000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3890.2244856115281</v>
      </c>
      <c r="BL150" s="88">
        <v>3890.1034811318559</v>
      </c>
      <c r="BM150" s="88">
        <v>3889.9825557247709</v>
      </c>
      <c r="BN150" s="88">
        <v>3889.857614207584</v>
      </c>
      <c r="BO150" s="88">
        <v>3889.7327570463249</v>
      </c>
      <c r="BP150" s="88">
        <v>3889.6079841556052</v>
      </c>
      <c r="BQ150" s="88">
        <v>3889.4832954501521</v>
      </c>
      <c r="BR150" s="88">
        <v>3889.3566488464958</v>
      </c>
      <c r="BS150" s="88">
        <v>3889.2321296326991</v>
      </c>
      <c r="BT150" s="88">
        <v>3889.10769434761</v>
      </c>
      <c r="BU150" s="88">
        <v>354.79167587150499</v>
      </c>
      <c r="BV150" s="88">
        <v>354.67218771566769</v>
      </c>
      <c r="BW150" s="88">
        <v>3520.0000000000032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0</v>
      </c>
      <c r="CH150" s="88">
        <v>0</v>
      </c>
      <c r="CI150" s="88">
        <v>88000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355.98508231877452</v>
      </c>
      <c r="CV150" s="88">
        <v>355.86873185755678</v>
      </c>
      <c r="CW150" s="88">
        <v>355.75245742765378</v>
      </c>
      <c r="CX150" s="88">
        <v>355.63232135343452</v>
      </c>
      <c r="CY150" s="88">
        <v>355.51226639069529</v>
      </c>
      <c r="CZ150" s="88">
        <v>355.39229245731008</v>
      </c>
      <c r="DA150" s="88">
        <v>355.27239947128919</v>
      </c>
      <c r="DB150" s="88">
        <v>355.15062389085023</v>
      </c>
      <c r="DC150" s="88">
        <v>355.03089387759519</v>
      </c>
      <c r="DD150" s="88">
        <v>354.91124456501308</v>
      </c>
      <c r="DE150" s="88">
        <v>354.79167587150499</v>
      </c>
      <c r="DF150" s="88">
        <v>354.67218771566769</v>
      </c>
      <c r="DG150" s="93">
        <v>46327</v>
      </c>
      <c r="DH150" s="91">
        <v>0.04</v>
      </c>
      <c r="DI150" t="s">
        <v>300</v>
      </c>
      <c r="DJ150" s="93"/>
      <c r="DK150" s="91"/>
      <c r="DM150" s="93"/>
      <c r="DN150" s="91"/>
      <c r="DP150" s="93"/>
      <c r="DQ150" s="91"/>
    </row>
    <row r="151" spans="1:121" x14ac:dyDescent="0.3">
      <c r="A151" t="s">
        <v>26</v>
      </c>
      <c r="B151" t="s">
        <v>45</v>
      </c>
      <c r="C151" t="s">
        <v>48</v>
      </c>
      <c r="D151" t="s">
        <v>346</v>
      </c>
      <c r="E151" t="s">
        <v>513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72000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6585.3906558951576</v>
      </c>
      <c r="BL151" s="88">
        <v>6324.3243243243314</v>
      </c>
      <c r="BM151" s="88">
        <v>7626.2865480666824</v>
      </c>
      <c r="BN151" s="88">
        <v>3575.838926174496</v>
      </c>
      <c r="BO151" s="88">
        <v>4557.9955804959218</v>
      </c>
      <c r="BP151" s="88">
        <v>5315.5693811798683</v>
      </c>
      <c r="BQ151" s="88">
        <v>5054.4693572496262</v>
      </c>
      <c r="BR151" s="88">
        <v>4790.8899310344777</v>
      </c>
      <c r="BS151" s="88">
        <v>5336.9155526228924</v>
      </c>
      <c r="BT151" s="88">
        <v>5078.3770614347613</v>
      </c>
      <c r="BU151" s="88">
        <v>4821.561407035173</v>
      </c>
      <c r="BV151" s="88">
        <v>4566.4514257716764</v>
      </c>
      <c r="BW151" s="88">
        <v>3600.0000000000032</v>
      </c>
      <c r="BX151" s="88">
        <v>3600.0000000000032</v>
      </c>
      <c r="BY151" s="88">
        <v>3600.0000000000032</v>
      </c>
      <c r="BZ151" s="88">
        <v>0</v>
      </c>
      <c r="CA151" s="88">
        <v>1184.5161290322519</v>
      </c>
      <c r="CB151" s="88">
        <v>2160.0000000000018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72000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2843.2291960906191</v>
      </c>
      <c r="CV151" s="88">
        <v>2594.5945945946</v>
      </c>
      <c r="CW151" s="88">
        <v>3834.5586172063649</v>
      </c>
      <c r="CX151" s="88">
        <v>3575.838926174496</v>
      </c>
      <c r="CY151" s="88">
        <v>3318.8785463463551</v>
      </c>
      <c r="CZ151" s="88">
        <v>3063.6595933785102</v>
      </c>
      <c r="DA151" s="88">
        <v>2810.1644245142038</v>
      </c>
      <c r="DB151" s="88">
        <v>2554.2620689655141</v>
      </c>
      <c r="DC151" s="88">
        <v>3084.3840316727142</v>
      </c>
      <c r="DD151" s="88">
        <v>2833.3757878007309</v>
      </c>
      <c r="DE151" s="88">
        <v>2584.0402010050188</v>
      </c>
      <c r="DF151" s="88">
        <v>2336.3606075453158</v>
      </c>
      <c r="DG151" s="93">
        <v>46113</v>
      </c>
      <c r="DH151" s="91">
        <v>0.05</v>
      </c>
      <c r="DI151" t="s">
        <v>300</v>
      </c>
      <c r="DJ151" s="93">
        <v>46522</v>
      </c>
      <c r="DK151" s="91">
        <v>0.03</v>
      </c>
      <c r="DL151" t="s">
        <v>301</v>
      </c>
      <c r="DM151" s="93"/>
      <c r="DN151" s="91"/>
      <c r="DP151" s="93"/>
      <c r="DQ151" s="91"/>
    </row>
    <row r="152" spans="1:121" x14ac:dyDescent="0.3">
      <c r="A152" t="s">
        <v>26</v>
      </c>
      <c r="B152" t="s">
        <v>45</v>
      </c>
      <c r="C152" t="s">
        <v>50</v>
      </c>
      <c r="D152" t="s">
        <v>348</v>
      </c>
      <c r="E152" t="s">
        <v>514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56000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4480.0000000000036</v>
      </c>
      <c r="BL152" s="88">
        <v>4480.0000000000036</v>
      </c>
      <c r="BM152" s="88">
        <v>7383.04000000001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2688.0000000000018</v>
      </c>
      <c r="BU152" s="88">
        <v>2688.0000000000018</v>
      </c>
      <c r="BV152" s="88">
        <v>2688.0000000000018</v>
      </c>
      <c r="BW152" s="88">
        <v>4480.0000000000036</v>
      </c>
      <c r="BX152" s="88">
        <v>4480.0000000000036</v>
      </c>
      <c r="BY152" s="88">
        <v>7383.04000000001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2688.0000000000018</v>
      </c>
      <c r="CG152" s="88">
        <v>2688.0000000000018</v>
      </c>
      <c r="CH152" s="88">
        <v>2688.0000000000018</v>
      </c>
      <c r="CI152" s="88">
        <v>56000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93">
        <v>46296</v>
      </c>
      <c r="DH152" s="91">
        <v>0.08</v>
      </c>
      <c r="DI152" t="s">
        <v>300</v>
      </c>
      <c r="DJ152" s="93">
        <v>46447</v>
      </c>
      <c r="DK152" s="91">
        <v>4.8000000000000001E-2</v>
      </c>
      <c r="DL152" t="s">
        <v>301</v>
      </c>
      <c r="DM152" s="93"/>
      <c r="DN152" s="91"/>
      <c r="DP152" s="93"/>
      <c r="DQ152" s="91"/>
    </row>
    <row r="153" spans="1:121" x14ac:dyDescent="0.3">
      <c r="A153" t="s">
        <v>26</v>
      </c>
      <c r="B153" t="s">
        <v>45</v>
      </c>
      <c r="C153" t="s">
        <v>57</v>
      </c>
      <c r="D153" t="s">
        <v>350</v>
      </c>
      <c r="E153" t="s">
        <v>515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40000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1297.985253055565</v>
      </c>
      <c r="BL153" s="88">
        <v>487.73969399345418</v>
      </c>
      <c r="BM153" s="88">
        <v>487.25949905717772</v>
      </c>
      <c r="BN153" s="88">
        <v>486.76401947055581</v>
      </c>
      <c r="BO153" s="88">
        <v>486.26954653699698</v>
      </c>
      <c r="BP153" s="88">
        <v>2105.2071202794932</v>
      </c>
      <c r="BQ153" s="88">
        <v>2104.6949527180818</v>
      </c>
      <c r="BR153" s="88">
        <v>2104.175451994754</v>
      </c>
      <c r="BS153" s="88">
        <v>2103.6653730056009</v>
      </c>
      <c r="BT153" s="88">
        <v>2103.1563250766362</v>
      </c>
      <c r="BU153" s="88">
        <v>2102.6483050847401</v>
      </c>
      <c r="BV153" s="88">
        <v>2102.141309919476</v>
      </c>
      <c r="BW153" s="88">
        <v>800.00000000000068</v>
      </c>
      <c r="BX153" s="88">
        <v>0</v>
      </c>
      <c r="BY153" s="88">
        <v>0</v>
      </c>
      <c r="BZ153" s="88">
        <v>0</v>
      </c>
      <c r="CA153" s="88">
        <v>0</v>
      </c>
      <c r="CB153" s="88">
        <v>1600.0000000000009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40000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488.22083632898313</v>
      </c>
      <c r="CV153" s="88">
        <v>487.73969399345418</v>
      </c>
      <c r="CW153" s="88">
        <v>487.25949905717772</v>
      </c>
      <c r="CX153" s="88">
        <v>486.76401947055581</v>
      </c>
      <c r="CY153" s="88">
        <v>486.26954653699698</v>
      </c>
      <c r="CZ153" s="88">
        <v>485.77607719181509</v>
      </c>
      <c r="DA153" s="88">
        <v>485.28360838276723</v>
      </c>
      <c r="DB153" s="88">
        <v>484.78408845649142</v>
      </c>
      <c r="DC153" s="88">
        <v>484.29362789000231</v>
      </c>
      <c r="DD153" s="88">
        <v>483.80415872752991</v>
      </c>
      <c r="DE153" s="88">
        <v>483.31567796609852</v>
      </c>
      <c r="DF153" s="88">
        <v>482.82818261488279</v>
      </c>
      <c r="DG153" s="93">
        <v>46054</v>
      </c>
      <c r="DH153" s="91">
        <v>0.02</v>
      </c>
      <c r="DI153" t="s">
        <v>300</v>
      </c>
      <c r="DJ153" s="93">
        <v>46539</v>
      </c>
      <c r="DK153" s="91">
        <v>0.04</v>
      </c>
      <c r="DL153" t="s">
        <v>301</v>
      </c>
      <c r="DM153" s="93"/>
      <c r="DN153" s="91"/>
      <c r="DP153" s="93"/>
      <c r="DQ153" s="91"/>
    </row>
    <row r="154" spans="1:121" x14ac:dyDescent="0.3">
      <c r="A154" t="s">
        <v>26</v>
      </c>
      <c r="B154" t="s">
        <v>45</v>
      </c>
      <c r="C154" t="s">
        <v>58</v>
      </c>
      <c r="D154" t="s">
        <v>352</v>
      </c>
      <c r="E154" t="s">
        <v>516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92000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-370.05405345837562</v>
      </c>
      <c r="BL154" s="88">
        <v>-370.17439425006103</v>
      </c>
      <c r="BM154" s="88">
        <v>-370.29481333634533</v>
      </c>
      <c r="BN154" s="88">
        <v>-370.41939682749802</v>
      </c>
      <c r="BO154" s="88">
        <v>-370.54406417760958</v>
      </c>
      <c r="BP154" s="88">
        <v>-370.66881547139548</v>
      </c>
      <c r="BQ154" s="88">
        <v>-370.79365079365272</v>
      </c>
      <c r="BR154" s="88">
        <v>-370.92061879014659</v>
      </c>
      <c r="BS154" s="88">
        <v>-371.04562380526971</v>
      </c>
      <c r="BT154" s="88">
        <v>-371.17071310537978</v>
      </c>
      <c r="BU154" s="88">
        <v>-371.2958867757643</v>
      </c>
      <c r="BV154" s="88">
        <v>-371.42114490180228</v>
      </c>
      <c r="BW154" s="88">
        <v>0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92000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-370.05405345837562</v>
      </c>
      <c r="CV154" s="88">
        <v>-370.17439425006103</v>
      </c>
      <c r="CW154" s="88">
        <v>-370.29481333634533</v>
      </c>
      <c r="CX154" s="88">
        <v>-370.41939682749802</v>
      </c>
      <c r="CY154" s="88">
        <v>-370.54406417760958</v>
      </c>
      <c r="CZ154" s="88">
        <v>-370.66881547139548</v>
      </c>
      <c r="DA154" s="88">
        <v>-370.79365079365272</v>
      </c>
      <c r="DB154" s="88">
        <v>-370.92061879014659</v>
      </c>
      <c r="DC154" s="88">
        <v>-371.04562380526971</v>
      </c>
      <c r="DD154" s="88">
        <v>-371.17071310537978</v>
      </c>
      <c r="DE154" s="88">
        <v>-371.2958867757643</v>
      </c>
      <c r="DF154" s="88">
        <v>-371.42114490180228</v>
      </c>
      <c r="DG154" s="93"/>
      <c r="DH154" s="91"/>
      <c r="DJ154" s="93"/>
      <c r="DK154" s="91"/>
      <c r="DM154" s="93"/>
      <c r="DN154" s="91"/>
      <c r="DP154" s="93"/>
      <c r="DQ154" s="91"/>
    </row>
    <row r="155" spans="1:121" x14ac:dyDescent="0.3">
      <c r="A155" t="s">
        <v>26</v>
      </c>
      <c r="B155" t="s">
        <v>45</v>
      </c>
      <c r="C155" t="s">
        <v>65</v>
      </c>
      <c r="D155" t="s">
        <v>354</v>
      </c>
      <c r="E155" t="s">
        <v>517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76000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3681.3088661902129</v>
      </c>
      <c r="BL155" s="88">
        <v>3680.888592691329</v>
      </c>
      <c r="BM155" s="88">
        <v>3680.4688696733178</v>
      </c>
      <c r="BN155" s="88">
        <v>615.41874653354785</v>
      </c>
      <c r="BO155" s="88">
        <v>615.00260500381819</v>
      </c>
      <c r="BP155" s="88">
        <v>614.58702587734138</v>
      </c>
      <c r="BQ155" s="88">
        <v>614.17200801479237</v>
      </c>
      <c r="BR155" s="88">
        <v>613.7507605509187</v>
      </c>
      <c r="BS155" s="88">
        <v>613.33687096489427</v>
      </c>
      <c r="BT155" s="88">
        <v>612.92353922468749</v>
      </c>
      <c r="BU155" s="88">
        <v>612.51076420322454</v>
      </c>
      <c r="BV155" s="88">
        <v>612.09854477653721</v>
      </c>
      <c r="BW155" s="88">
        <v>3040.0000000000032</v>
      </c>
      <c r="BX155" s="88">
        <v>3040.0000000000032</v>
      </c>
      <c r="BY155" s="88">
        <v>3040.0000000000032</v>
      </c>
      <c r="BZ155" s="88">
        <v>0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76000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616.64314056751482</v>
      </c>
      <c r="CV155" s="88">
        <v>616.23903143396058</v>
      </c>
      <c r="CW155" s="88">
        <v>615.83545160896062</v>
      </c>
      <c r="CX155" s="88">
        <v>615.41874653354785</v>
      </c>
      <c r="CY155" s="88">
        <v>615.00260500381819</v>
      </c>
      <c r="CZ155" s="88">
        <v>614.58702587734138</v>
      </c>
      <c r="DA155" s="88">
        <v>614.17200801479237</v>
      </c>
      <c r="DB155" s="88">
        <v>613.7507605509187</v>
      </c>
      <c r="DC155" s="88">
        <v>613.33687096489427</v>
      </c>
      <c r="DD155" s="88">
        <v>612.92353922468749</v>
      </c>
      <c r="DE155" s="88">
        <v>612.51076420322454</v>
      </c>
      <c r="DF155" s="88">
        <v>612.09854477653721</v>
      </c>
      <c r="DG155" s="93">
        <v>46113</v>
      </c>
      <c r="DH155" s="91">
        <v>0.04</v>
      </c>
      <c r="DI155" t="s">
        <v>300</v>
      </c>
      <c r="DJ155" s="93"/>
      <c r="DK155" s="91"/>
      <c r="DM155" s="93"/>
      <c r="DN155" s="91"/>
      <c r="DP155" s="93"/>
      <c r="DQ155" s="91"/>
    </row>
    <row r="156" spans="1:121" x14ac:dyDescent="0.3">
      <c r="A156" t="s">
        <v>26</v>
      </c>
      <c r="B156" t="s">
        <v>45</v>
      </c>
      <c r="C156" t="s">
        <v>66</v>
      </c>
      <c r="D156" t="s">
        <v>356</v>
      </c>
      <c r="E156" t="s">
        <v>518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60000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2494.620938231451</v>
      </c>
      <c r="BL156" s="88">
        <v>2494.2930659101448</v>
      </c>
      <c r="BM156" s="88">
        <v>2493.9647678883898</v>
      </c>
      <c r="BN156" s="88">
        <v>2493.624892647159</v>
      </c>
      <c r="BO156" s="88">
        <v>-482.58613281034758</v>
      </c>
      <c r="BP156" s="88">
        <v>-482.91069459757358</v>
      </c>
      <c r="BQ156" s="88">
        <v>-483.23569324462801</v>
      </c>
      <c r="BR156" s="88">
        <v>-483.56646830873382</v>
      </c>
      <c r="BS156" s="88">
        <v>-483.8923505236603</v>
      </c>
      <c r="BT156" s="88">
        <v>-484.21867226798639</v>
      </c>
      <c r="BU156" s="88">
        <v>-484.54543443148702</v>
      </c>
      <c r="BV156" s="88">
        <v>-484.87263790641498</v>
      </c>
      <c r="BW156" s="88">
        <v>3000.0000000000032</v>
      </c>
      <c r="BX156" s="88">
        <v>3000.0000000000032</v>
      </c>
      <c r="BY156" s="88">
        <v>3000.0000000000032</v>
      </c>
      <c r="BZ156" s="88">
        <v>3000.0000000000032</v>
      </c>
      <c r="CA156" s="88">
        <v>0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60000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-481.31339216052282</v>
      </c>
      <c r="CV156" s="88">
        <v>-481.62565151415038</v>
      </c>
      <c r="CW156" s="88">
        <v>-481.93831629677499</v>
      </c>
      <c r="CX156" s="88">
        <v>-482.26200700270732</v>
      </c>
      <c r="CY156" s="88">
        <v>-482.58613281034758</v>
      </c>
      <c r="CZ156" s="88">
        <v>-482.91069459757358</v>
      </c>
      <c r="DA156" s="88">
        <v>-483.23569324462801</v>
      </c>
      <c r="DB156" s="88">
        <v>-483.56646830873382</v>
      </c>
      <c r="DC156" s="88">
        <v>-483.8923505236603</v>
      </c>
      <c r="DD156" s="88">
        <v>-484.21867226798639</v>
      </c>
      <c r="DE156" s="88">
        <v>-484.54543443148702</v>
      </c>
      <c r="DF156" s="88">
        <v>-484.87263790641498</v>
      </c>
      <c r="DG156" s="93">
        <v>46143</v>
      </c>
      <c r="DH156" s="91">
        <v>0.05</v>
      </c>
      <c r="DI156" t="s">
        <v>300</v>
      </c>
      <c r="DJ156" s="93"/>
      <c r="DK156" s="91"/>
      <c r="DM156" s="93"/>
      <c r="DN156" s="91"/>
      <c r="DP156" s="93"/>
      <c r="DQ156" s="91"/>
    </row>
    <row r="157" spans="1:121" x14ac:dyDescent="0.3">
      <c r="A157" t="s">
        <v>26</v>
      </c>
      <c r="B157" t="s">
        <v>45</v>
      </c>
      <c r="C157" t="s">
        <v>67</v>
      </c>
      <c r="D157" t="s">
        <v>358</v>
      </c>
      <c r="E157" t="s">
        <v>519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44000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177.9925411593872</v>
      </c>
      <c r="BL157" s="88">
        <v>177.93436592877839</v>
      </c>
      <c r="BM157" s="88">
        <v>177.87622871382689</v>
      </c>
      <c r="BN157" s="88">
        <v>177.8161606767172</v>
      </c>
      <c r="BO157" s="88">
        <v>177.7561331953477</v>
      </c>
      <c r="BP157" s="88">
        <v>177.69614622865501</v>
      </c>
      <c r="BQ157" s="88">
        <v>177.6361997356446</v>
      </c>
      <c r="BR157" s="88">
        <v>177.57531194542511</v>
      </c>
      <c r="BS157" s="88">
        <v>177.5154469387976</v>
      </c>
      <c r="BT157" s="88">
        <v>1944.553847173805</v>
      </c>
      <c r="BU157" s="88">
        <v>1944.491671453183</v>
      </c>
      <c r="BV157" s="88">
        <v>1944.4295376121511</v>
      </c>
      <c r="BW157" s="88">
        <v>0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1760.000000000002</v>
      </c>
      <c r="CG157" s="88">
        <v>1760.000000000002</v>
      </c>
      <c r="CH157" s="88">
        <v>1760.000000000002</v>
      </c>
      <c r="CI157" s="88">
        <v>44000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177.9925411593872</v>
      </c>
      <c r="CV157" s="88">
        <v>177.93436592877839</v>
      </c>
      <c r="CW157" s="88">
        <v>177.87622871382689</v>
      </c>
      <c r="CX157" s="88">
        <v>177.8161606767172</v>
      </c>
      <c r="CY157" s="88">
        <v>177.7561331953477</v>
      </c>
      <c r="CZ157" s="88">
        <v>177.69614622865501</v>
      </c>
      <c r="DA157" s="88">
        <v>177.6361997356446</v>
      </c>
      <c r="DB157" s="88">
        <v>177.57531194542511</v>
      </c>
      <c r="DC157" s="88">
        <v>177.5154469387976</v>
      </c>
      <c r="DD157" s="88">
        <v>177.4556222825066</v>
      </c>
      <c r="DE157" s="88">
        <v>177.3958379357525</v>
      </c>
      <c r="DF157" s="88">
        <v>177.3360938578339</v>
      </c>
      <c r="DG157" s="93">
        <v>46661</v>
      </c>
      <c r="DH157" s="91">
        <v>0.04</v>
      </c>
      <c r="DI157" t="s">
        <v>301</v>
      </c>
      <c r="DJ157" s="93"/>
      <c r="DK157" s="91"/>
      <c r="DM157" s="93"/>
      <c r="DN157" s="91"/>
      <c r="DP157" s="93"/>
      <c r="DQ157" s="91"/>
    </row>
    <row r="158" spans="1:121" x14ac:dyDescent="0.3">
      <c r="A158" t="s">
        <v>26</v>
      </c>
      <c r="B158" t="s">
        <v>45</v>
      </c>
      <c r="C158" t="s">
        <v>73</v>
      </c>
      <c r="D158" t="s">
        <v>360</v>
      </c>
      <c r="E158" t="s">
        <v>520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96000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3518.139867644436</v>
      </c>
      <c r="BL158" s="88">
        <v>3516.0345636010388</v>
      </c>
      <c r="BM158" s="88">
        <v>3513.9347990902288</v>
      </c>
      <c r="BN158" s="88">
        <v>3511.7696572917298</v>
      </c>
      <c r="BO158" s="88">
        <v>3509.6103896104009</v>
      </c>
      <c r="BP158" s="88">
        <v>3507.4569721734788</v>
      </c>
      <c r="BQ158" s="88">
        <v>1554.224883566214</v>
      </c>
      <c r="BR158" s="88">
        <v>1552.090715804404</v>
      </c>
      <c r="BS158" s="88">
        <v>1549.9966823701141</v>
      </c>
      <c r="BT158" s="88">
        <v>1547.908291734778</v>
      </c>
      <c r="BU158" s="88">
        <v>1545.825521120541</v>
      </c>
      <c r="BV158" s="88">
        <v>1543.748347872054</v>
      </c>
      <c r="BW158" s="88">
        <v>1920.000000000002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0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96000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1566.8037918082759</v>
      </c>
      <c r="CV158" s="88">
        <v>1564.7397682363151</v>
      </c>
      <c r="CW158" s="88">
        <v>1562.681175578653</v>
      </c>
      <c r="CX158" s="88">
        <v>1560.5584875409161</v>
      </c>
      <c r="CY158" s="88">
        <v>1558.4415584415719</v>
      </c>
      <c r="CZ158" s="88">
        <v>1556.330364875962</v>
      </c>
      <c r="DA158" s="88">
        <v>1554.224883566214</v>
      </c>
      <c r="DB158" s="88">
        <v>1552.090715804404</v>
      </c>
      <c r="DC158" s="88">
        <v>1549.9966823701141</v>
      </c>
      <c r="DD158" s="88">
        <v>1547.908291734778</v>
      </c>
      <c r="DE158" s="88">
        <v>1545.825521120541</v>
      </c>
      <c r="DF158" s="88">
        <v>1543.748347872054</v>
      </c>
      <c r="DG158" s="93">
        <v>46204</v>
      </c>
      <c r="DH158" s="91">
        <v>0.02</v>
      </c>
      <c r="DI158" t="s">
        <v>300</v>
      </c>
      <c r="DJ158" s="93"/>
      <c r="DK158" s="91"/>
      <c r="DM158" s="93"/>
      <c r="DN158" s="91"/>
      <c r="DP158" s="93"/>
      <c r="DQ158" s="91"/>
    </row>
    <row r="159" spans="1:121" x14ac:dyDescent="0.3">
      <c r="A159" t="s">
        <v>26</v>
      </c>
      <c r="B159" t="s">
        <v>45</v>
      </c>
      <c r="C159" t="s">
        <v>78</v>
      </c>
      <c r="D159" t="s">
        <v>362</v>
      </c>
      <c r="E159" t="s">
        <v>521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80000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2400.0000000000018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0</v>
      </c>
      <c r="BS159" s="88">
        <v>0</v>
      </c>
      <c r="BT159" s="88">
        <v>0</v>
      </c>
      <c r="BU159" s="88">
        <v>0</v>
      </c>
      <c r="BV159" s="88">
        <v>0</v>
      </c>
      <c r="BW159" s="88">
        <v>2400.0000000000018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0</v>
      </c>
      <c r="CE159" s="88">
        <v>0</v>
      </c>
      <c r="CF159" s="88">
        <v>0</v>
      </c>
      <c r="CG159" s="88">
        <v>0</v>
      </c>
      <c r="CH159" s="88">
        <v>0</v>
      </c>
      <c r="CI159" s="88">
        <v>80000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93">
        <v>46235</v>
      </c>
      <c r="DH159" s="91">
        <v>0.03</v>
      </c>
      <c r="DI159" t="s">
        <v>300</v>
      </c>
      <c r="DJ159" s="93"/>
      <c r="DK159" s="91"/>
      <c r="DM159" s="93"/>
      <c r="DN159" s="91"/>
      <c r="DP159" s="93"/>
      <c r="DQ159" s="91"/>
    </row>
    <row r="160" spans="1:121" x14ac:dyDescent="0.3">
      <c r="A160" t="s">
        <v>26</v>
      </c>
      <c r="B160" t="s">
        <v>45</v>
      </c>
      <c r="C160" t="s">
        <v>80</v>
      </c>
      <c r="D160" t="s">
        <v>364</v>
      </c>
      <c r="E160" t="s">
        <v>522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64000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781.15333812637289</v>
      </c>
      <c r="BL160" s="88">
        <v>780.38351038952669</v>
      </c>
      <c r="BM160" s="88">
        <v>779.61519849148431</v>
      </c>
      <c r="BN160" s="88">
        <v>778.82243115288929</v>
      </c>
      <c r="BO160" s="88">
        <v>778.03127445919529</v>
      </c>
      <c r="BP160" s="88">
        <v>777.24172350690424</v>
      </c>
      <c r="BQ160" s="88">
        <v>776.45377341242749</v>
      </c>
      <c r="BR160" s="88">
        <v>775.65454153038615</v>
      </c>
      <c r="BS160" s="88">
        <v>774.86980462400368</v>
      </c>
      <c r="BT160" s="88">
        <v>774.08665396404785</v>
      </c>
      <c r="BU160" s="88">
        <v>773.30508474575765</v>
      </c>
      <c r="BV160" s="88">
        <v>772.52509218381249</v>
      </c>
      <c r="BW160" s="88">
        <v>0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64000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781.15333812637289</v>
      </c>
      <c r="CV160" s="88">
        <v>780.38351038952669</v>
      </c>
      <c r="CW160" s="88">
        <v>779.61519849148431</v>
      </c>
      <c r="CX160" s="88">
        <v>778.82243115288929</v>
      </c>
      <c r="CY160" s="88">
        <v>778.03127445919529</v>
      </c>
      <c r="CZ160" s="88">
        <v>777.24172350690424</v>
      </c>
      <c r="DA160" s="88">
        <v>776.45377341242749</v>
      </c>
      <c r="DB160" s="88">
        <v>775.65454153038615</v>
      </c>
      <c r="DC160" s="88">
        <v>774.86980462400368</v>
      </c>
      <c r="DD160" s="88">
        <v>774.08665396404785</v>
      </c>
      <c r="DE160" s="88">
        <v>773.30508474575765</v>
      </c>
      <c r="DF160" s="88">
        <v>772.52509218381249</v>
      </c>
      <c r="DG160" s="93"/>
      <c r="DH160" s="91"/>
      <c r="DJ160" s="93"/>
      <c r="DK160" s="91"/>
      <c r="DM160" s="93"/>
      <c r="DN160" s="91"/>
      <c r="DP160" s="93"/>
      <c r="DQ160" s="91"/>
    </row>
    <row r="161" spans="1:121" x14ac:dyDescent="0.3">
      <c r="A161" t="s">
        <v>26</v>
      </c>
      <c r="B161" t="s">
        <v>45</v>
      </c>
      <c r="C161" t="s">
        <v>82</v>
      </c>
      <c r="D161" t="s">
        <v>366</v>
      </c>
      <c r="E161" t="s">
        <v>523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48000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2197.2747359314972</v>
      </c>
      <c r="BL161" s="88">
        <v>2197.208810106496</v>
      </c>
      <c r="BM161" s="88">
        <v>2197.1428413896601</v>
      </c>
      <c r="BN161" s="88">
        <v>4204.9575749553296</v>
      </c>
      <c r="BO161" s="88">
        <v>4204.8865470876781</v>
      </c>
      <c r="BP161" s="88">
        <v>4204.8154713940376</v>
      </c>
      <c r="BQ161" s="88">
        <v>4204.7443478260857</v>
      </c>
      <c r="BR161" s="88">
        <v>4204.6720091901734</v>
      </c>
      <c r="BS161" s="88">
        <v>4204.6007889415623</v>
      </c>
      <c r="BT161" s="88">
        <v>1718.5995434976001</v>
      </c>
      <c r="BU161" s="88">
        <v>1718.531623175583</v>
      </c>
      <c r="BV161" s="88">
        <v>1718.463657027193</v>
      </c>
      <c r="BW161" s="88">
        <v>2400.0000000000018</v>
      </c>
      <c r="BX161" s="88">
        <v>2400.0000000000018</v>
      </c>
      <c r="BY161" s="88">
        <v>2400.0000000000018</v>
      </c>
      <c r="BZ161" s="88">
        <v>4416.0000000000036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1920.000000000002</v>
      </c>
      <c r="CG161" s="88">
        <v>1920.000000000002</v>
      </c>
      <c r="CH161" s="88">
        <v>1920.000000000002</v>
      </c>
      <c r="CI161" s="88">
        <v>48000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-193.07168006523941</v>
      </c>
      <c r="CV161" s="88">
        <v>-193.1344665652492</v>
      </c>
      <c r="CW161" s="88">
        <v>-193.1972939146149</v>
      </c>
      <c r="CX161" s="88">
        <v>-193.26229399695549</v>
      </c>
      <c r="CY161" s="88">
        <v>-193.32733783179631</v>
      </c>
      <c r="CZ161" s="88">
        <v>-193.39242546333679</v>
      </c>
      <c r="DA161" s="88">
        <v>-193.45755693581879</v>
      </c>
      <c r="DB161" s="88">
        <v>-193.52380110790261</v>
      </c>
      <c r="DC161" s="88">
        <v>-193.58902111579289</v>
      </c>
      <c r="DD161" s="88">
        <v>-193.6542850984591</v>
      </c>
      <c r="DE161" s="88">
        <v>-193.71959310039881</v>
      </c>
      <c r="DF161" s="88">
        <v>-193.78494516615771</v>
      </c>
      <c r="DG161" s="93">
        <v>46296</v>
      </c>
      <c r="DH161" s="91">
        <v>0.05</v>
      </c>
      <c r="DI161" t="s">
        <v>300</v>
      </c>
      <c r="DJ161" s="93">
        <v>46478</v>
      </c>
      <c r="DK161" s="91">
        <v>0.04</v>
      </c>
      <c r="DL161" t="s">
        <v>301</v>
      </c>
      <c r="DM161" s="93"/>
      <c r="DN161" s="91"/>
      <c r="DP161" s="93"/>
      <c r="DQ161" s="91"/>
    </row>
    <row r="162" spans="1:121" x14ac:dyDescent="0.3">
      <c r="A162" t="s">
        <v>26</v>
      </c>
      <c r="B162" t="s">
        <v>45</v>
      </c>
      <c r="C162" t="s">
        <v>84</v>
      </c>
      <c r="D162" t="s">
        <v>368</v>
      </c>
      <c r="E162" t="s">
        <v>524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32000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2195.217570105925</v>
      </c>
      <c r="BL162" s="88">
        <v>2195.0372098189491</v>
      </c>
      <c r="BM162" s="88">
        <v>2194.857085770735</v>
      </c>
      <c r="BN162" s="88">
        <v>2194.6711037160262</v>
      </c>
      <c r="BO162" s="88">
        <v>2194.4853731806552</v>
      </c>
      <c r="BP162" s="88">
        <v>2194.2998936547301</v>
      </c>
      <c r="BQ162" s="88">
        <v>2194.114664629758</v>
      </c>
      <c r="BR162" s="88">
        <v>2193.9266552353588</v>
      </c>
      <c r="BS162" s="88">
        <v>2193.7419297780211</v>
      </c>
      <c r="BT162" s="88">
        <v>2193.5574532960732</v>
      </c>
      <c r="BU162" s="88">
        <v>257.89926913819983</v>
      </c>
      <c r="BV162" s="88">
        <v>257.72570306380521</v>
      </c>
      <c r="BW162" s="88">
        <v>1920.000000000002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0</v>
      </c>
      <c r="CH162" s="88">
        <v>0</v>
      </c>
      <c r="CI162" s="88">
        <v>32000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259.63921708105892</v>
      </c>
      <c r="CV162" s="88">
        <v>259.46906586693069</v>
      </c>
      <c r="CW162" s="88">
        <v>259.29913751956241</v>
      </c>
      <c r="CX162" s="88">
        <v>259.12368275096748</v>
      </c>
      <c r="CY162" s="88">
        <v>258.94846526476562</v>
      </c>
      <c r="CZ162" s="88">
        <v>258.77348457993321</v>
      </c>
      <c r="DA162" s="88">
        <v>258.59874021675472</v>
      </c>
      <c r="DB162" s="88">
        <v>258.42137286354472</v>
      </c>
      <c r="DC162" s="88">
        <v>258.24710356416603</v>
      </c>
      <c r="DD162" s="88">
        <v>258.07306914723682</v>
      </c>
      <c r="DE162" s="88">
        <v>257.89926913819983</v>
      </c>
      <c r="DF162" s="88">
        <v>257.72570306380521</v>
      </c>
      <c r="DG162" s="93">
        <v>46327</v>
      </c>
      <c r="DH162" s="91">
        <v>0.06</v>
      </c>
      <c r="DI162" t="s">
        <v>300</v>
      </c>
      <c r="DJ162" s="93"/>
      <c r="DK162" s="91"/>
      <c r="DM162" s="93"/>
      <c r="DN162" s="91"/>
      <c r="DP162" s="93"/>
      <c r="DQ162" s="91"/>
    </row>
    <row r="163" spans="1:121" x14ac:dyDescent="0.3">
      <c r="A163" t="s">
        <v>26</v>
      </c>
      <c r="B163" t="s">
        <v>45</v>
      </c>
      <c r="C163" t="s">
        <v>86</v>
      </c>
      <c r="D163" t="s">
        <v>370</v>
      </c>
      <c r="E163" t="s">
        <v>525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84000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-673.8387490247319</v>
      </c>
      <c r="BL163" s="88">
        <v>-674.27591211981053</v>
      </c>
      <c r="BM163" s="88">
        <v>-674.71364281548495</v>
      </c>
      <c r="BN163" s="88">
        <v>-675.16680980379022</v>
      </c>
      <c r="BO163" s="88">
        <v>-675.6205859344866</v>
      </c>
      <c r="BP163" s="88">
        <v>-676.07497243660305</v>
      </c>
      <c r="BQ163" s="88">
        <v>-676.52997054247919</v>
      </c>
      <c r="BR163" s="88">
        <v>-676.9930556322272</v>
      </c>
      <c r="BS163" s="88">
        <v>-677.44929073312449</v>
      </c>
      <c r="BT163" s="88">
        <v>-677.90614117518101</v>
      </c>
      <c r="BU163" s="88">
        <v>-678.36360820408186</v>
      </c>
      <c r="BV163" s="88">
        <v>-678.82169306898095</v>
      </c>
      <c r="BW163" s="88">
        <v>0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84000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-673.8387490247319</v>
      </c>
      <c r="CV163" s="88">
        <v>-674.27591211981053</v>
      </c>
      <c r="CW163" s="88">
        <v>-674.71364281548495</v>
      </c>
      <c r="CX163" s="88">
        <v>-675.16680980379022</v>
      </c>
      <c r="CY163" s="88">
        <v>-675.6205859344866</v>
      </c>
      <c r="CZ163" s="88">
        <v>-676.07497243660305</v>
      </c>
      <c r="DA163" s="88">
        <v>-676.52997054247919</v>
      </c>
      <c r="DB163" s="88">
        <v>-676.9930556322272</v>
      </c>
      <c r="DC163" s="88">
        <v>-677.44929073312449</v>
      </c>
      <c r="DD163" s="88">
        <v>-677.90614117518101</v>
      </c>
      <c r="DE163" s="88">
        <v>-678.36360820408186</v>
      </c>
      <c r="DF163" s="88">
        <v>-678.82169306898095</v>
      </c>
      <c r="DG163" s="93"/>
      <c r="DH163" s="91"/>
      <c r="DJ163" s="93"/>
      <c r="DK163" s="91"/>
      <c r="DM163" s="93"/>
      <c r="DN163" s="91"/>
      <c r="DP163" s="93"/>
      <c r="DQ163" s="91"/>
    </row>
    <row r="164" spans="1:121" x14ac:dyDescent="0.3">
      <c r="A164" t="s">
        <v>26</v>
      </c>
      <c r="B164" t="s">
        <v>45</v>
      </c>
      <c r="C164" t="s">
        <v>88</v>
      </c>
      <c r="D164" t="s">
        <v>372</v>
      </c>
      <c r="E164" t="s">
        <v>526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68000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275.07938179178029</v>
      </c>
      <c r="BL164" s="88">
        <v>274.98947461720297</v>
      </c>
      <c r="BM164" s="88">
        <v>274.89962619409607</v>
      </c>
      <c r="BN164" s="88">
        <v>274.80679377310838</v>
      </c>
      <c r="BO164" s="88">
        <v>274.71402402917369</v>
      </c>
      <c r="BP164" s="88">
        <v>274.62131689883051</v>
      </c>
      <c r="BQ164" s="88">
        <v>274.52867231872352</v>
      </c>
      <c r="BR164" s="88">
        <v>274.43457300656598</v>
      </c>
      <c r="BS164" s="88">
        <v>274.34205435995989</v>
      </c>
      <c r="BT164" s="88">
        <v>274.24959807296472</v>
      </c>
      <c r="BU164" s="88">
        <v>274.15720408252662</v>
      </c>
      <c r="BV164" s="88">
        <v>274.06487232574329</v>
      </c>
      <c r="BW164" s="88">
        <v>0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68000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275.07938179178029</v>
      </c>
      <c r="CV164" s="88">
        <v>274.98947461720297</v>
      </c>
      <c r="CW164" s="88">
        <v>274.89962619409607</v>
      </c>
      <c r="CX164" s="88">
        <v>274.80679377310838</v>
      </c>
      <c r="CY164" s="88">
        <v>274.71402402917369</v>
      </c>
      <c r="CZ164" s="88">
        <v>274.62131689883051</v>
      </c>
      <c r="DA164" s="88">
        <v>274.52867231872352</v>
      </c>
      <c r="DB164" s="88">
        <v>274.43457300656598</v>
      </c>
      <c r="DC164" s="88">
        <v>274.34205435995989</v>
      </c>
      <c r="DD164" s="88">
        <v>274.24959807296472</v>
      </c>
      <c r="DE164" s="88">
        <v>274.15720408252662</v>
      </c>
      <c r="DF164" s="88">
        <v>274.06487232574329</v>
      </c>
      <c r="DG164" s="93">
        <v>46023</v>
      </c>
      <c r="DH164" s="91">
        <v>0.03</v>
      </c>
      <c r="DI164" t="s">
        <v>300</v>
      </c>
      <c r="DJ164" s="93"/>
      <c r="DK164" s="91"/>
      <c r="DM164" s="93"/>
      <c r="DN164" s="91"/>
      <c r="DP164" s="93"/>
      <c r="DQ164" s="91"/>
    </row>
    <row r="165" spans="1:121" x14ac:dyDescent="0.3">
      <c r="A165" t="s">
        <v>26</v>
      </c>
      <c r="B165" t="s">
        <v>45</v>
      </c>
      <c r="C165" t="s">
        <v>90</v>
      </c>
      <c r="D165" t="s">
        <v>374</v>
      </c>
      <c r="E165" t="s">
        <v>527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52000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2962.6328027186678</v>
      </c>
      <c r="BL165" s="88">
        <v>847.56737446133718</v>
      </c>
      <c r="BM165" s="88">
        <v>846.4523034384373</v>
      </c>
      <c r="BN165" s="88">
        <v>845.30251408466302</v>
      </c>
      <c r="BO165" s="88">
        <v>844.1558441558517</v>
      </c>
      <c r="BP165" s="88">
        <v>843.01228097447915</v>
      </c>
      <c r="BQ165" s="88">
        <v>841.87181193169897</v>
      </c>
      <c r="BR165" s="88">
        <v>2954.3444365698178</v>
      </c>
      <c r="BS165" s="88">
        <v>2953.1647977351608</v>
      </c>
      <c r="BT165" s="88">
        <v>2951.9883376772659</v>
      </c>
      <c r="BU165" s="88">
        <v>2950.8150435645698</v>
      </c>
      <c r="BV165" s="88">
        <v>2949.6449026345922</v>
      </c>
      <c r="BW165" s="88">
        <v>2080.0000000000018</v>
      </c>
      <c r="BX165" s="88">
        <v>0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2080.0000000000018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52000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848.68538722948279</v>
      </c>
      <c r="CV165" s="88">
        <v>847.56737446133718</v>
      </c>
      <c r="CW165" s="88">
        <v>846.4523034384373</v>
      </c>
      <c r="CX165" s="88">
        <v>845.30251408466302</v>
      </c>
      <c r="CY165" s="88">
        <v>844.1558441558517</v>
      </c>
      <c r="CZ165" s="88">
        <v>843.01228097447915</v>
      </c>
      <c r="DA165" s="88">
        <v>841.87181193169897</v>
      </c>
      <c r="DB165" s="88">
        <v>840.71580439405216</v>
      </c>
      <c r="DC165" s="88">
        <v>839.58153628381194</v>
      </c>
      <c r="DD165" s="88">
        <v>838.45032468967156</v>
      </c>
      <c r="DE165" s="88">
        <v>837.32215727362643</v>
      </c>
      <c r="DF165" s="88">
        <v>836.19702176402916</v>
      </c>
      <c r="DG165" s="93">
        <v>46054</v>
      </c>
      <c r="DH165" s="91">
        <v>0.04</v>
      </c>
      <c r="DI165" t="s">
        <v>300</v>
      </c>
      <c r="DJ165" s="93">
        <v>46600</v>
      </c>
      <c r="DK165" s="91">
        <v>0.04</v>
      </c>
      <c r="DL165" t="s">
        <v>301</v>
      </c>
      <c r="DM165" s="93"/>
      <c r="DN165" s="91"/>
      <c r="DP165" s="93"/>
      <c r="DQ165" s="91"/>
    </row>
    <row r="166" spans="1:121" x14ac:dyDescent="0.3">
      <c r="A166" t="s">
        <v>26</v>
      </c>
      <c r="B166" t="s">
        <v>45</v>
      </c>
      <c r="C166" t="s">
        <v>91</v>
      </c>
      <c r="D166" t="s">
        <v>376</v>
      </c>
      <c r="E166" t="s">
        <v>528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36000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36000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93"/>
      <c r="DH166" s="91"/>
      <c r="DJ166" s="93"/>
      <c r="DK166" s="91"/>
      <c r="DM166" s="93"/>
      <c r="DN166" s="91"/>
      <c r="DP166" s="93"/>
      <c r="DQ166" s="91"/>
    </row>
    <row r="167" spans="1:121" x14ac:dyDescent="0.3">
      <c r="A167" t="s">
        <v>26</v>
      </c>
      <c r="B167" t="s">
        <v>45</v>
      </c>
      <c r="C167" t="s">
        <v>93</v>
      </c>
      <c r="D167" t="s">
        <v>378</v>
      </c>
      <c r="E167" t="s">
        <v>529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88000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6418.530990319201</v>
      </c>
      <c r="BL167" s="88">
        <v>6417.408966392738</v>
      </c>
      <c r="BM167" s="88">
        <v>6416.2891518013439</v>
      </c>
      <c r="BN167" s="88">
        <v>1070.8808428352229</v>
      </c>
      <c r="BO167" s="88">
        <v>1069.793002381394</v>
      </c>
      <c r="BP167" s="88">
        <v>1068.7073698219931</v>
      </c>
      <c r="BQ167" s="88">
        <v>1067.623938442088</v>
      </c>
      <c r="BR167" s="88">
        <v>1066.5249946042809</v>
      </c>
      <c r="BS167" s="88">
        <v>1065.4459813580049</v>
      </c>
      <c r="BT167" s="88">
        <v>1064.369149200566</v>
      </c>
      <c r="BU167" s="88">
        <v>1063.294491525417</v>
      </c>
      <c r="BV167" s="88">
        <v>1062.222001752742</v>
      </c>
      <c r="BW167" s="88">
        <v>5280.0000000000045</v>
      </c>
      <c r="BX167" s="88">
        <v>5280.0000000000045</v>
      </c>
      <c r="BY167" s="88">
        <v>5280.0000000000045</v>
      </c>
      <c r="BZ167" s="88">
        <v>0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88000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1074.0858399237629</v>
      </c>
      <c r="CV167" s="88">
        <v>1073.0273267855989</v>
      </c>
      <c r="CW167" s="88">
        <v>1071.970897925791</v>
      </c>
      <c r="CX167" s="88">
        <v>1070.8808428352229</v>
      </c>
      <c r="CY167" s="88">
        <v>1069.793002381394</v>
      </c>
      <c r="CZ167" s="88">
        <v>1068.7073698219931</v>
      </c>
      <c r="DA167" s="88">
        <v>1067.623938442088</v>
      </c>
      <c r="DB167" s="88">
        <v>1066.5249946042809</v>
      </c>
      <c r="DC167" s="88">
        <v>1065.4459813580049</v>
      </c>
      <c r="DD167" s="88">
        <v>1064.369149200566</v>
      </c>
      <c r="DE167" s="88">
        <v>1063.294491525417</v>
      </c>
      <c r="DF167" s="88">
        <v>1062.222001752742</v>
      </c>
      <c r="DG167" s="93">
        <v>46113</v>
      </c>
      <c r="DH167" s="91">
        <v>0.06</v>
      </c>
      <c r="DI167" t="s">
        <v>300</v>
      </c>
      <c r="DJ167" s="93"/>
      <c r="DK167" s="91"/>
      <c r="DM167" s="93"/>
      <c r="DN167" s="91"/>
      <c r="DP167" s="93"/>
      <c r="DQ167" s="91"/>
    </row>
    <row r="168" spans="1:121" x14ac:dyDescent="0.3">
      <c r="A168" t="s">
        <v>26</v>
      </c>
      <c r="B168" t="s">
        <v>45</v>
      </c>
      <c r="C168" t="s">
        <v>94</v>
      </c>
      <c r="D168" t="s">
        <v>380</v>
      </c>
      <c r="E168" t="s">
        <v>530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72000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1144.6003295001881</v>
      </c>
      <c r="BL168" s="88">
        <v>1144.5042661551649</v>
      </c>
      <c r="BM168" s="88">
        <v>1144.4081403106329</v>
      </c>
      <c r="BN168" s="88">
        <v>1144.308690184658</v>
      </c>
      <c r="BO168" s="88">
        <v>-289.99100674769448</v>
      </c>
      <c r="BP168" s="88">
        <v>-290.08863819500522</v>
      </c>
      <c r="BQ168" s="88">
        <v>-290.18633540372821</v>
      </c>
      <c r="BR168" s="88">
        <v>-290.28570166185392</v>
      </c>
      <c r="BS168" s="88">
        <v>-290.38353167368928</v>
      </c>
      <c r="BT168" s="88">
        <v>-290.48142764768858</v>
      </c>
      <c r="BU168" s="88">
        <v>-290.57938965059822</v>
      </c>
      <c r="BV168" s="88">
        <v>-290.67741774923661</v>
      </c>
      <c r="BW168" s="88">
        <v>1440.0000000000009</v>
      </c>
      <c r="BX168" s="88">
        <v>1440.0000000000009</v>
      </c>
      <c r="BY168" s="88">
        <v>1440.0000000000009</v>
      </c>
      <c r="BZ168" s="88">
        <v>1440.0000000000009</v>
      </c>
      <c r="CA168" s="88">
        <v>0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72000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-289.60752009785921</v>
      </c>
      <c r="CV168" s="88">
        <v>-289.70169984787378</v>
      </c>
      <c r="CW168" s="88">
        <v>-289.79594087192243</v>
      </c>
      <c r="CX168" s="88">
        <v>-289.89344099543331</v>
      </c>
      <c r="CY168" s="88">
        <v>-289.99100674769448</v>
      </c>
      <c r="CZ168" s="88">
        <v>-290.08863819500522</v>
      </c>
      <c r="DA168" s="88">
        <v>-290.18633540372821</v>
      </c>
      <c r="DB168" s="88">
        <v>-290.28570166185392</v>
      </c>
      <c r="DC168" s="88">
        <v>-290.38353167368928</v>
      </c>
      <c r="DD168" s="88">
        <v>-290.48142764768858</v>
      </c>
      <c r="DE168" s="88">
        <v>-290.57938965059822</v>
      </c>
      <c r="DF168" s="88">
        <v>-290.67741774923661</v>
      </c>
      <c r="DG168" s="93">
        <v>46143</v>
      </c>
      <c r="DH168" s="91">
        <v>0.02</v>
      </c>
      <c r="DI168" t="s">
        <v>300</v>
      </c>
      <c r="DJ168" s="93"/>
      <c r="DK168" s="91"/>
      <c r="DM168" s="93"/>
      <c r="DN168" s="91"/>
      <c r="DP168" s="93"/>
      <c r="DQ168" s="91"/>
    </row>
    <row r="169" spans="1:121" x14ac:dyDescent="0.3">
      <c r="A169" t="s">
        <v>26</v>
      </c>
      <c r="B169" t="s">
        <v>45</v>
      </c>
      <c r="C169" t="s">
        <v>95</v>
      </c>
      <c r="D169" t="s">
        <v>382</v>
      </c>
      <c r="E169" t="s">
        <v>531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56000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454.368629891853</v>
      </c>
      <c r="BL169" s="88">
        <v>2712.233699877821</v>
      </c>
      <c r="BM169" s="88">
        <v>2711.9244302856018</v>
      </c>
      <c r="BN169" s="88">
        <v>2711.6051026067612</v>
      </c>
      <c r="BO169" s="88">
        <v>2711.2862067818728</v>
      </c>
      <c r="BP169" s="88">
        <v>2710.9677419354748</v>
      </c>
      <c r="BQ169" s="88">
        <v>2710.6497071944909</v>
      </c>
      <c r="BR169" s="88">
        <v>2710.3268986116532</v>
      </c>
      <c r="BS169" s="88">
        <v>2710.0097284867802</v>
      </c>
      <c r="BT169" s="88">
        <v>2709.6929858479689</v>
      </c>
      <c r="BU169" s="88">
        <v>2709.3766698315212</v>
      </c>
      <c r="BV169" s="88">
        <v>2709.0607795761221</v>
      </c>
      <c r="BW169" s="88">
        <v>0</v>
      </c>
      <c r="BX169" s="88">
        <v>2240.0000000000018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56000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454.368629891853</v>
      </c>
      <c r="CV169" s="88">
        <v>454.0708652671288</v>
      </c>
      <c r="CW169" s="88">
        <v>453.77349065923408</v>
      </c>
      <c r="CX169" s="88">
        <v>453.46644481419321</v>
      </c>
      <c r="CY169" s="88">
        <v>453.1598142133397</v>
      </c>
      <c r="CZ169" s="88">
        <v>452.85359801488312</v>
      </c>
      <c r="DA169" s="88">
        <v>452.54779537932058</v>
      </c>
      <c r="DB169" s="88">
        <v>452.23740251120319</v>
      </c>
      <c r="DC169" s="88">
        <v>451.93243123729047</v>
      </c>
      <c r="DD169" s="88">
        <v>451.62787100766451</v>
      </c>
      <c r="DE169" s="88">
        <v>451.32372099184971</v>
      </c>
      <c r="DF169" s="88">
        <v>451.01998036165901</v>
      </c>
      <c r="DG169" s="93">
        <v>46419</v>
      </c>
      <c r="DH169" s="91">
        <v>0.04</v>
      </c>
      <c r="DI169" t="s">
        <v>301</v>
      </c>
      <c r="DJ169" s="93"/>
      <c r="DK169" s="91"/>
      <c r="DM169" s="93"/>
      <c r="DN169" s="91"/>
      <c r="DP169" s="93"/>
      <c r="DQ169" s="91"/>
    </row>
    <row r="170" spans="1:121" x14ac:dyDescent="0.3">
      <c r="A170" t="s">
        <v>26</v>
      </c>
      <c r="B170" t="s">
        <v>47</v>
      </c>
      <c r="C170" t="s">
        <v>43</v>
      </c>
      <c r="D170" t="s">
        <v>384</v>
      </c>
      <c r="E170" t="s">
        <v>532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40000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1266.2893814353729</v>
      </c>
      <c r="BL170" s="88">
        <v>1266.0728816168551</v>
      </c>
      <c r="BM170" s="88">
        <v>1265.856100700908</v>
      </c>
      <c r="BN170" s="88">
        <v>1265.6316751447871</v>
      </c>
      <c r="BO170" s="88">
        <v>1265.406947918164</v>
      </c>
      <c r="BP170" s="88">
        <v>1265.1819184123519</v>
      </c>
      <c r="BQ170" s="88">
        <v>-322.15712882975203</v>
      </c>
      <c r="BR170" s="88">
        <v>-322.37764553915582</v>
      </c>
      <c r="BS170" s="88">
        <v>-322.59490034910692</v>
      </c>
      <c r="BT170" s="88">
        <v>-322.81244817865758</v>
      </c>
      <c r="BU170" s="88">
        <v>-323.03028962099131</v>
      </c>
      <c r="BV170" s="88">
        <v>-323.24842527094341</v>
      </c>
      <c r="BW170" s="88">
        <v>1600.0000000000009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0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40000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-320.87559477368188</v>
      </c>
      <c r="CV170" s="88">
        <v>-321.08376767610031</v>
      </c>
      <c r="CW170" s="88">
        <v>-321.29221086451662</v>
      </c>
      <c r="CX170" s="88">
        <v>-321.50800466847147</v>
      </c>
      <c r="CY170" s="88">
        <v>-321.72408854023172</v>
      </c>
      <c r="CZ170" s="88">
        <v>-321.94046306504907</v>
      </c>
      <c r="DA170" s="88">
        <v>-322.15712882975203</v>
      </c>
      <c r="DB170" s="88">
        <v>-322.37764553915582</v>
      </c>
      <c r="DC170" s="88">
        <v>-322.59490034910692</v>
      </c>
      <c r="DD170" s="88">
        <v>-322.81244817865758</v>
      </c>
      <c r="DE170" s="88">
        <v>-323.03028962099131</v>
      </c>
      <c r="DF170" s="88">
        <v>-323.24842527094341</v>
      </c>
      <c r="DG170" s="93">
        <v>46204</v>
      </c>
      <c r="DH170" s="91">
        <v>0.04</v>
      </c>
      <c r="DI170" t="s">
        <v>300</v>
      </c>
      <c r="DJ170" s="93"/>
      <c r="DK170" s="91"/>
      <c r="DM170" s="93"/>
      <c r="DN170" s="91"/>
      <c r="DP170" s="93"/>
      <c r="DQ170" s="91"/>
    </row>
    <row r="171" spans="1:121" x14ac:dyDescent="0.3">
      <c r="A171" t="s">
        <v>26</v>
      </c>
      <c r="B171" t="s">
        <v>47</v>
      </c>
      <c r="C171" t="s">
        <v>46</v>
      </c>
      <c r="D171" t="s">
        <v>386</v>
      </c>
      <c r="E171" t="s">
        <v>533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92000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4990.7745335453901</v>
      </c>
      <c r="BL171" s="88">
        <v>4990.6468124709099</v>
      </c>
      <c r="BM171" s="88">
        <v>4990.5191748580828</v>
      </c>
      <c r="BN171" s="88">
        <v>4990.3872982129797</v>
      </c>
      <c r="BO171" s="88">
        <v>4990.2555106061563</v>
      </c>
      <c r="BP171" s="88">
        <v>4990.1238119474647</v>
      </c>
      <c r="BQ171" s="88">
        <v>4989.9922021468956</v>
      </c>
      <c r="BR171" s="88">
        <v>371.293834067707</v>
      </c>
      <c r="BS171" s="88">
        <v>371.1686617811223</v>
      </c>
      <c r="BT171" s="88">
        <v>371.04357386342281</v>
      </c>
      <c r="BU171" s="88">
        <v>370.91857022930083</v>
      </c>
      <c r="BV171" s="88">
        <v>370.79365079365272</v>
      </c>
      <c r="BW171" s="88">
        <v>4600.0000000000036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0</v>
      </c>
      <c r="CE171" s="88">
        <v>0</v>
      </c>
      <c r="CF171" s="88">
        <v>0</v>
      </c>
      <c r="CG171" s="88">
        <v>0</v>
      </c>
      <c r="CH171" s="88">
        <v>0</v>
      </c>
      <c r="CI171" s="88">
        <v>92000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372.16622242417333</v>
      </c>
      <c r="CV171" s="88">
        <v>372.04458330562761</v>
      </c>
      <c r="CW171" s="88">
        <v>371.92302367436542</v>
      </c>
      <c r="CX171" s="88">
        <v>371.7974268694997</v>
      </c>
      <c r="CY171" s="88">
        <v>371.67191486299959</v>
      </c>
      <c r="CZ171" s="88">
        <v>371.54648756900599</v>
      </c>
      <c r="DA171" s="88">
        <v>371.42114490180228</v>
      </c>
      <c r="DB171" s="88">
        <v>371.293834067707</v>
      </c>
      <c r="DC171" s="88">
        <v>371.1686617811223</v>
      </c>
      <c r="DD171" s="88">
        <v>371.04357386342281</v>
      </c>
      <c r="DE171" s="88">
        <v>370.91857022930083</v>
      </c>
      <c r="DF171" s="88">
        <v>370.79365079365272</v>
      </c>
      <c r="DG171" s="93">
        <v>46235</v>
      </c>
      <c r="DH171" s="91">
        <v>0.05</v>
      </c>
      <c r="DI171" t="s">
        <v>300</v>
      </c>
      <c r="DJ171" s="93"/>
      <c r="DK171" s="91"/>
      <c r="DM171" s="93"/>
      <c r="DN171" s="91"/>
      <c r="DP171" s="93"/>
      <c r="DQ171" s="91"/>
    </row>
    <row r="172" spans="1:121" x14ac:dyDescent="0.3">
      <c r="A172" t="s">
        <v>26</v>
      </c>
      <c r="B172" t="s">
        <v>47</v>
      </c>
      <c r="C172" t="s">
        <v>48</v>
      </c>
      <c r="D172" t="s">
        <v>388</v>
      </c>
      <c r="E172" t="s">
        <v>534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76000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1240.3863351815521</v>
      </c>
      <c r="BL172" s="88">
        <v>1238.7523165204159</v>
      </c>
      <c r="BM172" s="88">
        <v>1237.1225973331011</v>
      </c>
      <c r="BN172" s="88">
        <v>1235.442135969892</v>
      </c>
      <c r="BO172" s="88">
        <v>1233.766233766245</v>
      </c>
      <c r="BP172" s="88">
        <v>1232.094872193469</v>
      </c>
      <c r="BQ172" s="88">
        <v>1230.4280328232519</v>
      </c>
      <c r="BR172" s="88">
        <v>1228.7384833451531</v>
      </c>
      <c r="BS172" s="88">
        <v>1227.0807068763411</v>
      </c>
      <c r="BT172" s="88">
        <v>1225.427397623366</v>
      </c>
      <c r="BU172" s="88">
        <v>1223.7785375537619</v>
      </c>
      <c r="BV172" s="88">
        <v>1222.134108732042</v>
      </c>
      <c r="BW172" s="88">
        <v>0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76000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1240.3863351815521</v>
      </c>
      <c r="CV172" s="88">
        <v>1238.7523165204159</v>
      </c>
      <c r="CW172" s="88">
        <v>1237.1225973331011</v>
      </c>
      <c r="CX172" s="88">
        <v>1235.442135969892</v>
      </c>
      <c r="CY172" s="88">
        <v>1233.766233766245</v>
      </c>
      <c r="CZ172" s="88">
        <v>1232.094872193469</v>
      </c>
      <c r="DA172" s="88">
        <v>1230.4280328232519</v>
      </c>
      <c r="DB172" s="88">
        <v>1228.7384833451531</v>
      </c>
      <c r="DC172" s="88">
        <v>1227.0807068763411</v>
      </c>
      <c r="DD172" s="88">
        <v>1225.427397623366</v>
      </c>
      <c r="DE172" s="88">
        <v>1223.7785375537619</v>
      </c>
      <c r="DF172" s="88">
        <v>1222.134108732042</v>
      </c>
      <c r="DG172" s="93"/>
      <c r="DH172" s="91"/>
      <c r="DJ172" s="93"/>
      <c r="DK172" s="91"/>
      <c r="DM172" s="93"/>
      <c r="DN172" s="91"/>
      <c r="DP172" s="93"/>
      <c r="DQ172" s="91"/>
    </row>
    <row r="173" spans="1:121" x14ac:dyDescent="0.3">
      <c r="A173" t="s">
        <v>26</v>
      </c>
      <c r="B173" t="s">
        <v>47</v>
      </c>
      <c r="C173" t="s">
        <v>50</v>
      </c>
      <c r="D173" t="s">
        <v>390</v>
      </c>
      <c r="E173" t="s">
        <v>535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60000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1200.0000000000009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3647.9999999999982</v>
      </c>
      <c r="BQ173" s="88">
        <v>3647.9999999999982</v>
      </c>
      <c r="BR173" s="88">
        <v>3647.9999999999982</v>
      </c>
      <c r="BS173" s="88">
        <v>3647.9999999999982</v>
      </c>
      <c r="BT173" s="88">
        <v>2400.0000000000018</v>
      </c>
      <c r="BU173" s="88">
        <v>2400.0000000000018</v>
      </c>
      <c r="BV173" s="88">
        <v>2400.0000000000018</v>
      </c>
      <c r="BW173" s="88">
        <v>1200.0000000000009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3647.9999999999982</v>
      </c>
      <c r="CC173" s="88">
        <v>3647.9999999999982</v>
      </c>
      <c r="CD173" s="88">
        <v>3647.9999999999982</v>
      </c>
      <c r="CE173" s="88">
        <v>3647.9999999999982</v>
      </c>
      <c r="CF173" s="88">
        <v>2400.0000000000018</v>
      </c>
      <c r="CG173" s="88">
        <v>2400.0000000000018</v>
      </c>
      <c r="CH173" s="88">
        <v>2400.0000000000018</v>
      </c>
      <c r="CI173" s="88">
        <v>60000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93">
        <v>46296</v>
      </c>
      <c r="DH173" s="91">
        <v>0.02</v>
      </c>
      <c r="DI173" t="s">
        <v>300</v>
      </c>
      <c r="DJ173" s="93">
        <v>46539</v>
      </c>
      <c r="DK173" s="91">
        <v>0.04</v>
      </c>
      <c r="DL173" t="s">
        <v>301</v>
      </c>
      <c r="DM173" s="93"/>
      <c r="DN173" s="91"/>
      <c r="DP173" s="93"/>
      <c r="DQ173" s="91"/>
    </row>
    <row r="174" spans="1:121" x14ac:dyDescent="0.3">
      <c r="A174" t="s">
        <v>26</v>
      </c>
      <c r="B174" t="s">
        <v>47</v>
      </c>
      <c r="C174" t="s">
        <v>57</v>
      </c>
      <c r="D174" t="s">
        <v>392</v>
      </c>
      <c r="E174" t="s">
        <v>536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44000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537.04291996188135</v>
      </c>
      <c r="BL174" s="88">
        <v>536.51366339279957</v>
      </c>
      <c r="BM174" s="88">
        <v>535.98544896289548</v>
      </c>
      <c r="BN174" s="88">
        <v>535.44042141761133</v>
      </c>
      <c r="BO174" s="88">
        <v>534.89650119069677</v>
      </c>
      <c r="BP174" s="88">
        <v>534.35368491099666</v>
      </c>
      <c r="BQ174" s="88">
        <v>533.81196922104391</v>
      </c>
      <c r="BR174" s="88">
        <v>533.26249730214045</v>
      </c>
      <c r="BS174" s="88">
        <v>532.72299067900258</v>
      </c>
      <c r="BT174" s="88">
        <v>532.18457460028287</v>
      </c>
      <c r="BU174" s="88">
        <v>531.64724576270839</v>
      </c>
      <c r="BV174" s="88">
        <v>531.11100087637112</v>
      </c>
      <c r="BW174" s="88">
        <v>0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44000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537.04291996188135</v>
      </c>
      <c r="CV174" s="88">
        <v>536.51366339279957</v>
      </c>
      <c r="CW174" s="88">
        <v>535.98544896289548</v>
      </c>
      <c r="CX174" s="88">
        <v>535.44042141761133</v>
      </c>
      <c r="CY174" s="88">
        <v>534.89650119069677</v>
      </c>
      <c r="CZ174" s="88">
        <v>534.35368491099666</v>
      </c>
      <c r="DA174" s="88">
        <v>533.81196922104391</v>
      </c>
      <c r="DB174" s="88">
        <v>533.26249730214045</v>
      </c>
      <c r="DC174" s="88">
        <v>532.72299067900258</v>
      </c>
      <c r="DD174" s="88">
        <v>532.18457460028287</v>
      </c>
      <c r="DE174" s="88">
        <v>531.64724576270839</v>
      </c>
      <c r="DF174" s="88">
        <v>531.11100087637112</v>
      </c>
      <c r="DG174" s="93"/>
      <c r="DH174" s="91"/>
      <c r="DJ174" s="93"/>
      <c r="DK174" s="91"/>
      <c r="DM174" s="93"/>
      <c r="DN174" s="91"/>
      <c r="DP174" s="93"/>
      <c r="DQ174" s="91"/>
    </row>
    <row r="175" spans="1:121" x14ac:dyDescent="0.3">
      <c r="A175" t="s">
        <v>26</v>
      </c>
      <c r="B175" t="s">
        <v>47</v>
      </c>
      <c r="C175" t="s">
        <v>58</v>
      </c>
      <c r="D175" t="s">
        <v>394</v>
      </c>
      <c r="E175" t="s">
        <v>537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96000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-386.14336013047892</v>
      </c>
      <c r="BL175" s="88">
        <v>-386.26893313049851</v>
      </c>
      <c r="BM175" s="88">
        <v>-386.39458782922992</v>
      </c>
      <c r="BN175" s="88">
        <v>-386.52458799391098</v>
      </c>
      <c r="BO175" s="88">
        <v>-386.65467566359268</v>
      </c>
      <c r="BP175" s="88">
        <v>-386.78485092667358</v>
      </c>
      <c r="BQ175" s="88">
        <v>-386.91511387163757</v>
      </c>
      <c r="BR175" s="88">
        <v>-387.04760221580511</v>
      </c>
      <c r="BS175" s="88">
        <v>-387.17804223158578</v>
      </c>
      <c r="BT175" s="88">
        <v>-387.30857019691808</v>
      </c>
      <c r="BU175" s="88">
        <v>-387.43918620079751</v>
      </c>
      <c r="BV175" s="88">
        <v>-387.56989033231548</v>
      </c>
      <c r="BW175" s="88">
        <v>0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96000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-386.14336013047892</v>
      </c>
      <c r="CV175" s="88">
        <v>-386.26893313049851</v>
      </c>
      <c r="CW175" s="88">
        <v>-386.39458782922992</v>
      </c>
      <c r="CX175" s="88">
        <v>-386.52458799391098</v>
      </c>
      <c r="CY175" s="88">
        <v>-386.65467566359268</v>
      </c>
      <c r="CZ175" s="88">
        <v>-386.78485092667358</v>
      </c>
      <c r="DA175" s="88">
        <v>-386.91511387163757</v>
      </c>
      <c r="DB175" s="88">
        <v>-387.04760221580511</v>
      </c>
      <c r="DC175" s="88">
        <v>-387.17804223158578</v>
      </c>
      <c r="DD175" s="88">
        <v>-387.30857019691808</v>
      </c>
      <c r="DE175" s="88">
        <v>-387.43918620079751</v>
      </c>
      <c r="DF175" s="88">
        <v>-387.56989033231548</v>
      </c>
      <c r="DG175" s="93"/>
      <c r="DH175" s="91"/>
      <c r="DJ175" s="93"/>
      <c r="DK175" s="91"/>
      <c r="DM175" s="93"/>
      <c r="DN175" s="91"/>
      <c r="DP175" s="93"/>
      <c r="DQ175" s="91"/>
    </row>
    <row r="176" spans="1:121" x14ac:dyDescent="0.3">
      <c r="A176" t="s">
        <v>26</v>
      </c>
      <c r="B176" t="s">
        <v>47</v>
      </c>
      <c r="C176" t="s">
        <v>65</v>
      </c>
      <c r="D176" t="s">
        <v>396</v>
      </c>
      <c r="E176" t="s">
        <v>538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80000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6858.1228944510822</v>
      </c>
      <c r="BL176" s="88">
        <v>6715.6771180787264</v>
      </c>
      <c r="BM176" s="88">
        <v>6573.6977938115797</v>
      </c>
      <c r="BN176" s="88">
        <v>7349.2858156028442</v>
      </c>
      <c r="BO176" s="88">
        <v>8007.2147578615304</v>
      </c>
      <c r="BP176" s="88">
        <v>7858.9890109889993</v>
      </c>
      <c r="BQ176" s="88">
        <v>2357.9922269081171</v>
      </c>
      <c r="BR176" s="88">
        <v>2217.4843840290491</v>
      </c>
      <c r="BS176" s="88">
        <v>2079.7099060491141</v>
      </c>
      <c r="BT176" s="88">
        <v>1942.396401831985</v>
      </c>
      <c r="BU176" s="88">
        <v>1805.5415617128469</v>
      </c>
      <c r="BV176" s="88">
        <v>1669.1430914309001</v>
      </c>
      <c r="BW176" s="88">
        <v>5199.9999999999955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0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80000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1556.9229055878791</v>
      </c>
      <c r="CV176" s="88">
        <v>1423.1710028908219</v>
      </c>
      <c r="CW176" s="88">
        <v>1289.8570833911549</v>
      </c>
      <c r="CX176" s="88">
        <v>2018.1087470449199</v>
      </c>
      <c r="CY176" s="88">
        <v>2635.8824017479242</v>
      </c>
      <c r="CZ176" s="88">
        <v>2496.7032967032842</v>
      </c>
      <c r="DA176" s="88">
        <v>2357.9922269081171</v>
      </c>
      <c r="DB176" s="88">
        <v>2217.4843840290491</v>
      </c>
      <c r="DC176" s="88">
        <v>2079.7099060491141</v>
      </c>
      <c r="DD176" s="88">
        <v>1942.396401831985</v>
      </c>
      <c r="DE176" s="88">
        <v>1805.5415617128469</v>
      </c>
      <c r="DF176" s="88">
        <v>1669.1430914309001</v>
      </c>
      <c r="DG176" s="93">
        <v>46204</v>
      </c>
      <c r="DH176" s="91">
        <v>6.5000000000000002E-2</v>
      </c>
      <c r="DI176" t="s">
        <v>301</v>
      </c>
      <c r="DJ176" s="93"/>
      <c r="DK176" s="91"/>
      <c r="DM176" s="93"/>
      <c r="DN176" s="91"/>
      <c r="DP176" s="93"/>
      <c r="DQ176" s="91"/>
    </row>
    <row r="177" spans="1:121" x14ac:dyDescent="0.3">
      <c r="A177" t="s">
        <v>26</v>
      </c>
      <c r="B177" t="s">
        <v>47</v>
      </c>
      <c r="C177" t="s">
        <v>66</v>
      </c>
      <c r="D177" t="s">
        <v>398</v>
      </c>
      <c r="E177" t="s">
        <v>539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64000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3295.7949912638328</v>
      </c>
      <c r="BL177" s="88">
        <v>-513.7340282817604</v>
      </c>
      <c r="BM177" s="88">
        <v>-514.06753738322664</v>
      </c>
      <c r="BN177" s="88">
        <v>-514.41280746955442</v>
      </c>
      <c r="BO177" s="88">
        <v>-514.7585416643708</v>
      </c>
      <c r="BP177" s="88">
        <v>-515.10474090407854</v>
      </c>
      <c r="BQ177" s="88">
        <v>-515.45140612760315</v>
      </c>
      <c r="BR177" s="88">
        <v>-515.80423286264931</v>
      </c>
      <c r="BS177" s="88">
        <v>-516.15184055857094</v>
      </c>
      <c r="BT177" s="88">
        <v>2022.8400862307151</v>
      </c>
      <c r="BU177" s="88">
        <v>2022.47759807068</v>
      </c>
      <c r="BV177" s="88">
        <v>2022.1146203491569</v>
      </c>
      <c r="BW177" s="88">
        <v>3840.0000000000041</v>
      </c>
      <c r="BX177" s="88">
        <v>0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2560.0000000000018</v>
      </c>
      <c r="CG177" s="88">
        <v>2560.0000000000018</v>
      </c>
      <c r="CH177" s="88">
        <v>2560.0000000000018</v>
      </c>
      <c r="CI177" s="88">
        <v>64000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-513.40095163789101</v>
      </c>
      <c r="CV177" s="88">
        <v>-513.7340282817604</v>
      </c>
      <c r="CW177" s="88">
        <v>-514.06753738322664</v>
      </c>
      <c r="CX177" s="88">
        <v>-514.41280746955442</v>
      </c>
      <c r="CY177" s="88">
        <v>-514.7585416643708</v>
      </c>
      <c r="CZ177" s="88">
        <v>-515.10474090407854</v>
      </c>
      <c r="DA177" s="88">
        <v>-515.45140612760315</v>
      </c>
      <c r="DB177" s="88">
        <v>-515.80423286264931</v>
      </c>
      <c r="DC177" s="88">
        <v>-516.15184055857094</v>
      </c>
      <c r="DD177" s="88">
        <v>-516.49991708585219</v>
      </c>
      <c r="DE177" s="88">
        <v>-516.84846339358614</v>
      </c>
      <c r="DF177" s="88">
        <v>-517.19748043350933</v>
      </c>
      <c r="DG177" s="93">
        <v>46054</v>
      </c>
      <c r="DH177" s="91">
        <v>0.06</v>
      </c>
      <c r="DI177" t="s">
        <v>300</v>
      </c>
      <c r="DJ177" s="93">
        <v>46661</v>
      </c>
      <c r="DK177" s="91">
        <v>0.04</v>
      </c>
      <c r="DL177" t="s">
        <v>301</v>
      </c>
      <c r="DM177" s="93"/>
      <c r="DN177" s="91"/>
      <c r="DP177" s="93"/>
      <c r="DQ177" s="91"/>
    </row>
    <row r="178" spans="1:121" x14ac:dyDescent="0.3">
      <c r="A178" t="s">
        <v>26</v>
      </c>
      <c r="B178" t="s">
        <v>47</v>
      </c>
      <c r="C178" t="s">
        <v>67</v>
      </c>
      <c r="D178" t="s">
        <v>400</v>
      </c>
      <c r="E178" t="s">
        <v>540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48000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5013.5910493912734</v>
      </c>
      <c r="BL178" s="88">
        <v>5013.5212391145351</v>
      </c>
      <c r="BM178" s="88">
        <v>5013.4514744566022</v>
      </c>
      <c r="BN178" s="88">
        <v>7133.9145685245494</v>
      </c>
      <c r="BO178" s="88">
        <v>7133.8396542277987</v>
      </c>
      <c r="BP178" s="88">
        <v>7133.7647904933656</v>
      </c>
      <c r="BQ178" s="88">
        <v>7133.6899772700908</v>
      </c>
      <c r="BR178" s="88">
        <v>7133.6139893078962</v>
      </c>
      <c r="BS178" s="88">
        <v>7133.539277779626</v>
      </c>
      <c r="BT178" s="88">
        <v>2121.3314696441512</v>
      </c>
      <c r="BU178" s="88">
        <v>2121.2636415852912</v>
      </c>
      <c r="BV178" s="88">
        <v>2121.195859213256</v>
      </c>
      <c r="BW178" s="88">
        <v>4800.0000000000045</v>
      </c>
      <c r="BX178" s="88">
        <v>4800.0000000000045</v>
      </c>
      <c r="BY178" s="88">
        <v>4800.0000000000045</v>
      </c>
      <c r="BZ178" s="88">
        <v>6912.0000000000064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1920.000000000002</v>
      </c>
      <c r="CG178" s="88">
        <v>1920.000000000002</v>
      </c>
      <c r="CH178" s="88">
        <v>1920.000000000002</v>
      </c>
      <c r="CI178" s="88">
        <v>48000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194.1736812647861</v>
      </c>
      <c r="CV178" s="88">
        <v>194.11021737684919</v>
      </c>
      <c r="CW178" s="88">
        <v>194.04679496053839</v>
      </c>
      <c r="CX178" s="88">
        <v>193.98126619278241</v>
      </c>
      <c r="CY178" s="88">
        <v>193.915781667652</v>
      </c>
      <c r="CZ178" s="88">
        <v>193.85034134035101</v>
      </c>
      <c r="DA178" s="88">
        <v>193.78494516615771</v>
      </c>
      <c r="DB178" s="88">
        <v>193.71852212228191</v>
      </c>
      <c r="DC178" s="88">
        <v>193.6532148423247</v>
      </c>
      <c r="DD178" s="88">
        <v>193.58795158091621</v>
      </c>
      <c r="DE178" s="88">
        <v>193.52273229354819</v>
      </c>
      <c r="DF178" s="88">
        <v>193.45755693581879</v>
      </c>
      <c r="DG178" s="93">
        <v>46296</v>
      </c>
      <c r="DH178" s="91">
        <v>0.1</v>
      </c>
      <c r="DI178" t="s">
        <v>402</v>
      </c>
      <c r="DJ178" s="93">
        <v>46478</v>
      </c>
      <c r="DK178" s="91">
        <v>0.04</v>
      </c>
      <c r="DL178" t="s">
        <v>301</v>
      </c>
      <c r="DM178" s="93"/>
      <c r="DN178" s="91"/>
      <c r="DP178" s="93"/>
      <c r="DQ178" s="91"/>
    </row>
    <row r="179" spans="1:121" x14ac:dyDescent="0.3">
      <c r="A179" t="s">
        <v>26</v>
      </c>
      <c r="B179" t="s">
        <v>47</v>
      </c>
      <c r="C179" t="s">
        <v>73</v>
      </c>
      <c r="D179" t="s">
        <v>403</v>
      </c>
      <c r="E179" t="s">
        <v>541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32000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1497.9359685208419</v>
      </c>
      <c r="BL179" s="88">
        <v>1497.227320427804</v>
      </c>
      <c r="BM179" s="88">
        <v>1496.520536948673</v>
      </c>
      <c r="BN179" s="88">
        <v>520.18616251363881</v>
      </c>
      <c r="BO179" s="88">
        <v>519.48051948052409</v>
      </c>
      <c r="BP179" s="88">
        <v>518.77678829198715</v>
      </c>
      <c r="BQ179" s="88">
        <v>518.07496118873792</v>
      </c>
      <c r="BR179" s="88">
        <v>517.36357193480126</v>
      </c>
      <c r="BS179" s="88">
        <v>516.66556079003817</v>
      </c>
      <c r="BT179" s="88">
        <v>515.96943057825933</v>
      </c>
      <c r="BU179" s="88">
        <v>515.275173706847</v>
      </c>
      <c r="BV179" s="88">
        <v>514.58278262401791</v>
      </c>
      <c r="BW179" s="88">
        <v>960.00000000000091</v>
      </c>
      <c r="BX179" s="88">
        <v>960.00000000000091</v>
      </c>
      <c r="BY179" s="88">
        <v>960.00000000000091</v>
      </c>
      <c r="BZ179" s="88">
        <v>0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32000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522.26793060275872</v>
      </c>
      <c r="CV179" s="88">
        <v>521.57992274543835</v>
      </c>
      <c r="CW179" s="88">
        <v>520.8937251928844</v>
      </c>
      <c r="CX179" s="88">
        <v>520.18616251363881</v>
      </c>
      <c r="CY179" s="88">
        <v>519.48051948052409</v>
      </c>
      <c r="CZ179" s="88">
        <v>518.77678829198715</v>
      </c>
      <c r="DA179" s="88">
        <v>518.07496118873792</v>
      </c>
      <c r="DB179" s="88">
        <v>517.36357193480126</v>
      </c>
      <c r="DC179" s="88">
        <v>516.66556079003817</v>
      </c>
      <c r="DD179" s="88">
        <v>515.96943057825933</v>
      </c>
      <c r="DE179" s="88">
        <v>515.275173706847</v>
      </c>
      <c r="DF179" s="88">
        <v>514.58278262401791</v>
      </c>
      <c r="DG179" s="93">
        <v>46113</v>
      </c>
      <c r="DH179" s="91">
        <v>0.03</v>
      </c>
      <c r="DI179" t="s">
        <v>300</v>
      </c>
      <c r="DJ179" s="93"/>
      <c r="DK179" s="91"/>
      <c r="DM179" s="93"/>
      <c r="DN179" s="91"/>
      <c r="DP179" s="93"/>
      <c r="DQ179" s="91"/>
    </row>
    <row r="180" spans="1:121" x14ac:dyDescent="0.3">
      <c r="A180" t="s">
        <v>26</v>
      </c>
      <c r="B180" t="s">
        <v>47</v>
      </c>
      <c r="C180" t="s">
        <v>78</v>
      </c>
      <c r="D180" t="s">
        <v>405</v>
      </c>
      <c r="E180" t="s">
        <v>542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84000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3360.0000000000032</v>
      </c>
      <c r="BL180" s="88">
        <v>3360.0000000000032</v>
      </c>
      <c r="BM180" s="88">
        <v>3360.0000000000032</v>
      </c>
      <c r="BN180" s="88">
        <v>3360.0000000000032</v>
      </c>
      <c r="BO180" s="88">
        <v>0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3360.0000000000032</v>
      </c>
      <c r="BX180" s="88">
        <v>3360.0000000000032</v>
      </c>
      <c r="BY180" s="88">
        <v>3360.0000000000032</v>
      </c>
      <c r="BZ180" s="88">
        <v>3360.0000000000032</v>
      </c>
      <c r="CA180" s="88">
        <v>0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84000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93">
        <v>46143</v>
      </c>
      <c r="DH180" s="91">
        <v>0.04</v>
      </c>
      <c r="DI180" t="s">
        <v>300</v>
      </c>
      <c r="DJ180" s="93"/>
      <c r="DK180" s="91"/>
      <c r="DM180" s="93"/>
      <c r="DN180" s="91"/>
      <c r="DP180" s="93"/>
      <c r="DQ180" s="91"/>
    </row>
    <row r="181" spans="1:121" x14ac:dyDescent="0.3">
      <c r="A181" t="s">
        <v>26</v>
      </c>
      <c r="B181" t="s">
        <v>47</v>
      </c>
      <c r="C181" t="s">
        <v>80</v>
      </c>
      <c r="D181" t="s">
        <v>407</v>
      </c>
      <c r="E181" t="s">
        <v>543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68000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829.97542175927117</v>
      </c>
      <c r="BL181" s="88">
        <v>829.15747978887214</v>
      </c>
      <c r="BM181" s="88">
        <v>828.34114839720212</v>
      </c>
      <c r="BN181" s="88">
        <v>3580.598786423946</v>
      </c>
      <c r="BO181" s="88">
        <v>3579.724558277419</v>
      </c>
      <c r="BP181" s="88">
        <v>3578.8521044751378</v>
      </c>
      <c r="BQ181" s="88">
        <v>3577.9814196207399</v>
      </c>
      <c r="BR181" s="88">
        <v>3577.098268391082</v>
      </c>
      <c r="BS181" s="88">
        <v>3576.231134109521</v>
      </c>
      <c r="BT181" s="88">
        <v>3575.3657526302809</v>
      </c>
      <c r="BU181" s="88">
        <v>3574.5021186440581</v>
      </c>
      <c r="BV181" s="88">
        <v>3573.64022686311</v>
      </c>
      <c r="BW181" s="88">
        <v>0</v>
      </c>
      <c r="BX181" s="88">
        <v>0</v>
      </c>
      <c r="BY181" s="88">
        <v>0</v>
      </c>
      <c r="BZ181" s="88">
        <v>2720.0000000000018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68000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829.97542175927117</v>
      </c>
      <c r="CV181" s="88">
        <v>829.15747978887214</v>
      </c>
      <c r="CW181" s="88">
        <v>828.34114839720212</v>
      </c>
      <c r="CX181" s="88">
        <v>827.49883309994493</v>
      </c>
      <c r="CY181" s="88">
        <v>826.65822911289501</v>
      </c>
      <c r="CZ181" s="88">
        <v>825.81933122608575</v>
      </c>
      <c r="DA181" s="88">
        <v>824.98213425070423</v>
      </c>
      <c r="DB181" s="88">
        <v>824.1329503760353</v>
      </c>
      <c r="DC181" s="88">
        <v>823.29916741300394</v>
      </c>
      <c r="DD181" s="88">
        <v>822.46706983680087</v>
      </c>
      <c r="DE181" s="88">
        <v>821.63665254236753</v>
      </c>
      <c r="DF181" s="88">
        <v>820.80791044530076</v>
      </c>
      <c r="DG181" s="93">
        <v>46478</v>
      </c>
      <c r="DH181" s="91">
        <v>0.04</v>
      </c>
      <c r="DI181" t="s">
        <v>301</v>
      </c>
      <c r="DJ181" s="93"/>
      <c r="DK181" s="91"/>
      <c r="DM181" s="93"/>
      <c r="DN181" s="91"/>
      <c r="DP181" s="93"/>
      <c r="DQ181" s="91"/>
    </row>
    <row r="182" spans="1:121" x14ac:dyDescent="0.3">
      <c r="A182" t="s">
        <v>26</v>
      </c>
      <c r="B182" t="s">
        <v>47</v>
      </c>
      <c r="C182" t="s">
        <v>82</v>
      </c>
      <c r="D182" t="s">
        <v>409</v>
      </c>
      <c r="E182" t="s">
        <v>544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52000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2898.2893540584141</v>
      </c>
      <c r="BL182" s="88">
        <v>2898.2172542275762</v>
      </c>
      <c r="BM182" s="88">
        <v>2898.1451074880479</v>
      </c>
      <c r="BN182" s="88">
        <v>2898.0704657268302</v>
      </c>
      <c r="BO182" s="88">
        <v>2897.9957737231539</v>
      </c>
      <c r="BP182" s="88">
        <v>2897.9210314262732</v>
      </c>
      <c r="BQ182" s="88">
        <v>-209.5790200138037</v>
      </c>
      <c r="BR182" s="88">
        <v>-209.65078453356111</v>
      </c>
      <c r="BS182" s="88">
        <v>-209.72143954210901</v>
      </c>
      <c r="BT182" s="88">
        <v>-209.79214218999729</v>
      </c>
      <c r="BU182" s="88">
        <v>-209.86289252543199</v>
      </c>
      <c r="BV182" s="88">
        <v>-209.93369059667091</v>
      </c>
      <c r="BW182" s="88">
        <v>3120.0000000000032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0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52000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-209.16098673734271</v>
      </c>
      <c r="CV182" s="88">
        <v>-209.22900544568671</v>
      </c>
      <c r="CW182" s="88">
        <v>-209.29706840749949</v>
      </c>
      <c r="CX182" s="88">
        <v>-209.36748516336851</v>
      </c>
      <c r="CY182" s="88">
        <v>-209.43794931777941</v>
      </c>
      <c r="CZ182" s="88">
        <v>-209.50846091861479</v>
      </c>
      <c r="DA182" s="88">
        <v>-209.5790200138037</v>
      </c>
      <c r="DB182" s="88">
        <v>-209.65078453356111</v>
      </c>
      <c r="DC182" s="88">
        <v>-209.72143954210901</v>
      </c>
      <c r="DD182" s="88">
        <v>-209.79214218999729</v>
      </c>
      <c r="DE182" s="88">
        <v>-209.86289252543199</v>
      </c>
      <c r="DF182" s="88">
        <v>-209.93369059667091</v>
      </c>
      <c r="DG182" s="93">
        <v>46204</v>
      </c>
      <c r="DH182" s="91">
        <v>0.06</v>
      </c>
      <c r="DI182" t="s">
        <v>300</v>
      </c>
      <c r="DJ182" s="93"/>
      <c r="DK182" s="91"/>
      <c r="DM182" s="93"/>
      <c r="DN182" s="91"/>
      <c r="DP182" s="93"/>
      <c r="DQ182" s="91"/>
    </row>
    <row r="183" spans="1:121" x14ac:dyDescent="0.3">
      <c r="A183" t="s">
        <v>26</v>
      </c>
      <c r="B183" t="s">
        <v>47</v>
      </c>
      <c r="C183" t="s">
        <v>84</v>
      </c>
      <c r="D183" t="s">
        <v>411</v>
      </c>
      <c r="E183" t="s">
        <v>545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36000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1017.936001600519</v>
      </c>
      <c r="BL183" s="88">
        <v>1017.740753082301</v>
      </c>
      <c r="BM183" s="88">
        <v>1017.545760303698</v>
      </c>
      <c r="BN183" s="88">
        <v>1017.344425956735</v>
      </c>
      <c r="BO183" s="88">
        <v>1017.143363891322</v>
      </c>
      <c r="BP183" s="88">
        <v>1016.942573555476</v>
      </c>
      <c r="BQ183" s="88">
        <v>1016.742054398725</v>
      </c>
      <c r="BR183" s="88">
        <v>290.72404447148779</v>
      </c>
      <c r="BS183" s="88">
        <v>290.52799150968679</v>
      </c>
      <c r="BT183" s="88">
        <v>290.33220279064142</v>
      </c>
      <c r="BU183" s="88">
        <v>290.13667778047483</v>
      </c>
      <c r="BV183" s="88">
        <v>289.94141594678081</v>
      </c>
      <c r="BW183" s="88">
        <v>720.00000000000068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0</v>
      </c>
      <c r="CE183" s="88">
        <v>0</v>
      </c>
      <c r="CF183" s="88">
        <v>0</v>
      </c>
      <c r="CG183" s="88">
        <v>0</v>
      </c>
      <c r="CH183" s="88">
        <v>0</v>
      </c>
      <c r="CI183" s="88">
        <v>36000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292.09411921619119</v>
      </c>
      <c r="CV183" s="88">
        <v>291.90269910029713</v>
      </c>
      <c r="CW183" s="88">
        <v>291.71152970950772</v>
      </c>
      <c r="CX183" s="88">
        <v>291.51414309483852</v>
      </c>
      <c r="CY183" s="88">
        <v>291.31702342286133</v>
      </c>
      <c r="CZ183" s="88">
        <v>291.12017015242492</v>
      </c>
      <c r="DA183" s="88">
        <v>290.92358274384901</v>
      </c>
      <c r="DB183" s="88">
        <v>290.72404447148779</v>
      </c>
      <c r="DC183" s="88">
        <v>290.52799150968679</v>
      </c>
      <c r="DD183" s="88">
        <v>290.33220279064142</v>
      </c>
      <c r="DE183" s="88">
        <v>290.13667778047483</v>
      </c>
      <c r="DF183" s="88">
        <v>289.94141594678081</v>
      </c>
      <c r="DG183" s="93">
        <v>46235</v>
      </c>
      <c r="DH183" s="91">
        <v>0.02</v>
      </c>
      <c r="DI183" t="s">
        <v>300</v>
      </c>
      <c r="DJ183" s="93"/>
      <c r="DK183" s="91"/>
      <c r="DM183" s="93"/>
      <c r="DN183" s="91"/>
      <c r="DP183" s="93"/>
      <c r="DQ183" s="91"/>
    </row>
    <row r="184" spans="1:121" x14ac:dyDescent="0.3">
      <c r="A184" t="s">
        <v>26</v>
      </c>
      <c r="B184" t="s">
        <v>47</v>
      </c>
      <c r="C184" t="s">
        <v>86</v>
      </c>
      <c r="D184" t="s">
        <v>413</v>
      </c>
      <c r="E184" t="s">
        <v>546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88000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-705.92630850210014</v>
      </c>
      <c r="BL184" s="88">
        <v>-706.38428888742055</v>
      </c>
      <c r="BM184" s="88">
        <v>-706.84286390193665</v>
      </c>
      <c r="BN184" s="88">
        <v>-707.31761027063737</v>
      </c>
      <c r="BO184" s="88">
        <v>-707.79299478850976</v>
      </c>
      <c r="BP184" s="88">
        <v>-708.26901874310795</v>
      </c>
      <c r="BQ184" s="88">
        <v>-708.74568342545444</v>
      </c>
      <c r="BR184" s="88">
        <v>-709.23082018614286</v>
      </c>
      <c r="BS184" s="88">
        <v>-709.70878076803513</v>
      </c>
      <c r="BT184" s="88">
        <v>-710.18738599304675</v>
      </c>
      <c r="BU184" s="88">
        <v>-710.66663716618098</v>
      </c>
      <c r="BV184" s="88">
        <v>-711.1465355960753</v>
      </c>
      <c r="BW184" s="88">
        <v>0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88000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-705.92630850210014</v>
      </c>
      <c r="CV184" s="88">
        <v>-706.38428888742055</v>
      </c>
      <c r="CW184" s="88">
        <v>-706.84286390193665</v>
      </c>
      <c r="CX184" s="88">
        <v>-707.31761027063737</v>
      </c>
      <c r="CY184" s="88">
        <v>-707.79299478850976</v>
      </c>
      <c r="CZ184" s="88">
        <v>-708.26901874310795</v>
      </c>
      <c r="DA184" s="88">
        <v>-708.74568342545444</v>
      </c>
      <c r="DB184" s="88">
        <v>-709.23082018614286</v>
      </c>
      <c r="DC184" s="88">
        <v>-709.70878076803513</v>
      </c>
      <c r="DD184" s="88">
        <v>-710.18738599304675</v>
      </c>
      <c r="DE184" s="88">
        <v>-710.66663716618098</v>
      </c>
      <c r="DF184" s="88">
        <v>-711.1465355960753</v>
      </c>
      <c r="DG184" s="93"/>
      <c r="DH184" s="91"/>
      <c r="DJ184" s="93"/>
      <c r="DK184" s="91"/>
      <c r="DM184" s="93"/>
      <c r="DN184" s="91"/>
      <c r="DP184" s="93"/>
      <c r="DQ184" s="91"/>
    </row>
    <row r="185" spans="1:121" x14ac:dyDescent="0.3">
      <c r="A185" t="s">
        <v>26</v>
      </c>
      <c r="B185" t="s">
        <v>47</v>
      </c>
      <c r="C185" t="s">
        <v>88</v>
      </c>
      <c r="D185" t="s">
        <v>415</v>
      </c>
      <c r="E185" t="s">
        <v>547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72000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3182.9109427730682</v>
      </c>
      <c r="BL185" s="88">
        <v>3182.8119391078822</v>
      </c>
      <c r="BM185" s="88">
        <v>3182.7130001384489</v>
      </c>
      <c r="BN185" s="88">
        <v>3182.61077526075</v>
      </c>
      <c r="BO185" s="88">
        <v>3182.508619401538</v>
      </c>
      <c r="BP185" s="88">
        <v>3182.4065324909488</v>
      </c>
      <c r="BQ185" s="88">
        <v>3182.3045144592152</v>
      </c>
      <c r="BR185" s="88">
        <v>6189.4889302911997</v>
      </c>
      <c r="BS185" s="88">
        <v>6189.3829757601943</v>
      </c>
      <c r="BT185" s="88">
        <v>3181.9972044662259</v>
      </c>
      <c r="BU185" s="88">
        <v>3181.8954623779359</v>
      </c>
      <c r="BV185" s="88">
        <v>3181.793788819883</v>
      </c>
      <c r="BW185" s="88">
        <v>2880.0000000000032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5875.200000000008</v>
      </c>
      <c r="CE185" s="88">
        <v>5875.200000000008</v>
      </c>
      <c r="CF185" s="88">
        <v>2880.0000000000032</v>
      </c>
      <c r="CG185" s="88">
        <v>2880.0000000000032</v>
      </c>
      <c r="CH185" s="88">
        <v>2880.0000000000032</v>
      </c>
      <c r="CI185" s="88">
        <v>72000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291.2605218971791</v>
      </c>
      <c r="CV185" s="88">
        <v>291.1653260652738</v>
      </c>
      <c r="CW185" s="88">
        <v>291.07019244080772</v>
      </c>
      <c r="CX185" s="88">
        <v>290.97189928917368</v>
      </c>
      <c r="CY185" s="88">
        <v>290.87367250147798</v>
      </c>
      <c r="CZ185" s="88">
        <v>290.77551201052643</v>
      </c>
      <c r="DA185" s="88">
        <v>290.67741774923661</v>
      </c>
      <c r="DB185" s="88">
        <v>290.57778318342292</v>
      </c>
      <c r="DC185" s="88">
        <v>290.47982226348699</v>
      </c>
      <c r="DD185" s="88">
        <v>290.38192737137427</v>
      </c>
      <c r="DE185" s="88">
        <v>290.28409844032228</v>
      </c>
      <c r="DF185" s="88">
        <v>290.18633540372821</v>
      </c>
      <c r="DG185" s="93">
        <v>46296</v>
      </c>
      <c r="DH185" s="91">
        <v>0.04</v>
      </c>
      <c r="DI185" t="s">
        <v>300</v>
      </c>
      <c r="DJ185" s="93">
        <v>46600</v>
      </c>
      <c r="DK185" s="91">
        <v>0.04</v>
      </c>
      <c r="DL185" t="s">
        <v>301</v>
      </c>
      <c r="DM185" s="93"/>
      <c r="DN185" s="91"/>
      <c r="DP185" s="93"/>
      <c r="DQ185" s="91"/>
    </row>
    <row r="186" spans="1:121" x14ac:dyDescent="0.3">
      <c r="A186" t="s">
        <v>26</v>
      </c>
      <c r="B186" t="s">
        <v>47</v>
      </c>
      <c r="C186" t="s">
        <v>90</v>
      </c>
      <c r="D186" t="s">
        <v>417</v>
      </c>
      <c r="E186" t="s">
        <v>548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56000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3759.6673224825672</v>
      </c>
      <c r="BL186" s="88">
        <v>3758.4031080447462</v>
      </c>
      <c r="BM186" s="88">
        <v>3757.1422200419302</v>
      </c>
      <c r="BN186" s="88">
        <v>3755.84207361881</v>
      </c>
      <c r="BO186" s="88">
        <v>3754.5454545454718</v>
      </c>
      <c r="BP186" s="88">
        <v>3753.2523484865301</v>
      </c>
      <c r="BQ186" s="88">
        <v>3751.9627411843039</v>
      </c>
      <c r="BR186" s="88">
        <v>3750.6555634301972</v>
      </c>
      <c r="BS186" s="88">
        <v>3749.3729679516932</v>
      </c>
      <c r="BT186" s="88">
        <v>3748.093828687558</v>
      </c>
      <c r="BU186" s="88">
        <v>901.73155398698236</v>
      </c>
      <c r="BV186" s="88">
        <v>900.51986959203134</v>
      </c>
      <c r="BW186" s="88">
        <v>2800.0000000000018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0</v>
      </c>
      <c r="CH186" s="88">
        <v>0</v>
      </c>
      <c r="CI186" s="88">
        <v>56000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913.96887855482771</v>
      </c>
      <c r="CV186" s="88">
        <v>912.76486480451706</v>
      </c>
      <c r="CW186" s="88">
        <v>911.56401908754776</v>
      </c>
      <c r="CX186" s="88">
        <v>910.32578439886788</v>
      </c>
      <c r="CY186" s="88">
        <v>909.09090909091719</v>
      </c>
      <c r="CZ186" s="88">
        <v>907.85937951097753</v>
      </c>
      <c r="DA186" s="88">
        <v>906.6311820802913</v>
      </c>
      <c r="DB186" s="88">
        <v>905.38625088590231</v>
      </c>
      <c r="DC186" s="88">
        <v>904.16473138256674</v>
      </c>
      <c r="DD186" s="88">
        <v>902.94650351195389</v>
      </c>
      <c r="DE186" s="88">
        <v>901.73155398698236</v>
      </c>
      <c r="DF186" s="88">
        <v>900.51986959203134</v>
      </c>
      <c r="DG186" s="93">
        <v>46327</v>
      </c>
      <c r="DH186" s="91">
        <v>0.05</v>
      </c>
      <c r="DI186" t="s">
        <v>300</v>
      </c>
      <c r="DJ186" s="93"/>
      <c r="DK186" s="91"/>
      <c r="DM186" s="93"/>
      <c r="DN186" s="91"/>
      <c r="DP186" s="93"/>
      <c r="DQ186" s="91"/>
    </row>
    <row r="187" spans="1:121" x14ac:dyDescent="0.3">
      <c r="A187" t="s">
        <v>26</v>
      </c>
      <c r="B187" t="s">
        <v>47</v>
      </c>
      <c r="C187" t="s">
        <v>91</v>
      </c>
      <c r="D187" t="s">
        <v>419</v>
      </c>
      <c r="E187" t="s">
        <v>549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40000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40000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93"/>
      <c r="DH187" s="91"/>
      <c r="DJ187" s="93"/>
      <c r="DK187" s="91"/>
      <c r="DM187" s="93"/>
      <c r="DN187" s="91"/>
      <c r="DP187" s="93"/>
      <c r="DQ187" s="91"/>
    </row>
    <row r="188" spans="1:121" x14ac:dyDescent="0.3">
      <c r="A188" t="s">
        <v>26</v>
      </c>
      <c r="B188" t="s">
        <v>47</v>
      </c>
      <c r="C188" t="s">
        <v>93</v>
      </c>
      <c r="D188" t="s">
        <v>421</v>
      </c>
      <c r="E188" t="s">
        <v>550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92000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1122.907923556661</v>
      </c>
      <c r="BL188" s="88">
        <v>1121.8012961849449</v>
      </c>
      <c r="BM188" s="88">
        <v>1120.6968478315091</v>
      </c>
      <c r="BN188" s="88">
        <v>1119.5572447822781</v>
      </c>
      <c r="BO188" s="88">
        <v>1118.4199570350929</v>
      </c>
      <c r="BP188" s="88">
        <v>1117.2849775411751</v>
      </c>
      <c r="BQ188" s="88">
        <v>1116.152299280365</v>
      </c>
      <c r="BR188" s="88">
        <v>1115.0034034499299</v>
      </c>
      <c r="BS188" s="88">
        <v>1113.8753441470051</v>
      </c>
      <c r="BT188" s="88">
        <v>1112.749565073319</v>
      </c>
      <c r="BU188" s="88">
        <v>1111.626059322027</v>
      </c>
      <c r="BV188" s="88">
        <v>1110.504820014231</v>
      </c>
      <c r="BW188" s="88">
        <v>0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92000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1122.907923556661</v>
      </c>
      <c r="CV188" s="88">
        <v>1121.8012961849449</v>
      </c>
      <c r="CW188" s="88">
        <v>1120.6968478315091</v>
      </c>
      <c r="CX188" s="88">
        <v>1119.5572447822781</v>
      </c>
      <c r="CY188" s="88">
        <v>1118.4199570350929</v>
      </c>
      <c r="CZ188" s="88">
        <v>1117.2849775411751</v>
      </c>
      <c r="DA188" s="88">
        <v>1116.152299280365</v>
      </c>
      <c r="DB188" s="88">
        <v>1115.0034034499299</v>
      </c>
      <c r="DC188" s="88">
        <v>1113.8753441470051</v>
      </c>
      <c r="DD188" s="88">
        <v>1112.749565073319</v>
      </c>
      <c r="DE188" s="88">
        <v>1111.626059322027</v>
      </c>
      <c r="DF188" s="88">
        <v>1110.504820014231</v>
      </c>
      <c r="DG188" s="93">
        <v>46023</v>
      </c>
      <c r="DH188" s="91">
        <v>0.02</v>
      </c>
      <c r="DI188" t="s">
        <v>300</v>
      </c>
      <c r="DJ188" s="93"/>
      <c r="DK188" s="91"/>
      <c r="DM188" s="93"/>
      <c r="DN188" s="91"/>
      <c r="DP188" s="93"/>
      <c r="DQ188" s="91"/>
    </row>
    <row r="189" spans="1:121" x14ac:dyDescent="0.3">
      <c r="A189" t="s">
        <v>26</v>
      </c>
      <c r="B189" t="s">
        <v>47</v>
      </c>
      <c r="C189" t="s">
        <v>94</v>
      </c>
      <c r="D189" t="s">
        <v>423</v>
      </c>
      <c r="E189" t="s">
        <v>551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76000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1965.132268426941</v>
      </c>
      <c r="BL189" s="88">
        <v>2721.9719117225568</v>
      </c>
      <c r="BM189" s="88">
        <v>2721.8684560206038</v>
      </c>
      <c r="BN189" s="88">
        <v>2721.76142255168</v>
      </c>
      <c r="BO189" s="88">
        <v>2721.654317036975</v>
      </c>
      <c r="BP189" s="88">
        <v>2721.5471394037049</v>
      </c>
      <c r="BQ189" s="88">
        <v>2721.4398895790182</v>
      </c>
      <c r="BR189" s="88">
        <v>2721.3308075089822</v>
      </c>
      <c r="BS189" s="88">
        <v>2721.2234118959959</v>
      </c>
      <c r="BT189" s="88">
        <v>2721.1159438712002</v>
      </c>
      <c r="BU189" s="88">
        <v>2721.0084033613389</v>
      </c>
      <c r="BV189" s="88">
        <v>2720.9007902930562</v>
      </c>
      <c r="BW189" s="88">
        <v>2280.0000000000018</v>
      </c>
      <c r="BX189" s="88">
        <v>3040.0000000000032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76000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-305.69682676996251</v>
      </c>
      <c r="CV189" s="88">
        <v>-305.79623872831132</v>
      </c>
      <c r="CW189" s="88">
        <v>-305.89571536480702</v>
      </c>
      <c r="CX189" s="88">
        <v>-305.99863216184622</v>
      </c>
      <c r="CY189" s="88">
        <v>-306.10161823367753</v>
      </c>
      <c r="CZ189" s="88">
        <v>-306.20467365028333</v>
      </c>
      <c r="DA189" s="88">
        <v>-306.30779848171312</v>
      </c>
      <c r="DB189" s="88">
        <v>-306.41268508751239</v>
      </c>
      <c r="DC189" s="88">
        <v>-306.51595010000551</v>
      </c>
      <c r="DD189" s="88">
        <v>-306.61928473922683</v>
      </c>
      <c r="DE189" s="88">
        <v>-306.72268907563142</v>
      </c>
      <c r="DF189" s="88">
        <v>-306.82616317974981</v>
      </c>
      <c r="DG189" s="93">
        <v>46054</v>
      </c>
      <c r="DH189" s="91">
        <v>0.03</v>
      </c>
      <c r="DI189" t="s">
        <v>300</v>
      </c>
      <c r="DJ189" s="93">
        <v>46419</v>
      </c>
      <c r="DK189" s="91">
        <v>0.04</v>
      </c>
      <c r="DL189" t="s">
        <v>301</v>
      </c>
      <c r="DM189" s="93"/>
      <c r="DN189" s="91"/>
      <c r="DP189" s="93"/>
      <c r="DQ189" s="91"/>
    </row>
    <row r="190" spans="1:121" x14ac:dyDescent="0.3">
      <c r="A190" t="s">
        <v>26</v>
      </c>
      <c r="B190" t="s">
        <v>47</v>
      </c>
      <c r="C190" t="s">
        <v>95</v>
      </c>
      <c r="D190" t="s">
        <v>425</v>
      </c>
      <c r="E190" t="s">
        <v>552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60000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486.82353202698539</v>
      </c>
      <c r="BL190" s="88">
        <v>486.50449850049517</v>
      </c>
      <c r="BM190" s="88">
        <v>486.18588284917939</v>
      </c>
      <c r="BN190" s="88">
        <v>485.85690515806408</v>
      </c>
      <c r="BO190" s="88">
        <v>485.52837237143541</v>
      </c>
      <c r="BP190" s="88">
        <v>485.20028358737483</v>
      </c>
      <c r="BQ190" s="88">
        <v>484.87263790641498</v>
      </c>
      <c r="BR190" s="88">
        <v>484.54007411914642</v>
      </c>
      <c r="BS190" s="88">
        <v>484.21331918281129</v>
      </c>
      <c r="BT190" s="88">
        <v>483.88700465106899</v>
      </c>
      <c r="BU190" s="88">
        <v>483.56112963412471</v>
      </c>
      <c r="BV190" s="88">
        <v>483.23569324463472</v>
      </c>
      <c r="BW190" s="88">
        <v>0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60000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486.82353202698539</v>
      </c>
      <c r="CV190" s="88">
        <v>486.50449850049517</v>
      </c>
      <c r="CW190" s="88">
        <v>486.18588284917939</v>
      </c>
      <c r="CX190" s="88">
        <v>485.85690515806408</v>
      </c>
      <c r="CY190" s="88">
        <v>485.52837237143541</v>
      </c>
      <c r="CZ190" s="88">
        <v>485.20028358737483</v>
      </c>
      <c r="DA190" s="88">
        <v>484.87263790641498</v>
      </c>
      <c r="DB190" s="88">
        <v>484.54007411914642</v>
      </c>
      <c r="DC190" s="88">
        <v>484.21331918281129</v>
      </c>
      <c r="DD190" s="88">
        <v>483.88700465106899</v>
      </c>
      <c r="DE190" s="88">
        <v>483.56112963412471</v>
      </c>
      <c r="DF190" s="88">
        <v>483.23569324463472</v>
      </c>
      <c r="DG190" s="93"/>
      <c r="DH190" s="91"/>
      <c r="DJ190" s="93"/>
      <c r="DK190" s="91"/>
      <c r="DM190" s="93"/>
      <c r="DN190" s="91"/>
      <c r="DP190" s="93"/>
      <c r="DQ190" s="91"/>
    </row>
    <row r="191" spans="1:121" x14ac:dyDescent="0.3">
      <c r="A191" t="s">
        <v>28</v>
      </c>
      <c r="B191" t="s">
        <v>42</v>
      </c>
      <c r="C191" t="s">
        <v>43</v>
      </c>
      <c r="D191" t="s">
        <v>298</v>
      </c>
      <c r="E191" t="s">
        <v>553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24000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2162.9992603070432</v>
      </c>
      <c r="BL191" s="88">
        <v>2161.3423792014091</v>
      </c>
      <c r="BM191" s="88">
        <v>2159.6930748065602</v>
      </c>
      <c r="BN191" s="88">
        <v>3465.8955616268868</v>
      </c>
      <c r="BO191" s="88">
        <v>3464.1217809434438</v>
      </c>
      <c r="BP191" s="88">
        <v>3462.3563274415742</v>
      </c>
      <c r="BQ191" s="88">
        <v>1906.2256062448009</v>
      </c>
      <c r="BR191" s="88">
        <v>1904.548646129891</v>
      </c>
      <c r="BS191" s="88">
        <v>1902.906488014876</v>
      </c>
      <c r="BT191" s="88">
        <v>1901.2719671652039</v>
      </c>
      <c r="BU191" s="88">
        <v>1899.6450304259711</v>
      </c>
      <c r="BV191" s="88">
        <v>1898.025625134389</v>
      </c>
      <c r="BW191" s="88">
        <v>1440.0000000000009</v>
      </c>
      <c r="BX191" s="88">
        <v>1440.0000000000009</v>
      </c>
      <c r="BY191" s="88">
        <v>1440.0000000000009</v>
      </c>
      <c r="BZ191" s="88">
        <v>2712</v>
      </c>
      <c r="CA191" s="88">
        <v>2712</v>
      </c>
      <c r="CB191" s="88">
        <v>2712</v>
      </c>
      <c r="CC191" s="88">
        <v>1200.0000000000009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24000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682.07477387456629</v>
      </c>
      <c r="CV191" s="88">
        <v>680.51167849189653</v>
      </c>
      <c r="CW191" s="88">
        <v>678.95573094958377</v>
      </c>
      <c r="CX191" s="88">
        <v>677.35450280942371</v>
      </c>
      <c r="CY191" s="88">
        <v>675.76080947299386</v>
      </c>
      <c r="CZ191" s="88">
        <v>674.17459788102008</v>
      </c>
      <c r="DA191" s="88">
        <v>672.59581547123832</v>
      </c>
      <c r="DB191" s="88">
        <v>670.99871059989266</v>
      </c>
      <c r="DC191" s="88">
        <v>669.43475049035681</v>
      </c>
      <c r="DD191" s="88">
        <v>667.87806396685846</v>
      </c>
      <c r="DE191" s="88">
        <v>666.32860040568426</v>
      </c>
      <c r="DF191" s="88">
        <v>664.78630965179696</v>
      </c>
      <c r="DG191" s="93">
        <v>45839</v>
      </c>
      <c r="DH191" s="91">
        <v>0.04</v>
      </c>
      <c r="DI191" t="s">
        <v>300</v>
      </c>
      <c r="DJ191" s="93">
        <v>46204</v>
      </c>
      <c r="DK191" s="91">
        <v>0.06</v>
      </c>
      <c r="DL191" t="s">
        <v>300</v>
      </c>
      <c r="DM191" s="93">
        <v>46478</v>
      </c>
      <c r="DN191" s="91">
        <v>0.05</v>
      </c>
      <c r="DO191" t="s">
        <v>301</v>
      </c>
      <c r="DP191" s="93"/>
      <c r="DQ191" s="91"/>
    </row>
    <row r="192" spans="1:121" x14ac:dyDescent="0.3">
      <c r="A192" t="s">
        <v>28</v>
      </c>
      <c r="B192" t="s">
        <v>42</v>
      </c>
      <c r="C192" t="s">
        <v>46</v>
      </c>
      <c r="D192" t="s">
        <v>302</v>
      </c>
      <c r="E192" t="s">
        <v>554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63000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2182.0864240922069</v>
      </c>
      <c r="BL192" s="88">
        <v>2814.8149609211191</v>
      </c>
      <c r="BM192" s="88">
        <v>2814.7077852059638</v>
      </c>
      <c r="BN192" s="88">
        <v>2814.5970583162912</v>
      </c>
      <c r="BO192" s="88">
        <v>2814.486414599452</v>
      </c>
      <c r="BP192" s="88">
        <v>2814.3758539617661</v>
      </c>
      <c r="BQ192" s="88">
        <v>2814.2653763096869</v>
      </c>
      <c r="BR192" s="88">
        <v>2814.15317248971</v>
      </c>
      <c r="BS192" s="88">
        <v>2814.0428618853989</v>
      </c>
      <c r="BT192" s="88">
        <v>2813.9326339853669</v>
      </c>
      <c r="BU192" s="88">
        <v>2813.8224886966732</v>
      </c>
      <c r="BV192" s="88">
        <v>2813.712425926487</v>
      </c>
      <c r="BW192" s="88">
        <v>1890.000000000002</v>
      </c>
      <c r="BX192" s="88">
        <v>2520.0000000000018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63000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283.57905251669939</v>
      </c>
      <c r="CV192" s="88">
        <v>283.47592396261501</v>
      </c>
      <c r="CW192" s="88">
        <v>283.37287039034328</v>
      </c>
      <c r="CX192" s="88">
        <v>283.26640222720363</v>
      </c>
      <c r="CY192" s="88">
        <v>283.16001403793729</v>
      </c>
      <c r="CZ192" s="88">
        <v>283.05370573247069</v>
      </c>
      <c r="DA192" s="88">
        <v>282.94747722085549</v>
      </c>
      <c r="DB192" s="88">
        <v>282.83958893241652</v>
      </c>
      <c r="DC192" s="88">
        <v>282.73352104364841</v>
      </c>
      <c r="DD192" s="88">
        <v>282.62753267823018</v>
      </c>
      <c r="DE192" s="88">
        <v>282.52162374680142</v>
      </c>
      <c r="DF192" s="88">
        <v>282.41579416008528</v>
      </c>
      <c r="DG192" s="93">
        <v>46054</v>
      </c>
      <c r="DH192" s="91">
        <v>0.03</v>
      </c>
      <c r="DI192" t="s">
        <v>300</v>
      </c>
      <c r="DJ192" s="93">
        <v>46419</v>
      </c>
      <c r="DK192" s="91">
        <v>0.04</v>
      </c>
      <c r="DL192" t="s">
        <v>301</v>
      </c>
      <c r="DM192" s="93"/>
      <c r="DN192" s="91"/>
      <c r="DP192" s="93"/>
      <c r="DQ192" s="91"/>
    </row>
    <row r="193" spans="1:121" x14ac:dyDescent="0.3">
      <c r="A193" t="s">
        <v>28</v>
      </c>
      <c r="B193" t="s">
        <v>42</v>
      </c>
      <c r="C193" t="s">
        <v>48</v>
      </c>
      <c r="D193" t="s">
        <v>304</v>
      </c>
      <c r="E193" t="s">
        <v>555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51000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927.08800239056188</v>
      </c>
      <c r="BL193" s="88">
        <v>925.72792600144521</v>
      </c>
      <c r="BM193" s="88">
        <v>924.37183434303677</v>
      </c>
      <c r="BN193" s="88">
        <v>922.97394451743878</v>
      </c>
      <c r="BO193" s="88">
        <v>921.58027625129876</v>
      </c>
      <c r="BP193" s="88">
        <v>920.19081045008886</v>
      </c>
      <c r="BQ193" s="88">
        <v>918.80552813425641</v>
      </c>
      <c r="BR193" s="88">
        <v>917.4018037553659</v>
      </c>
      <c r="BS193" s="88">
        <v>916.02489973673755</v>
      </c>
      <c r="BT193" s="88">
        <v>914.65212264150807</v>
      </c>
      <c r="BU193" s="88">
        <v>913.28345394333383</v>
      </c>
      <c r="BV193" s="88">
        <v>911.91887522656589</v>
      </c>
      <c r="BW193" s="88">
        <v>0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51000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927.08800239056188</v>
      </c>
      <c r="CV193" s="88">
        <v>925.72792600144521</v>
      </c>
      <c r="CW193" s="88">
        <v>924.37183434303677</v>
      </c>
      <c r="CX193" s="88">
        <v>922.97394451743878</v>
      </c>
      <c r="CY193" s="88">
        <v>921.58027625129876</v>
      </c>
      <c r="CZ193" s="88">
        <v>920.19081045008886</v>
      </c>
      <c r="DA193" s="88">
        <v>918.80552813425641</v>
      </c>
      <c r="DB193" s="88">
        <v>917.4018037553659</v>
      </c>
      <c r="DC193" s="88">
        <v>916.02489973673755</v>
      </c>
      <c r="DD193" s="88">
        <v>914.65212264150807</v>
      </c>
      <c r="DE193" s="88">
        <v>913.28345394333383</v>
      </c>
      <c r="DF193" s="88">
        <v>911.91887522656589</v>
      </c>
      <c r="DG193" s="93"/>
      <c r="DH193" s="91"/>
      <c r="DJ193" s="93"/>
      <c r="DK193" s="91"/>
      <c r="DM193" s="93"/>
      <c r="DN193" s="91"/>
      <c r="DP193" s="93"/>
      <c r="DQ193" s="91"/>
    </row>
    <row r="194" spans="1:121" x14ac:dyDescent="0.3">
      <c r="A194" t="s">
        <v>28</v>
      </c>
      <c r="B194" t="s">
        <v>42</v>
      </c>
      <c r="C194" t="s">
        <v>50</v>
      </c>
      <c r="D194" t="s">
        <v>306</v>
      </c>
      <c r="E194" t="s">
        <v>556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39000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1950.000000000002</v>
      </c>
      <c r="BL194" s="88">
        <v>1950.000000000002</v>
      </c>
      <c r="BM194" s="88">
        <v>1950.000000000002</v>
      </c>
      <c r="BN194" s="88">
        <v>0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1950.000000000002</v>
      </c>
      <c r="BX194" s="88">
        <v>1950.000000000002</v>
      </c>
      <c r="BY194" s="88">
        <v>1950.000000000002</v>
      </c>
      <c r="BZ194" s="88">
        <v>0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93">
        <v>46113</v>
      </c>
      <c r="DH194" s="91">
        <v>0.05</v>
      </c>
      <c r="DI194" t="s">
        <v>300</v>
      </c>
      <c r="DJ194" s="93"/>
      <c r="DK194" s="91"/>
      <c r="DM194" s="93"/>
      <c r="DN194" s="91"/>
      <c r="DP194" s="93"/>
      <c r="DQ194" s="91"/>
    </row>
    <row r="195" spans="1:121" x14ac:dyDescent="0.3">
      <c r="A195" t="s">
        <v>28</v>
      </c>
      <c r="B195" t="s">
        <v>42</v>
      </c>
      <c r="C195" t="s">
        <v>57</v>
      </c>
      <c r="D195" t="s">
        <v>308</v>
      </c>
      <c r="E195" t="s">
        <v>557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27000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2008.9479791742949</v>
      </c>
      <c r="BL195" s="88">
        <v>2008.5212367657671</v>
      </c>
      <c r="BM195" s="88">
        <v>2008.0954297496601</v>
      </c>
      <c r="BN195" s="88">
        <v>2007.6561688231409</v>
      </c>
      <c r="BO195" s="88">
        <v>365.29990671353647</v>
      </c>
      <c r="BP195" s="88">
        <v>364.88738043813288</v>
      </c>
      <c r="BQ195" s="88">
        <v>364.47578482799832</v>
      </c>
      <c r="BR195" s="88">
        <v>364.05839218318118</v>
      </c>
      <c r="BS195" s="88">
        <v>363.64866360807508</v>
      </c>
      <c r="BT195" s="88">
        <v>363.23985625210997</v>
      </c>
      <c r="BU195" s="88">
        <v>362.83196701192821</v>
      </c>
      <c r="BV195" s="88">
        <v>362.42499279808118</v>
      </c>
      <c r="BW195" s="88">
        <v>1620.0000000000009</v>
      </c>
      <c r="BX195" s="88">
        <v>1620.0000000000009</v>
      </c>
      <c r="BY195" s="88">
        <v>1620.0000000000009</v>
      </c>
      <c r="BZ195" s="88">
        <v>1620.0000000000009</v>
      </c>
      <c r="CA195" s="88">
        <v>0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27000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366.93205582480408</v>
      </c>
      <c r="CV195" s="88">
        <v>366.52946864694962</v>
      </c>
      <c r="CW195" s="88">
        <v>366.12776391477348</v>
      </c>
      <c r="CX195" s="88">
        <v>365.71336681428107</v>
      </c>
      <c r="CY195" s="88">
        <v>365.29990671353647</v>
      </c>
      <c r="CZ195" s="88">
        <v>364.88738043813288</v>
      </c>
      <c r="DA195" s="88">
        <v>364.47578482799832</v>
      </c>
      <c r="DB195" s="88">
        <v>364.05839218318118</v>
      </c>
      <c r="DC195" s="88">
        <v>363.64866360807508</v>
      </c>
      <c r="DD195" s="88">
        <v>363.23985625210997</v>
      </c>
      <c r="DE195" s="88">
        <v>362.83196701192821</v>
      </c>
      <c r="DF195" s="88">
        <v>362.42499279808118</v>
      </c>
      <c r="DG195" s="93">
        <v>46143</v>
      </c>
      <c r="DH195" s="91">
        <v>0.06</v>
      </c>
      <c r="DI195" t="s">
        <v>300</v>
      </c>
      <c r="DJ195" s="93"/>
      <c r="DK195" s="91"/>
      <c r="DM195" s="93"/>
      <c r="DN195" s="91"/>
      <c r="DP195" s="93"/>
      <c r="DQ195" s="91"/>
    </row>
    <row r="196" spans="1:121" x14ac:dyDescent="0.3">
      <c r="A196" t="s">
        <v>28</v>
      </c>
      <c r="B196" t="s">
        <v>42</v>
      </c>
      <c r="C196" t="s">
        <v>58</v>
      </c>
      <c r="D196" t="s">
        <v>310</v>
      </c>
      <c r="E196" t="s">
        <v>558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66000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3429.201990193139</v>
      </c>
      <c r="BL196" s="88">
        <v>3340.518237047113</v>
      </c>
      <c r="BM196" s="88">
        <v>3251.9965436299281</v>
      </c>
      <c r="BN196" s="88">
        <v>3160.6440361140758</v>
      </c>
      <c r="BO196" s="88">
        <v>3069.4637985714212</v>
      </c>
      <c r="BP196" s="88">
        <v>2648.4148879760469</v>
      </c>
      <c r="BQ196" s="88">
        <v>2558.0123592532182</v>
      </c>
      <c r="BR196" s="88">
        <v>2466.302019956157</v>
      </c>
      <c r="BS196" s="88">
        <v>2376.241782517297</v>
      </c>
      <c r="BT196" s="88">
        <v>2331.9532032878278</v>
      </c>
      <c r="BU196" s="88">
        <v>2331.8376383763912</v>
      </c>
      <c r="BV196" s="88">
        <v>2331.7219867231902</v>
      </c>
      <c r="BW196" s="88">
        <v>2969.999999999995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2640.0000000000018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66000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439.42774181161951</v>
      </c>
      <c r="CV196" s="88">
        <v>354.56290626518779</v>
      </c>
      <c r="CW196" s="88">
        <v>269.85315179898441</v>
      </c>
      <c r="CX196" s="88">
        <v>182.43448431969429</v>
      </c>
      <c r="CY196" s="88">
        <v>95.18066848939722</v>
      </c>
      <c r="CZ196" s="88">
        <v>8.0912384385047886</v>
      </c>
      <c r="DA196" s="88">
        <v>-78.834269948828691</v>
      </c>
      <c r="DB196" s="88">
        <v>-167.01728850369619</v>
      </c>
      <c r="DC196" s="88">
        <v>-253.61367065644029</v>
      </c>
      <c r="DD196" s="88">
        <v>-296.19884299247963</v>
      </c>
      <c r="DE196" s="88">
        <v>-296.30996309963058</v>
      </c>
      <c r="DF196" s="88">
        <v>-296.42116661231762</v>
      </c>
      <c r="DG196" s="93">
        <v>46174</v>
      </c>
      <c r="DH196" s="91">
        <v>4.4999999999999998E-2</v>
      </c>
      <c r="DI196" t="s">
        <v>300</v>
      </c>
      <c r="DJ196" s="93">
        <v>46539</v>
      </c>
      <c r="DK196" s="91">
        <v>0.04</v>
      </c>
      <c r="DL196" t="s">
        <v>301</v>
      </c>
      <c r="DM196" s="93"/>
      <c r="DN196" s="91"/>
      <c r="DP196" s="93"/>
      <c r="DQ196" s="91"/>
    </row>
    <row r="197" spans="1:121" x14ac:dyDescent="0.3">
      <c r="A197" t="s">
        <v>28</v>
      </c>
      <c r="B197" t="s">
        <v>42</v>
      </c>
      <c r="C197" t="s">
        <v>65</v>
      </c>
      <c r="D197" t="s">
        <v>312</v>
      </c>
      <c r="E197" t="s">
        <v>559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54000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2122.3147059915109</v>
      </c>
      <c r="BL197" s="88">
        <v>2121.948324885645</v>
      </c>
      <c r="BM197" s="88">
        <v>2121.5824778564302</v>
      </c>
      <c r="BN197" s="88">
        <v>2121.204789532158</v>
      </c>
      <c r="BO197" s="88">
        <v>2120.8276695735808</v>
      </c>
      <c r="BP197" s="88">
        <v>2120.4511166987081</v>
      </c>
      <c r="BQ197" s="88">
        <v>485.50983459164422</v>
      </c>
      <c r="BR197" s="88">
        <v>485.13937603840242</v>
      </c>
      <c r="BS197" s="88">
        <v>484.77544394706752</v>
      </c>
      <c r="BT197" s="88">
        <v>484.41205746095761</v>
      </c>
      <c r="BU197" s="88">
        <v>484.04921535400553</v>
      </c>
      <c r="BV197" s="88">
        <v>483.68691640388482</v>
      </c>
      <c r="BW197" s="88">
        <v>1620.0000000000009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0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54000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487.6841805742842</v>
      </c>
      <c r="CV197" s="88">
        <v>487.3284707627663</v>
      </c>
      <c r="CW197" s="88">
        <v>486.97327947226262</v>
      </c>
      <c r="CX197" s="88">
        <v>486.60659177879319</v>
      </c>
      <c r="CY197" s="88">
        <v>486.24045589667639</v>
      </c>
      <c r="CZ197" s="88">
        <v>485.87487058127192</v>
      </c>
      <c r="DA197" s="88">
        <v>485.50983459164422</v>
      </c>
      <c r="DB197" s="88">
        <v>485.13937603840242</v>
      </c>
      <c r="DC197" s="88">
        <v>484.77544394706752</v>
      </c>
      <c r="DD197" s="88">
        <v>484.41205746095761</v>
      </c>
      <c r="DE197" s="88">
        <v>484.04921535400553</v>
      </c>
      <c r="DF197" s="88">
        <v>483.68691640388482</v>
      </c>
      <c r="DG197" s="93">
        <v>46204</v>
      </c>
      <c r="DH197" s="91">
        <v>0.03</v>
      </c>
      <c r="DI197" t="s">
        <v>300</v>
      </c>
      <c r="DJ197" s="93"/>
      <c r="DK197" s="91"/>
      <c r="DM197" s="93"/>
      <c r="DN197" s="91"/>
      <c r="DP197" s="93"/>
      <c r="DQ197" s="91"/>
    </row>
    <row r="198" spans="1:121" x14ac:dyDescent="0.3">
      <c r="A198" t="s">
        <v>28</v>
      </c>
      <c r="B198" t="s">
        <v>42</v>
      </c>
      <c r="C198" t="s">
        <v>66</v>
      </c>
      <c r="D198" t="s">
        <v>314</v>
      </c>
      <c r="E198" t="s">
        <v>560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42000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1290.4811815150069</v>
      </c>
      <c r="BL198" s="88">
        <v>1290.200239602947</v>
      </c>
      <c r="BM198" s="88">
        <v>1289.9188921375539</v>
      </c>
      <c r="BN198" s="88">
        <v>1289.627580127813</v>
      </c>
      <c r="BO198" s="88">
        <v>1289.3358326901141</v>
      </c>
      <c r="BP198" s="88">
        <v>1289.0436488474779</v>
      </c>
      <c r="BQ198" s="88">
        <v>1288.7510276199721</v>
      </c>
      <c r="BR198" s="88">
        <v>-376.48734604664128</v>
      </c>
      <c r="BS198" s="88">
        <v>-376.76956350766602</v>
      </c>
      <c r="BT198" s="88">
        <v>-377.05220439033712</v>
      </c>
      <c r="BU198" s="88">
        <v>-377.33526964826228</v>
      </c>
      <c r="BV198" s="88">
        <v>-377.6187602379548</v>
      </c>
      <c r="BW198" s="88">
        <v>1680.000000000002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0</v>
      </c>
      <c r="CE198" s="88">
        <v>0</v>
      </c>
      <c r="CF198" s="88">
        <v>0</v>
      </c>
      <c r="CG198" s="88">
        <v>0</v>
      </c>
      <c r="CH198" s="88">
        <v>0</v>
      </c>
      <c r="CI198" s="88">
        <v>42000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-374.53732546633711</v>
      </c>
      <c r="CV198" s="88">
        <v>-374.80746192024372</v>
      </c>
      <c r="CW198" s="88">
        <v>-375.07798832927517</v>
      </c>
      <c r="CX198" s="88">
        <v>-375.3580960309493</v>
      </c>
      <c r="CY198" s="88">
        <v>-375.63862241335011</v>
      </c>
      <c r="CZ198" s="88">
        <v>-375.91956841588689</v>
      </c>
      <c r="DA198" s="88">
        <v>-376.20093498079473</v>
      </c>
      <c r="DB198" s="88">
        <v>-376.48734604664128</v>
      </c>
      <c r="DC198" s="88">
        <v>-376.76956350766602</v>
      </c>
      <c r="DD198" s="88">
        <v>-377.05220439033712</v>
      </c>
      <c r="DE198" s="88">
        <v>-377.33526964826228</v>
      </c>
      <c r="DF198" s="88">
        <v>-377.6187602379548</v>
      </c>
      <c r="DG198" s="93">
        <v>46235</v>
      </c>
      <c r="DH198" s="91">
        <v>0.04</v>
      </c>
      <c r="DI198" t="s">
        <v>300</v>
      </c>
      <c r="DJ198" s="93"/>
      <c r="DK198" s="91"/>
      <c r="DM198" s="93"/>
      <c r="DN198" s="91"/>
      <c r="DP198" s="93"/>
      <c r="DQ198" s="91"/>
    </row>
    <row r="199" spans="1:121" x14ac:dyDescent="0.3">
      <c r="A199" t="s">
        <v>28</v>
      </c>
      <c r="B199" t="s">
        <v>42</v>
      </c>
      <c r="C199" t="s">
        <v>67</v>
      </c>
      <c r="D199" t="s">
        <v>316</v>
      </c>
      <c r="E199" t="s">
        <v>561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30000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135.03764405557121</v>
      </c>
      <c r="BL199" s="88">
        <v>134.9885352202929</v>
      </c>
      <c r="BM199" s="88">
        <v>134.93946209063969</v>
      </c>
      <c r="BN199" s="88">
        <v>134.88876296533499</v>
      </c>
      <c r="BO199" s="88">
        <v>134.83810192282729</v>
      </c>
      <c r="BP199" s="88">
        <v>134.78747892022409</v>
      </c>
      <c r="BQ199" s="88">
        <v>134.7368939146931</v>
      </c>
      <c r="BR199" s="88">
        <v>134.68551853924589</v>
      </c>
      <c r="BS199" s="88">
        <v>134.6350100207849</v>
      </c>
      <c r="BT199" s="88">
        <v>134.58453937058579</v>
      </c>
      <c r="BU199" s="88">
        <v>134.5341065460959</v>
      </c>
      <c r="BV199" s="88">
        <v>134.4837115048025</v>
      </c>
      <c r="BW199" s="88">
        <v>0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30000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135.03764405557121</v>
      </c>
      <c r="CV199" s="88">
        <v>134.9885352202929</v>
      </c>
      <c r="CW199" s="88">
        <v>134.93946209063969</v>
      </c>
      <c r="CX199" s="88">
        <v>134.88876296533499</v>
      </c>
      <c r="CY199" s="88">
        <v>134.83810192282729</v>
      </c>
      <c r="CZ199" s="88">
        <v>134.78747892022409</v>
      </c>
      <c r="DA199" s="88">
        <v>134.7368939146931</v>
      </c>
      <c r="DB199" s="88">
        <v>134.68551853924589</v>
      </c>
      <c r="DC199" s="88">
        <v>134.6350100207849</v>
      </c>
      <c r="DD199" s="88">
        <v>134.58453937058579</v>
      </c>
      <c r="DE199" s="88">
        <v>134.5341065460959</v>
      </c>
      <c r="DF199" s="88">
        <v>134.4837115048025</v>
      </c>
      <c r="DG199" s="93"/>
      <c r="DH199" s="91"/>
      <c r="DJ199" s="93"/>
      <c r="DK199" s="91"/>
      <c r="DM199" s="93"/>
      <c r="DN199" s="91"/>
      <c r="DP199" s="93"/>
      <c r="DQ199" s="91"/>
    </row>
    <row r="200" spans="1:121" x14ac:dyDescent="0.3">
      <c r="A200" t="s">
        <v>28</v>
      </c>
      <c r="B200" t="s">
        <v>42</v>
      </c>
      <c r="C200" t="s">
        <v>73</v>
      </c>
      <c r="D200" t="s">
        <v>318</v>
      </c>
      <c r="E200" t="s">
        <v>562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69000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5469.5532646048287</v>
      </c>
      <c r="BL200" s="88">
        <v>5467.6027550538374</v>
      </c>
      <c r="BM200" s="88">
        <v>5465.6579600754894</v>
      </c>
      <c r="BN200" s="88">
        <v>5463.6532216079568</v>
      </c>
      <c r="BO200" s="88">
        <v>5461.654537353339</v>
      </c>
      <c r="BP200" s="88">
        <v>5459.6618799278449</v>
      </c>
      <c r="BQ200" s="88">
        <v>5457.675222112538</v>
      </c>
      <c r="BR200" s="88">
        <v>5455.662116209166</v>
      </c>
      <c r="BS200" s="88">
        <v>5453.687473857748</v>
      </c>
      <c r="BT200" s="88">
        <v>4046.9693396226389</v>
      </c>
      <c r="BU200" s="88">
        <v>4045.0435422543951</v>
      </c>
      <c r="BV200" s="88">
        <v>4043.1234997305528</v>
      </c>
      <c r="BW200" s="88">
        <v>4140.0000000000036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2760.0000000000018</v>
      </c>
      <c r="CG200" s="88">
        <v>2760.0000000000018</v>
      </c>
      <c r="CH200" s="88">
        <v>2760.0000000000018</v>
      </c>
      <c r="CI200" s="88">
        <v>69000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1254.295532646054</v>
      </c>
      <c r="CV200" s="88">
        <v>1252.4554292960729</v>
      </c>
      <c r="CW200" s="88">
        <v>1250.6207170523439</v>
      </c>
      <c r="CX200" s="88">
        <v>1248.729454347123</v>
      </c>
      <c r="CY200" s="88">
        <v>1246.8439031635221</v>
      </c>
      <c r="CZ200" s="88">
        <v>1244.9640376677669</v>
      </c>
      <c r="DA200" s="88">
        <v>1243.089832181641</v>
      </c>
      <c r="DB200" s="88">
        <v>1241.190675669025</v>
      </c>
      <c r="DC200" s="88">
        <v>1239.327805526174</v>
      </c>
      <c r="DD200" s="88">
        <v>1237.4705188679229</v>
      </c>
      <c r="DE200" s="88">
        <v>1235.6187906292159</v>
      </c>
      <c r="DF200" s="88">
        <v>1233.772595894766</v>
      </c>
      <c r="DG200" s="93">
        <v>46296</v>
      </c>
      <c r="DH200" s="91">
        <v>0.06</v>
      </c>
      <c r="DI200" t="s">
        <v>300</v>
      </c>
      <c r="DJ200" s="93">
        <v>46661</v>
      </c>
      <c r="DK200" s="91">
        <v>0.04</v>
      </c>
      <c r="DL200" t="s">
        <v>301</v>
      </c>
      <c r="DM200" s="93"/>
      <c r="DN200" s="91"/>
      <c r="DP200" s="93"/>
      <c r="DQ200" s="91"/>
    </row>
    <row r="201" spans="1:121" x14ac:dyDescent="0.3">
      <c r="A201" t="s">
        <v>28</v>
      </c>
      <c r="B201" t="s">
        <v>42</v>
      </c>
      <c r="C201" t="s">
        <v>78</v>
      </c>
      <c r="D201" t="s">
        <v>320</v>
      </c>
      <c r="E201" t="s">
        <v>563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57000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1140.0000000000009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0</v>
      </c>
      <c r="BV201" s="88">
        <v>0</v>
      </c>
      <c r="BW201" s="88">
        <v>1140.0000000000009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0</v>
      </c>
      <c r="CH201" s="88">
        <v>0</v>
      </c>
      <c r="CI201" s="88">
        <v>57000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93">
        <v>46327</v>
      </c>
      <c r="DH201" s="91">
        <v>0.02</v>
      </c>
      <c r="DI201" t="s">
        <v>300</v>
      </c>
      <c r="DJ201" s="93"/>
      <c r="DK201" s="91"/>
      <c r="DM201" s="93"/>
      <c r="DN201" s="91"/>
      <c r="DP201" s="93"/>
      <c r="DQ201" s="91"/>
    </row>
    <row r="202" spans="1:121" x14ac:dyDescent="0.3">
      <c r="A202" t="s">
        <v>28</v>
      </c>
      <c r="B202" t="s">
        <v>42</v>
      </c>
      <c r="C202" t="s">
        <v>80</v>
      </c>
      <c r="D202" t="s">
        <v>322</v>
      </c>
      <c r="E202" t="s">
        <v>564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45000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611.55342637467356</v>
      </c>
      <c r="BL202" s="88">
        <v>610.88244774491591</v>
      </c>
      <c r="BM202" s="88">
        <v>610.21293985795592</v>
      </c>
      <c r="BN202" s="88">
        <v>609.52227802380185</v>
      </c>
      <c r="BO202" s="88">
        <v>608.83317785589418</v>
      </c>
      <c r="BP202" s="88">
        <v>608.14563406355489</v>
      </c>
      <c r="BQ202" s="88">
        <v>607.45964137999704</v>
      </c>
      <c r="BR202" s="88">
        <v>606.76398697196873</v>
      </c>
      <c r="BS202" s="88">
        <v>606.08110601345857</v>
      </c>
      <c r="BT202" s="88">
        <v>605.39976042018327</v>
      </c>
      <c r="BU202" s="88">
        <v>604.71994501988036</v>
      </c>
      <c r="BV202" s="88">
        <v>604.04165466346865</v>
      </c>
      <c r="BW202" s="88">
        <v>0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45000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611.55342637467356</v>
      </c>
      <c r="CV202" s="88">
        <v>610.88244774491591</v>
      </c>
      <c r="CW202" s="88">
        <v>610.21293985795592</v>
      </c>
      <c r="CX202" s="88">
        <v>609.52227802380185</v>
      </c>
      <c r="CY202" s="88">
        <v>608.83317785589418</v>
      </c>
      <c r="CZ202" s="88">
        <v>608.14563406355489</v>
      </c>
      <c r="DA202" s="88">
        <v>607.45964137999704</v>
      </c>
      <c r="DB202" s="88">
        <v>606.76398697196873</v>
      </c>
      <c r="DC202" s="88">
        <v>606.08110601345857</v>
      </c>
      <c r="DD202" s="88">
        <v>605.39976042018327</v>
      </c>
      <c r="DE202" s="88">
        <v>604.71994501988036</v>
      </c>
      <c r="DF202" s="88">
        <v>604.04165466346865</v>
      </c>
      <c r="DG202" s="93"/>
      <c r="DH202" s="91"/>
      <c r="DJ202" s="93"/>
      <c r="DK202" s="91"/>
      <c r="DM202" s="93"/>
      <c r="DN202" s="91"/>
      <c r="DP202" s="93"/>
      <c r="DQ202" s="91"/>
    </row>
    <row r="203" spans="1:121" x14ac:dyDescent="0.3">
      <c r="A203" t="s">
        <v>28</v>
      </c>
      <c r="B203" t="s">
        <v>42</v>
      </c>
      <c r="C203" t="s">
        <v>82</v>
      </c>
      <c r="D203" t="s">
        <v>324</v>
      </c>
      <c r="E203" t="s">
        <v>565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33000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-147.60396306530731</v>
      </c>
      <c r="BL203" s="88">
        <v>-147.65734180008329</v>
      </c>
      <c r="BM203" s="88">
        <v>-147.71075915604411</v>
      </c>
      <c r="BN203" s="88">
        <v>-147.766027921583</v>
      </c>
      <c r="BO203" s="88">
        <v>-147.8213380623078</v>
      </c>
      <c r="BP203" s="88">
        <v>-147.87668962468939</v>
      </c>
      <c r="BQ203" s="88">
        <v>-147.93208265528651</v>
      </c>
      <c r="BR203" s="88">
        <v>-147.98842630987139</v>
      </c>
      <c r="BS203" s="88">
        <v>-148.04390309854</v>
      </c>
      <c r="BT203" s="88">
        <v>-148.09942149623981</v>
      </c>
      <c r="BU203" s="88">
        <v>-148.15498154981529</v>
      </c>
      <c r="BV203" s="88">
        <v>-148.21058330615881</v>
      </c>
      <c r="BW203" s="88">
        <v>0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33000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-147.60396306530731</v>
      </c>
      <c r="CV203" s="88">
        <v>-147.65734180008329</v>
      </c>
      <c r="CW203" s="88">
        <v>-147.71075915604411</v>
      </c>
      <c r="CX203" s="88">
        <v>-147.766027921583</v>
      </c>
      <c r="CY203" s="88">
        <v>-147.8213380623078</v>
      </c>
      <c r="CZ203" s="88">
        <v>-147.87668962468939</v>
      </c>
      <c r="DA203" s="88">
        <v>-147.93208265528651</v>
      </c>
      <c r="DB203" s="88">
        <v>-147.98842630987139</v>
      </c>
      <c r="DC203" s="88">
        <v>-148.04390309854</v>
      </c>
      <c r="DD203" s="88">
        <v>-148.09942149623981</v>
      </c>
      <c r="DE203" s="88">
        <v>-148.15498154981529</v>
      </c>
      <c r="DF203" s="88">
        <v>-148.21058330615881</v>
      </c>
      <c r="DG203" s="93">
        <v>46023</v>
      </c>
      <c r="DH203" s="91">
        <v>0.04</v>
      </c>
      <c r="DI203" t="s">
        <v>300</v>
      </c>
      <c r="DJ203" s="93"/>
      <c r="DK203" s="91"/>
      <c r="DM203" s="93"/>
      <c r="DN203" s="91"/>
      <c r="DP203" s="93"/>
      <c r="DQ203" s="91"/>
    </row>
    <row r="204" spans="1:121" x14ac:dyDescent="0.3">
      <c r="A204" t="s">
        <v>28</v>
      </c>
      <c r="B204" t="s">
        <v>42</v>
      </c>
      <c r="C204" t="s">
        <v>84</v>
      </c>
      <c r="D204" t="s">
        <v>326</v>
      </c>
      <c r="E204" t="s">
        <v>566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72000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4282.7578528039949</v>
      </c>
      <c r="BL204" s="88">
        <v>649.77129435035511</v>
      </c>
      <c r="BM204" s="88">
        <v>649.29770596301671</v>
      </c>
      <c r="BN204" s="88">
        <v>3554.7611405999291</v>
      </c>
      <c r="BO204" s="88">
        <v>3554.2534321767221</v>
      </c>
      <c r="BP204" s="88">
        <v>3553.7464872060318</v>
      </c>
      <c r="BQ204" s="88">
        <v>3553.2403039670762</v>
      </c>
      <c r="BR204" s="88">
        <v>3552.7266014399202</v>
      </c>
      <c r="BS204" s="88">
        <v>3552.221948939939</v>
      </c>
      <c r="BT204" s="88">
        <v>3551.7180530125229</v>
      </c>
      <c r="BU204" s="88">
        <v>3551.2149119575602</v>
      </c>
      <c r="BV204" s="88">
        <v>3550.7125240800528</v>
      </c>
      <c r="BW204" s="88">
        <v>3600.0000000000032</v>
      </c>
      <c r="BX204" s="88">
        <v>0</v>
      </c>
      <c r="BY204" s="88">
        <v>0</v>
      </c>
      <c r="BZ204" s="88">
        <v>2880.0000000000032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72000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650.2455740990456</v>
      </c>
      <c r="CV204" s="88">
        <v>649.77129435035511</v>
      </c>
      <c r="CW204" s="88">
        <v>649.29770596301671</v>
      </c>
      <c r="CX204" s="88">
        <v>648.80878903839084</v>
      </c>
      <c r="CY204" s="88">
        <v>648.32060786223519</v>
      </c>
      <c r="CZ204" s="88">
        <v>647.83316077502923</v>
      </c>
      <c r="DA204" s="88">
        <v>647.34644612219222</v>
      </c>
      <c r="DB204" s="88">
        <v>646.85250138453648</v>
      </c>
      <c r="DC204" s="88">
        <v>646.36725859608998</v>
      </c>
      <c r="DD204" s="88">
        <v>645.88274328127682</v>
      </c>
      <c r="DE204" s="88">
        <v>645.39895380534062</v>
      </c>
      <c r="DF204" s="88">
        <v>644.91588853851317</v>
      </c>
      <c r="DG204" s="93">
        <v>46054</v>
      </c>
      <c r="DH204" s="91">
        <v>0.05</v>
      </c>
      <c r="DI204" t="s">
        <v>300</v>
      </c>
      <c r="DJ204" s="93">
        <v>46478</v>
      </c>
      <c r="DK204" s="91">
        <v>0.04</v>
      </c>
      <c r="DL204" t="s">
        <v>301</v>
      </c>
      <c r="DM204" s="93"/>
      <c r="DN204" s="91"/>
      <c r="DP204" s="93"/>
      <c r="DQ204" s="91"/>
    </row>
    <row r="205" spans="1:121" x14ac:dyDescent="0.3">
      <c r="A205" t="s">
        <v>28</v>
      </c>
      <c r="B205" t="s">
        <v>42</v>
      </c>
      <c r="C205" t="s">
        <v>86</v>
      </c>
      <c r="D205" t="s">
        <v>328</v>
      </c>
      <c r="E205" t="s">
        <v>567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60000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-535.05332209476728</v>
      </c>
      <c r="BL205" s="88">
        <v>-535.43923131463384</v>
      </c>
      <c r="BM205" s="88">
        <v>-535.82569761325033</v>
      </c>
      <c r="BN205" s="88">
        <v>-536.22585147278471</v>
      </c>
      <c r="BO205" s="88">
        <v>-536.62660344764299</v>
      </c>
      <c r="BP205" s="88">
        <v>-537.02795487983849</v>
      </c>
      <c r="BQ205" s="88">
        <v>-537.42990711542097</v>
      </c>
      <c r="BR205" s="88">
        <v>-537.83906578091626</v>
      </c>
      <c r="BS205" s="88">
        <v>-538.24223358237998</v>
      </c>
      <c r="BT205" s="88">
        <v>-538.6460062719101</v>
      </c>
      <c r="BU205" s="88">
        <v>-539.05038521180336</v>
      </c>
      <c r="BV205" s="88">
        <v>-539.45537176850689</v>
      </c>
      <c r="BW205" s="88">
        <v>0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60000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-535.05332209476728</v>
      </c>
      <c r="CV205" s="88">
        <v>-535.43923131463384</v>
      </c>
      <c r="CW205" s="88">
        <v>-535.82569761325033</v>
      </c>
      <c r="CX205" s="88">
        <v>-536.22585147278471</v>
      </c>
      <c r="CY205" s="88">
        <v>-536.62660344764299</v>
      </c>
      <c r="CZ205" s="88">
        <v>-537.02795487983849</v>
      </c>
      <c r="DA205" s="88">
        <v>-537.42990711542097</v>
      </c>
      <c r="DB205" s="88">
        <v>-537.83906578091626</v>
      </c>
      <c r="DC205" s="88">
        <v>-538.24223358237998</v>
      </c>
      <c r="DD205" s="88">
        <v>-538.6460062719101</v>
      </c>
      <c r="DE205" s="88">
        <v>-539.05038521180336</v>
      </c>
      <c r="DF205" s="88">
        <v>-539.45537176850689</v>
      </c>
      <c r="DG205" s="93"/>
      <c r="DH205" s="91"/>
      <c r="DJ205" s="93"/>
      <c r="DK205" s="91"/>
      <c r="DM205" s="93"/>
      <c r="DN205" s="91"/>
      <c r="DP205" s="93"/>
      <c r="DQ205" s="91"/>
    </row>
    <row r="206" spans="1:121" x14ac:dyDescent="0.3">
      <c r="A206" t="s">
        <v>28</v>
      </c>
      <c r="B206" t="s">
        <v>42</v>
      </c>
      <c r="C206" t="s">
        <v>88</v>
      </c>
      <c r="D206" t="s">
        <v>330</v>
      </c>
      <c r="E206" t="s">
        <v>568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48000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1180.3814350986879</v>
      </c>
      <c r="BL206" s="88">
        <v>1180.3012894795229</v>
      </c>
      <c r="BM206" s="88">
        <v>1180.221202131921</v>
      </c>
      <c r="BN206" s="88">
        <v>215.82202074453599</v>
      </c>
      <c r="BO206" s="88">
        <v>215.74096307652371</v>
      </c>
      <c r="BP206" s="88">
        <v>215.65996627235859</v>
      </c>
      <c r="BQ206" s="88">
        <v>215.579030263509</v>
      </c>
      <c r="BR206" s="88">
        <v>215.49682966279349</v>
      </c>
      <c r="BS206" s="88">
        <v>215.41601603325589</v>
      </c>
      <c r="BT206" s="88">
        <v>215.33526299293729</v>
      </c>
      <c r="BU206" s="88">
        <v>215.2545704737534</v>
      </c>
      <c r="BV206" s="88">
        <v>215.17393840768409</v>
      </c>
      <c r="BW206" s="88">
        <v>960.00000000000091</v>
      </c>
      <c r="BX206" s="88">
        <v>960.00000000000091</v>
      </c>
      <c r="BY206" s="88">
        <v>960.00000000000091</v>
      </c>
      <c r="BZ206" s="88">
        <v>0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48000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216.0602304889139</v>
      </c>
      <c r="CV206" s="88">
        <v>215.9816563524686</v>
      </c>
      <c r="CW206" s="88">
        <v>215.9031393450235</v>
      </c>
      <c r="CX206" s="88">
        <v>215.82202074453599</v>
      </c>
      <c r="CY206" s="88">
        <v>215.74096307652371</v>
      </c>
      <c r="CZ206" s="88">
        <v>215.65996627235859</v>
      </c>
      <c r="DA206" s="88">
        <v>215.579030263509</v>
      </c>
      <c r="DB206" s="88">
        <v>215.49682966279349</v>
      </c>
      <c r="DC206" s="88">
        <v>215.41601603325589</v>
      </c>
      <c r="DD206" s="88">
        <v>215.33526299293729</v>
      </c>
      <c r="DE206" s="88">
        <v>215.2545704737534</v>
      </c>
      <c r="DF206" s="88">
        <v>215.17393840768409</v>
      </c>
      <c r="DG206" s="93">
        <v>46113</v>
      </c>
      <c r="DH206" s="91">
        <v>0.02</v>
      </c>
      <c r="DI206" t="s">
        <v>300</v>
      </c>
      <c r="DJ206" s="93"/>
      <c r="DK206" s="91"/>
      <c r="DM206" s="93"/>
      <c r="DN206" s="91"/>
      <c r="DP206" s="93"/>
      <c r="DQ206" s="91"/>
    </row>
    <row r="207" spans="1:121" x14ac:dyDescent="0.3">
      <c r="A207" t="s">
        <v>28</v>
      </c>
      <c r="B207" t="s">
        <v>42</v>
      </c>
      <c r="C207" t="s">
        <v>90</v>
      </c>
      <c r="D207" t="s">
        <v>332</v>
      </c>
      <c r="E207" t="s">
        <v>569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36000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1754.047512326317</v>
      </c>
      <c r="BL207" s="88">
        <v>1753.058656786937</v>
      </c>
      <c r="BM207" s="88">
        <v>1752.0726983811701</v>
      </c>
      <c r="BN207" s="88">
        <v>1751.056350249147</v>
      </c>
      <c r="BO207" s="88">
        <v>650.52725382444623</v>
      </c>
      <c r="BP207" s="88">
        <v>649.54645443535685</v>
      </c>
      <c r="BQ207" s="88">
        <v>648.56860809476927</v>
      </c>
      <c r="BR207" s="88">
        <v>647.57774382731714</v>
      </c>
      <c r="BS207" s="88">
        <v>646.6058115788735</v>
      </c>
      <c r="BT207" s="88">
        <v>645.63679245282924</v>
      </c>
      <c r="BU207" s="88">
        <v>644.67067337176513</v>
      </c>
      <c r="BV207" s="88">
        <v>643.70744133639948</v>
      </c>
      <c r="BW207" s="88">
        <v>1080.0000000000009</v>
      </c>
      <c r="BX207" s="88">
        <v>1080.0000000000009</v>
      </c>
      <c r="BY207" s="88">
        <v>1080.0000000000009</v>
      </c>
      <c r="BZ207" s="88">
        <v>1080.0000000000009</v>
      </c>
      <c r="CA207" s="88">
        <v>0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36000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654.41506051098486</v>
      </c>
      <c r="CV207" s="88">
        <v>653.4550065892555</v>
      </c>
      <c r="CW207" s="88">
        <v>652.49776541861411</v>
      </c>
      <c r="CX207" s="88">
        <v>651.51101965936857</v>
      </c>
      <c r="CY207" s="88">
        <v>650.52725382444623</v>
      </c>
      <c r="CZ207" s="88">
        <v>649.54645443535685</v>
      </c>
      <c r="DA207" s="88">
        <v>648.56860809476927</v>
      </c>
      <c r="DB207" s="88">
        <v>647.57774382731714</v>
      </c>
      <c r="DC207" s="88">
        <v>646.6058115788735</v>
      </c>
      <c r="DD207" s="88">
        <v>645.63679245282924</v>
      </c>
      <c r="DE207" s="88">
        <v>644.67067337176513</v>
      </c>
      <c r="DF207" s="88">
        <v>643.70744133639948</v>
      </c>
      <c r="DG207" s="93">
        <v>46143</v>
      </c>
      <c r="DH207" s="91">
        <v>0.03</v>
      </c>
      <c r="DI207" t="s">
        <v>300</v>
      </c>
      <c r="DJ207" s="93"/>
      <c r="DK207" s="91"/>
      <c r="DM207" s="93"/>
      <c r="DN207" s="91"/>
      <c r="DP207" s="93"/>
      <c r="DQ207" s="91"/>
    </row>
    <row r="208" spans="1:121" x14ac:dyDescent="0.3">
      <c r="A208" t="s">
        <v>28</v>
      </c>
      <c r="B208" t="s">
        <v>42</v>
      </c>
      <c r="C208" t="s">
        <v>91</v>
      </c>
      <c r="D208" t="s">
        <v>334</v>
      </c>
      <c r="E208" t="s">
        <v>570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24000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960.00000000000091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0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960.00000000000091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24000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93">
        <v>46600</v>
      </c>
      <c r="DH208" s="91">
        <v>0.04</v>
      </c>
      <c r="DI208" t="s">
        <v>301</v>
      </c>
      <c r="DJ208" s="93"/>
      <c r="DK208" s="91"/>
      <c r="DM208" s="93"/>
      <c r="DN208" s="91"/>
      <c r="DP208" s="93"/>
      <c r="DQ208" s="91"/>
    </row>
    <row r="209" spans="1:121" x14ac:dyDescent="0.3">
      <c r="A209" t="s">
        <v>28</v>
      </c>
      <c r="B209" t="s">
        <v>42</v>
      </c>
      <c r="C209" t="s">
        <v>93</v>
      </c>
      <c r="D209" t="s">
        <v>336</v>
      </c>
      <c r="E209" t="s">
        <v>571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63000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4048.9835367707769</v>
      </c>
      <c r="BL209" s="88">
        <v>4047.9971981850258</v>
      </c>
      <c r="BM209" s="88">
        <v>4047.0130215911968</v>
      </c>
      <c r="BN209" s="88">
        <v>4045.9977486949929</v>
      </c>
      <c r="BO209" s="88">
        <v>4044.9847714481671</v>
      </c>
      <c r="BP209" s="88">
        <v>4043.974082073431</v>
      </c>
      <c r="BQ209" s="88">
        <v>850.44349793199592</v>
      </c>
      <c r="BR209" s="88">
        <v>849.46958176075623</v>
      </c>
      <c r="BS209" s="88">
        <v>848.51354841884199</v>
      </c>
      <c r="BT209" s="88">
        <v>847.55966458825662</v>
      </c>
      <c r="BU209" s="88">
        <v>846.6079230278325</v>
      </c>
      <c r="BV209" s="88">
        <v>845.65831652885606</v>
      </c>
      <c r="BW209" s="88">
        <v>3150.0000000000032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0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63000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856.17479692454299</v>
      </c>
      <c r="CV209" s="88">
        <v>855.23542684288236</v>
      </c>
      <c r="CW209" s="88">
        <v>854.29811580113824</v>
      </c>
      <c r="CX209" s="88">
        <v>853.33118923332268</v>
      </c>
      <c r="CY209" s="88">
        <v>852.36644899825183</v>
      </c>
      <c r="CZ209" s="88">
        <v>851.40388768897685</v>
      </c>
      <c r="DA209" s="88">
        <v>850.44349793199592</v>
      </c>
      <c r="DB209" s="88">
        <v>849.46958176075623</v>
      </c>
      <c r="DC209" s="88">
        <v>848.51354841884199</v>
      </c>
      <c r="DD209" s="88">
        <v>847.55966458825662</v>
      </c>
      <c r="DE209" s="88">
        <v>846.6079230278325</v>
      </c>
      <c r="DF209" s="88">
        <v>845.65831652885606</v>
      </c>
      <c r="DG209" s="93">
        <v>46204</v>
      </c>
      <c r="DH209" s="91">
        <v>0.05</v>
      </c>
      <c r="DI209" t="s">
        <v>300</v>
      </c>
      <c r="DJ209" s="93"/>
      <c r="DK209" s="91"/>
      <c r="DM209" s="93"/>
      <c r="DN209" s="91"/>
      <c r="DP209" s="93"/>
      <c r="DQ209" s="91"/>
    </row>
    <row r="210" spans="1:121" x14ac:dyDescent="0.3">
      <c r="A210" t="s">
        <v>28</v>
      </c>
      <c r="B210" t="s">
        <v>42</v>
      </c>
      <c r="C210" t="s">
        <v>94</v>
      </c>
      <c r="D210" t="s">
        <v>338</v>
      </c>
      <c r="E210" t="s">
        <v>572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51000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2818.1978714148331</v>
      </c>
      <c r="BL210" s="88">
        <v>2818.110427342046</v>
      </c>
      <c r="BM210" s="88">
        <v>2818.0229200007411</v>
      </c>
      <c r="BN210" s="88">
        <v>2817.9323797139159</v>
      </c>
      <c r="BO210" s="88">
        <v>2817.8417716470258</v>
      </c>
      <c r="BP210" s="88">
        <v>2817.751095723926</v>
      </c>
      <c r="BQ210" s="88">
        <v>2817.6603518683469</v>
      </c>
      <c r="BR210" s="88">
        <v>-228.7093861152558</v>
      </c>
      <c r="BS210" s="88">
        <v>-228.79512297047091</v>
      </c>
      <c r="BT210" s="88">
        <v>-228.88092413055239</v>
      </c>
      <c r="BU210" s="88">
        <v>-228.96678966789639</v>
      </c>
      <c r="BV210" s="88">
        <v>-229.05271965497261</v>
      </c>
      <c r="BW210" s="88">
        <v>3060.0000000000032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0</v>
      </c>
      <c r="CE210" s="88">
        <v>0</v>
      </c>
      <c r="CF210" s="88">
        <v>0</v>
      </c>
      <c r="CG210" s="88">
        <v>0</v>
      </c>
      <c r="CH210" s="88">
        <v>0</v>
      </c>
      <c r="CI210" s="88">
        <v>51000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-228.115215646384</v>
      </c>
      <c r="CV210" s="88">
        <v>-228.19771005467419</v>
      </c>
      <c r="CW210" s="88">
        <v>-228.28026415024999</v>
      </c>
      <c r="CX210" s="88">
        <v>-228.3656795151737</v>
      </c>
      <c r="CY210" s="88">
        <v>-228.4511588235666</v>
      </c>
      <c r="CZ210" s="88">
        <v>-228.53670214724721</v>
      </c>
      <c r="DA210" s="88">
        <v>-228.62230955817</v>
      </c>
      <c r="DB210" s="88">
        <v>-228.7093861152558</v>
      </c>
      <c r="DC210" s="88">
        <v>-228.79512297047091</v>
      </c>
      <c r="DD210" s="88">
        <v>-228.88092413055239</v>
      </c>
      <c r="DE210" s="88">
        <v>-228.96678966789639</v>
      </c>
      <c r="DF210" s="88">
        <v>-229.05271965497261</v>
      </c>
      <c r="DG210" s="93">
        <v>46235</v>
      </c>
      <c r="DH210" s="91">
        <v>0.06</v>
      </c>
      <c r="DI210" t="s">
        <v>300</v>
      </c>
      <c r="DJ210" s="93"/>
      <c r="DK210" s="91"/>
      <c r="DM210" s="93"/>
      <c r="DN210" s="91"/>
      <c r="DP210" s="93"/>
      <c r="DQ210" s="91"/>
    </row>
    <row r="211" spans="1:121" x14ac:dyDescent="0.3">
      <c r="A211" t="s">
        <v>28</v>
      </c>
      <c r="B211" t="s">
        <v>42</v>
      </c>
      <c r="C211" t="s">
        <v>95</v>
      </c>
      <c r="D211" t="s">
        <v>340</v>
      </c>
      <c r="E211" t="s">
        <v>573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39000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352.21635263698312</v>
      </c>
      <c r="BL211" s="88">
        <v>351.95945110644232</v>
      </c>
      <c r="BM211" s="88">
        <v>351.70292406330071</v>
      </c>
      <c r="BN211" s="88">
        <v>351.43809406246169</v>
      </c>
      <c r="BO211" s="88">
        <v>351.17366259204408</v>
      </c>
      <c r="BP211" s="88">
        <v>350.90962875314079</v>
      </c>
      <c r="BQ211" s="88">
        <v>350.64599164952079</v>
      </c>
      <c r="BR211" s="88">
        <v>350.3784382499573</v>
      </c>
      <c r="BS211" s="88">
        <v>350.11559840621538</v>
      </c>
      <c r="BT211" s="88">
        <v>349.85315261069161</v>
      </c>
      <c r="BU211" s="88">
        <v>349.59109997789278</v>
      </c>
      <c r="BV211" s="88">
        <v>349.32943962502787</v>
      </c>
      <c r="BW211" s="88">
        <v>0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39000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352.21635263698312</v>
      </c>
      <c r="CV211" s="88">
        <v>351.95945110644232</v>
      </c>
      <c r="CW211" s="88">
        <v>351.70292406330071</v>
      </c>
      <c r="CX211" s="88">
        <v>351.43809406246169</v>
      </c>
      <c r="CY211" s="88">
        <v>351.17366259204408</v>
      </c>
      <c r="CZ211" s="88">
        <v>350.90962875314079</v>
      </c>
      <c r="DA211" s="88">
        <v>350.64599164952079</v>
      </c>
      <c r="DB211" s="88">
        <v>350.3784382499573</v>
      </c>
      <c r="DC211" s="88">
        <v>350.11559840621538</v>
      </c>
      <c r="DD211" s="88">
        <v>349.85315261069161</v>
      </c>
      <c r="DE211" s="88">
        <v>349.59109997789278</v>
      </c>
      <c r="DF211" s="88">
        <v>349.32943962502787</v>
      </c>
      <c r="DG211" s="93"/>
      <c r="DH211" s="91"/>
      <c r="DJ211" s="93"/>
      <c r="DK211" s="91"/>
      <c r="DM211" s="93"/>
      <c r="DN211" s="91"/>
      <c r="DP211" s="93"/>
      <c r="DQ211" s="91"/>
    </row>
    <row r="212" spans="1:121" x14ac:dyDescent="0.3">
      <c r="A212" t="s">
        <v>28</v>
      </c>
      <c r="B212" t="s">
        <v>45</v>
      </c>
      <c r="C212" t="s">
        <v>43</v>
      </c>
      <c r="D212" t="s">
        <v>342</v>
      </c>
      <c r="E212" t="s">
        <v>574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27000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562.00278520907409</v>
      </c>
      <c r="BL212" s="88">
        <v>1664.296872937095</v>
      </c>
      <c r="BM212" s="88">
        <v>1664.1105807225149</v>
      </c>
      <c r="BN212" s="88">
        <v>1663.917690556063</v>
      </c>
      <c r="BO212" s="88">
        <v>1663.724512074102</v>
      </c>
      <c r="BP212" s="88">
        <v>1663.531044629726</v>
      </c>
      <c r="BQ212" s="88">
        <v>1663.337287574084</v>
      </c>
      <c r="BR212" s="88">
        <v>1663.140056730972</v>
      </c>
      <c r="BS212" s="88">
        <v>1662.945713723951</v>
      </c>
      <c r="BT212" s="88">
        <v>827.91366906474423</v>
      </c>
      <c r="BU212" s="88">
        <v>827.72441972087813</v>
      </c>
      <c r="BV212" s="88">
        <v>827.53488601234233</v>
      </c>
      <c r="BW212" s="88">
        <v>810.00000000000068</v>
      </c>
      <c r="BX212" s="88">
        <v>1922.400000000004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1080.0000000000009</v>
      </c>
      <c r="CG212" s="88">
        <v>1080.0000000000009</v>
      </c>
      <c r="CH212" s="88">
        <v>1080.0000000000009</v>
      </c>
      <c r="CI212" s="88">
        <v>27000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-240.77399494264529</v>
      </c>
      <c r="CV212" s="88">
        <v>-240.94765409158529</v>
      </c>
      <c r="CW212" s="88">
        <v>-241.12156392596259</v>
      </c>
      <c r="CX212" s="88">
        <v>-241.30163316275309</v>
      </c>
      <c r="CY212" s="88">
        <v>-241.48197155143939</v>
      </c>
      <c r="CZ212" s="88">
        <v>-241.66257969592729</v>
      </c>
      <c r="DA212" s="88">
        <v>-241.8434582019394</v>
      </c>
      <c r="DB212" s="88">
        <v>-242.0275796014123</v>
      </c>
      <c r="DC212" s="88">
        <v>-242.209005112071</v>
      </c>
      <c r="DD212" s="88">
        <v>-242.39070282235949</v>
      </c>
      <c r="DE212" s="88">
        <v>-242.5726733453115</v>
      </c>
      <c r="DF212" s="88">
        <v>-242.75491729582811</v>
      </c>
      <c r="DG212" s="93">
        <v>46296</v>
      </c>
      <c r="DH212" s="91">
        <v>0.03</v>
      </c>
      <c r="DI212" t="s">
        <v>300</v>
      </c>
      <c r="DJ212" s="93">
        <v>46419</v>
      </c>
      <c r="DK212" s="91">
        <v>0.04</v>
      </c>
      <c r="DL212" t="s">
        <v>301</v>
      </c>
      <c r="DM212" s="93"/>
      <c r="DN212" s="91"/>
      <c r="DP212" s="93"/>
      <c r="DQ212" s="91"/>
    </row>
    <row r="213" spans="1:121" x14ac:dyDescent="0.3">
      <c r="A213" t="s">
        <v>28</v>
      </c>
      <c r="B213" t="s">
        <v>45</v>
      </c>
      <c r="C213" t="s">
        <v>46</v>
      </c>
      <c r="D213" t="s">
        <v>344</v>
      </c>
      <c r="E213" t="s">
        <v>575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66000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2948.9661295991509</v>
      </c>
      <c r="BL213" s="88">
        <v>2948.8537685840301</v>
      </c>
      <c r="BM213" s="88">
        <v>2948.741489263391</v>
      </c>
      <c r="BN213" s="88">
        <v>2948.625489664686</v>
      </c>
      <c r="BO213" s="88">
        <v>2948.509577199427</v>
      </c>
      <c r="BP213" s="88">
        <v>2948.393751769469</v>
      </c>
      <c r="BQ213" s="88">
        <v>2948.2780132768148</v>
      </c>
      <c r="BR213" s="88">
        <v>2948.1604664177912</v>
      </c>
      <c r="BS213" s="88">
        <v>2948.044902927561</v>
      </c>
      <c r="BT213" s="88">
        <v>2947.9294260799079</v>
      </c>
      <c r="BU213" s="88">
        <v>295.97503440141088</v>
      </c>
      <c r="BV213" s="88">
        <v>295.86416531056562</v>
      </c>
      <c r="BW213" s="88">
        <v>2640.0000000000018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0</v>
      </c>
      <c r="CH213" s="88">
        <v>0</v>
      </c>
      <c r="CI213" s="88">
        <v>66000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297.0828169222566</v>
      </c>
      <c r="CV213" s="88">
        <v>296.97477748464428</v>
      </c>
      <c r="CW213" s="88">
        <v>296.86681659940729</v>
      </c>
      <c r="CX213" s="88">
        <v>296.75527852373699</v>
      </c>
      <c r="CY213" s="88">
        <v>296.64382423021999</v>
      </c>
      <c r="CZ213" s="88">
        <v>296.53245362449309</v>
      </c>
      <c r="DA213" s="88">
        <v>296.4211666123249</v>
      </c>
      <c r="DB213" s="88">
        <v>296.30814078634103</v>
      </c>
      <c r="DC213" s="88">
        <v>296.19702204572678</v>
      </c>
      <c r="DD213" s="88">
        <v>296.08598661528868</v>
      </c>
      <c r="DE213" s="88">
        <v>295.97503440141088</v>
      </c>
      <c r="DF213" s="88">
        <v>295.86416531056562</v>
      </c>
      <c r="DG213" s="93">
        <v>46327</v>
      </c>
      <c r="DH213" s="91">
        <v>0.04</v>
      </c>
      <c r="DI213" t="s">
        <v>300</v>
      </c>
      <c r="DJ213" s="93"/>
      <c r="DK213" s="91"/>
      <c r="DM213" s="93"/>
      <c r="DN213" s="91"/>
      <c r="DP213" s="93"/>
      <c r="DQ213" s="91"/>
    </row>
    <row r="214" spans="1:121" x14ac:dyDescent="0.3">
      <c r="A214" t="s">
        <v>28</v>
      </c>
      <c r="B214" t="s">
        <v>45</v>
      </c>
      <c r="C214" t="s">
        <v>48</v>
      </c>
      <c r="D214" t="s">
        <v>346</v>
      </c>
      <c r="E214" t="s">
        <v>576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54000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5198.7894836391233</v>
      </c>
      <c r="BL214" s="88">
        <v>4979.3969849246259</v>
      </c>
      <c r="BM214" s="88">
        <v>5936.8571249765446</v>
      </c>
      <c r="BN214" s="88">
        <v>2865.6359102244419</v>
      </c>
      <c r="BO214" s="88">
        <v>3582.1827295840171</v>
      </c>
      <c r="BP214" s="88">
        <v>4129.4730850142269</v>
      </c>
      <c r="BQ214" s="88">
        <v>3910.9008198237111</v>
      </c>
      <c r="BR214" s="88">
        <v>3690.4233343567671</v>
      </c>
      <c r="BS214" s="88">
        <v>4078.62313177536</v>
      </c>
      <c r="BT214" s="88">
        <v>3862.691150850244</v>
      </c>
      <c r="BU214" s="88">
        <v>3648.3588603351982</v>
      </c>
      <c r="BV214" s="88">
        <v>3435.6085493375308</v>
      </c>
      <c r="BW214" s="88">
        <v>2700.0000000000018</v>
      </c>
      <c r="BX214" s="88">
        <v>2700.0000000000018</v>
      </c>
      <c r="BY214" s="88">
        <v>2700.0000000000018</v>
      </c>
      <c r="BZ214" s="88">
        <v>0</v>
      </c>
      <c r="CA214" s="88">
        <v>888.38709677418888</v>
      </c>
      <c r="CB214" s="88">
        <v>1620.0000000000009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54000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2379.7995082277321</v>
      </c>
      <c r="CV214" s="88">
        <v>2170.8542713567808</v>
      </c>
      <c r="CW214" s="88">
        <v>3082.7210714062312</v>
      </c>
      <c r="CX214" s="88">
        <v>2865.6359102244419</v>
      </c>
      <c r="CY214" s="88">
        <v>2650.1956400223612</v>
      </c>
      <c r="CZ214" s="88">
        <v>2436.381635936144</v>
      </c>
      <c r="DA214" s="88">
        <v>2224.1755532269008</v>
      </c>
      <c r="DB214" s="88">
        <v>2010.1197420939509</v>
      </c>
      <c r="DC214" s="88">
        <v>2387.0127492964648</v>
      </c>
      <c r="DD214" s="88">
        <v>2177.3700493691731</v>
      </c>
      <c r="DE214" s="88">
        <v>1969.2804469273749</v>
      </c>
      <c r="DF214" s="88">
        <v>1762.726746929636</v>
      </c>
      <c r="DG214" s="93">
        <v>46113</v>
      </c>
      <c r="DH214" s="91">
        <v>0.05</v>
      </c>
      <c r="DI214" t="s">
        <v>300</v>
      </c>
      <c r="DJ214" s="93">
        <v>46522</v>
      </c>
      <c r="DK214" s="91">
        <v>0.03</v>
      </c>
      <c r="DL214" t="s">
        <v>301</v>
      </c>
      <c r="DM214" s="93"/>
      <c r="DN214" s="91"/>
      <c r="DP214" s="93"/>
      <c r="DQ214" s="91"/>
    </row>
    <row r="215" spans="1:121" x14ac:dyDescent="0.3">
      <c r="A215" t="s">
        <v>28</v>
      </c>
      <c r="B215" t="s">
        <v>45</v>
      </c>
      <c r="C215" t="s">
        <v>50</v>
      </c>
      <c r="D215" t="s">
        <v>348</v>
      </c>
      <c r="E215" t="s">
        <v>577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42000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3360.0000000000032</v>
      </c>
      <c r="BL215" s="88">
        <v>3360.0000000000032</v>
      </c>
      <c r="BM215" s="88">
        <v>5537.2800000000079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2016.000000000002</v>
      </c>
      <c r="BU215" s="88">
        <v>2016.000000000002</v>
      </c>
      <c r="BV215" s="88">
        <v>2016.000000000002</v>
      </c>
      <c r="BW215" s="88">
        <v>3360.0000000000032</v>
      </c>
      <c r="BX215" s="88">
        <v>3360.0000000000032</v>
      </c>
      <c r="BY215" s="88">
        <v>5537.2800000000079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2016.000000000002</v>
      </c>
      <c r="CG215" s="88">
        <v>2016.000000000002</v>
      </c>
      <c r="CH215" s="88">
        <v>2016.000000000002</v>
      </c>
      <c r="CI215" s="88">
        <v>42000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93">
        <v>46296</v>
      </c>
      <c r="DH215" s="91">
        <v>0.08</v>
      </c>
      <c r="DI215" t="s">
        <v>300</v>
      </c>
      <c r="DJ215" s="93">
        <v>46447</v>
      </c>
      <c r="DK215" s="91">
        <v>4.8000000000000001E-2</v>
      </c>
      <c r="DL215" t="s">
        <v>301</v>
      </c>
      <c r="DM215" s="93"/>
      <c r="DN215" s="91"/>
      <c r="DP215" s="93"/>
      <c r="DQ215" s="91"/>
    </row>
    <row r="216" spans="1:121" x14ac:dyDescent="0.3">
      <c r="A216" t="s">
        <v>28</v>
      </c>
      <c r="B216" t="s">
        <v>45</v>
      </c>
      <c r="C216" t="s">
        <v>57</v>
      </c>
      <c r="D216" t="s">
        <v>350</v>
      </c>
      <c r="E216" t="s">
        <v>578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30000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1015.856329934777</v>
      </c>
      <c r="BL216" s="88">
        <v>407.25496516327729</v>
      </c>
      <c r="BM216" s="88">
        <v>406.80862657197059</v>
      </c>
      <c r="BN216" s="88">
        <v>406.34818534920117</v>
      </c>
      <c r="BO216" s="88">
        <v>405.88878523726282</v>
      </c>
      <c r="BP216" s="88">
        <v>1621.647639617396</v>
      </c>
      <c r="BQ216" s="88">
        <v>1621.172018023467</v>
      </c>
      <c r="BR216" s="88">
        <v>1620.689697633899</v>
      </c>
      <c r="BS216" s="88">
        <v>1620.2162335026651</v>
      </c>
      <c r="BT216" s="88">
        <v>1619.74383389133</v>
      </c>
      <c r="BU216" s="88">
        <v>1619.2724952137819</v>
      </c>
      <c r="BV216" s="88">
        <v>1618.8022139000041</v>
      </c>
      <c r="BW216" s="88">
        <v>600.00000000000057</v>
      </c>
      <c r="BX216" s="88">
        <v>0</v>
      </c>
      <c r="BY216" s="88">
        <v>0</v>
      </c>
      <c r="BZ216" s="88">
        <v>0</v>
      </c>
      <c r="CA216" s="88">
        <v>0</v>
      </c>
      <c r="CB216" s="88">
        <v>1200.0000000000009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30000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407.70228424978239</v>
      </c>
      <c r="CV216" s="88">
        <v>407.25496516327729</v>
      </c>
      <c r="CW216" s="88">
        <v>406.80862657197059</v>
      </c>
      <c r="CX216" s="88">
        <v>406.34818534920117</v>
      </c>
      <c r="CY216" s="88">
        <v>405.88878523726282</v>
      </c>
      <c r="CZ216" s="88">
        <v>405.43042270903658</v>
      </c>
      <c r="DA216" s="88">
        <v>404.9730942533314</v>
      </c>
      <c r="DB216" s="88">
        <v>404.50932464797921</v>
      </c>
      <c r="DC216" s="88">
        <v>404.05407067563903</v>
      </c>
      <c r="DD216" s="88">
        <v>403.59984028012218</v>
      </c>
      <c r="DE216" s="88">
        <v>403.14663001325363</v>
      </c>
      <c r="DF216" s="88">
        <v>402.69443644231239</v>
      </c>
      <c r="DG216" s="93">
        <v>46054</v>
      </c>
      <c r="DH216" s="91">
        <v>0.02</v>
      </c>
      <c r="DI216" t="s">
        <v>300</v>
      </c>
      <c r="DJ216" s="93">
        <v>46539</v>
      </c>
      <c r="DK216" s="91">
        <v>0.04</v>
      </c>
      <c r="DL216" t="s">
        <v>301</v>
      </c>
      <c r="DM216" s="93"/>
      <c r="DN216" s="91"/>
      <c r="DP216" s="93"/>
      <c r="DQ216" s="91"/>
    </row>
    <row r="217" spans="1:121" x14ac:dyDescent="0.3">
      <c r="A217" t="s">
        <v>28</v>
      </c>
      <c r="B217" t="s">
        <v>45</v>
      </c>
      <c r="C217" t="s">
        <v>58</v>
      </c>
      <c r="D217" t="s">
        <v>352</v>
      </c>
      <c r="E217" t="s">
        <v>579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69000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-308.62646822746069</v>
      </c>
      <c r="BL217" s="88">
        <v>-308.73807830926501</v>
      </c>
      <c r="BM217" s="88">
        <v>-308.84976914445588</v>
      </c>
      <c r="BN217" s="88">
        <v>-308.96533110876447</v>
      </c>
      <c r="BO217" s="88">
        <v>-309.0809795848254</v>
      </c>
      <c r="BP217" s="88">
        <v>-309.19671466980498</v>
      </c>
      <c r="BQ217" s="88">
        <v>-309.31253646105353</v>
      </c>
      <c r="BR217" s="88">
        <v>-309.43034592064021</v>
      </c>
      <c r="BS217" s="88">
        <v>-309.54634284240183</v>
      </c>
      <c r="BT217" s="88">
        <v>-309.66242676486502</v>
      </c>
      <c r="BU217" s="88">
        <v>-309.77859778597752</v>
      </c>
      <c r="BV217" s="88">
        <v>-309.89485600378651</v>
      </c>
      <c r="BW217" s="88">
        <v>0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69000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-308.62646822746069</v>
      </c>
      <c r="CV217" s="88">
        <v>-308.73807830926501</v>
      </c>
      <c r="CW217" s="88">
        <v>-308.84976914445588</v>
      </c>
      <c r="CX217" s="88">
        <v>-308.96533110876447</v>
      </c>
      <c r="CY217" s="88">
        <v>-309.0809795848254</v>
      </c>
      <c r="CZ217" s="88">
        <v>-309.19671466980498</v>
      </c>
      <c r="DA217" s="88">
        <v>-309.31253646105353</v>
      </c>
      <c r="DB217" s="88">
        <v>-309.43034592064021</v>
      </c>
      <c r="DC217" s="88">
        <v>-309.54634284240183</v>
      </c>
      <c r="DD217" s="88">
        <v>-309.66242676486502</v>
      </c>
      <c r="DE217" s="88">
        <v>-309.77859778597752</v>
      </c>
      <c r="DF217" s="88">
        <v>-309.89485600378651</v>
      </c>
      <c r="DG217" s="93"/>
      <c r="DH217" s="91"/>
      <c r="DJ217" s="93"/>
      <c r="DK217" s="91"/>
      <c r="DM217" s="93"/>
      <c r="DN217" s="91"/>
      <c r="DP217" s="93"/>
      <c r="DQ217" s="91"/>
    </row>
    <row r="218" spans="1:121" x14ac:dyDescent="0.3">
      <c r="A218" t="s">
        <v>28</v>
      </c>
      <c r="B218" t="s">
        <v>45</v>
      </c>
      <c r="C218" t="s">
        <v>65</v>
      </c>
      <c r="D218" t="s">
        <v>354</v>
      </c>
      <c r="E218" t="s">
        <v>580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57000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2815.3688560082119</v>
      </c>
      <c r="BL218" s="88">
        <v>2814.9783656817908</v>
      </c>
      <c r="BM218" s="88">
        <v>2814.5884445762172</v>
      </c>
      <c r="BN218" s="88">
        <v>513.64029132205951</v>
      </c>
      <c r="BO218" s="88">
        <v>513.25381455760294</v>
      </c>
      <c r="BP218" s="88">
        <v>512.86791894689804</v>
      </c>
      <c r="BQ218" s="88">
        <v>512.48260318006885</v>
      </c>
      <c r="BR218" s="88">
        <v>512.09156359609142</v>
      </c>
      <c r="BS218" s="88">
        <v>511.70741305523791</v>
      </c>
      <c r="BT218" s="88">
        <v>511.32383843101081</v>
      </c>
      <c r="BU218" s="88">
        <v>510.94083842922799</v>
      </c>
      <c r="BV218" s="88">
        <v>510.55841175965622</v>
      </c>
      <c r="BW218" s="88">
        <v>2280.0000000000018</v>
      </c>
      <c r="BX218" s="88">
        <v>2280.0000000000018</v>
      </c>
      <c r="BY218" s="88">
        <v>2280.0000000000018</v>
      </c>
      <c r="BZ218" s="88">
        <v>0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57000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514.7777461617444</v>
      </c>
      <c r="CV218" s="88">
        <v>514.40227469403112</v>
      </c>
      <c r="CW218" s="88">
        <v>514.02735055405492</v>
      </c>
      <c r="CX218" s="88">
        <v>513.64029132205951</v>
      </c>
      <c r="CY218" s="88">
        <v>513.25381455760294</v>
      </c>
      <c r="CZ218" s="88">
        <v>512.86791894689804</v>
      </c>
      <c r="DA218" s="88">
        <v>512.48260318006885</v>
      </c>
      <c r="DB218" s="88">
        <v>512.09156359609142</v>
      </c>
      <c r="DC218" s="88">
        <v>511.70741305523791</v>
      </c>
      <c r="DD218" s="88">
        <v>511.32383843101081</v>
      </c>
      <c r="DE218" s="88">
        <v>510.94083842922799</v>
      </c>
      <c r="DF218" s="88">
        <v>510.55841175965622</v>
      </c>
      <c r="DG218" s="93">
        <v>46113</v>
      </c>
      <c r="DH218" s="91">
        <v>0.04</v>
      </c>
      <c r="DI218" t="s">
        <v>300</v>
      </c>
      <c r="DJ218" s="93"/>
      <c r="DK218" s="91"/>
      <c r="DM218" s="93"/>
      <c r="DN218" s="91"/>
      <c r="DP218" s="93"/>
      <c r="DQ218" s="91"/>
    </row>
    <row r="219" spans="1:121" x14ac:dyDescent="0.3">
      <c r="A219" t="s">
        <v>28</v>
      </c>
      <c r="B219" t="s">
        <v>45</v>
      </c>
      <c r="C219" t="s">
        <v>66</v>
      </c>
      <c r="D219" t="s">
        <v>356</v>
      </c>
      <c r="E219" t="s">
        <v>581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45000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1828.6455088503769</v>
      </c>
      <c r="BL219" s="88">
        <v>1828.34160533973</v>
      </c>
      <c r="BM219" s="88">
        <v>1828.037263129567</v>
      </c>
      <c r="BN219" s="88">
        <v>1827.7221419651851</v>
      </c>
      <c r="BO219" s="88">
        <v>-402.46995258573219</v>
      </c>
      <c r="BP219" s="88">
        <v>-402.77096615987892</v>
      </c>
      <c r="BQ219" s="88">
        <v>-403.07243033656567</v>
      </c>
      <c r="BR219" s="88">
        <v>-403.37929933568722</v>
      </c>
      <c r="BS219" s="88">
        <v>-403.68167518678501</v>
      </c>
      <c r="BT219" s="88">
        <v>-403.98450470393249</v>
      </c>
      <c r="BU219" s="88">
        <v>-404.28778890885252</v>
      </c>
      <c r="BV219" s="88">
        <v>-404.59152882638023</v>
      </c>
      <c r="BW219" s="88">
        <v>2250.0000000000018</v>
      </c>
      <c r="BX219" s="88">
        <v>2250.0000000000018</v>
      </c>
      <c r="BY219" s="88">
        <v>2250.0000000000018</v>
      </c>
      <c r="BZ219" s="88">
        <v>2250.0000000000018</v>
      </c>
      <c r="CA219" s="88">
        <v>0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45000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-401.28999157107552</v>
      </c>
      <c r="CV219" s="88">
        <v>-401.57942348597538</v>
      </c>
      <c r="CW219" s="88">
        <v>-401.86927320993772</v>
      </c>
      <c r="CX219" s="88">
        <v>-402.16938860458851</v>
      </c>
      <c r="CY219" s="88">
        <v>-402.46995258573219</v>
      </c>
      <c r="CZ219" s="88">
        <v>-402.77096615987892</v>
      </c>
      <c r="DA219" s="88">
        <v>-403.07243033656567</v>
      </c>
      <c r="DB219" s="88">
        <v>-403.37929933568722</v>
      </c>
      <c r="DC219" s="88">
        <v>-403.68167518678501</v>
      </c>
      <c r="DD219" s="88">
        <v>-403.98450470393249</v>
      </c>
      <c r="DE219" s="88">
        <v>-404.28778890885252</v>
      </c>
      <c r="DF219" s="88">
        <v>-404.59152882638023</v>
      </c>
      <c r="DG219" s="93">
        <v>46143</v>
      </c>
      <c r="DH219" s="91">
        <v>0.05</v>
      </c>
      <c r="DI219" t="s">
        <v>300</v>
      </c>
      <c r="DJ219" s="93"/>
      <c r="DK219" s="91"/>
      <c r="DM219" s="93"/>
      <c r="DN219" s="91"/>
      <c r="DP219" s="93"/>
      <c r="DQ219" s="91"/>
    </row>
    <row r="220" spans="1:121" x14ac:dyDescent="0.3">
      <c r="A220" t="s">
        <v>28</v>
      </c>
      <c r="B220" t="s">
        <v>45</v>
      </c>
      <c r="C220" t="s">
        <v>67</v>
      </c>
      <c r="D220" t="s">
        <v>358</v>
      </c>
      <c r="E220" t="s">
        <v>582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33000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148.5414084611283</v>
      </c>
      <c r="BL220" s="88">
        <v>148.48738874232211</v>
      </c>
      <c r="BM220" s="88">
        <v>148.43340829970359</v>
      </c>
      <c r="BN220" s="88">
        <v>148.3776392618685</v>
      </c>
      <c r="BO220" s="88">
        <v>148.32191211511</v>
      </c>
      <c r="BP220" s="88">
        <v>148.26622681224649</v>
      </c>
      <c r="BQ220" s="88">
        <v>148.21058330616239</v>
      </c>
      <c r="BR220" s="88">
        <v>148.15407039317051</v>
      </c>
      <c r="BS220" s="88">
        <v>148.09851102286339</v>
      </c>
      <c r="BT220" s="88">
        <v>1473.9647130399539</v>
      </c>
      <c r="BU220" s="88">
        <v>1473.9070178887339</v>
      </c>
      <c r="BV220" s="88">
        <v>1473.849365961494</v>
      </c>
      <c r="BW220" s="88">
        <v>0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1320.0000000000009</v>
      </c>
      <c r="CG220" s="88">
        <v>1320.0000000000009</v>
      </c>
      <c r="CH220" s="88">
        <v>1320.0000000000009</v>
      </c>
      <c r="CI220" s="88">
        <v>33000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148.5414084611283</v>
      </c>
      <c r="CV220" s="88">
        <v>148.48738874232211</v>
      </c>
      <c r="CW220" s="88">
        <v>148.43340829970359</v>
      </c>
      <c r="CX220" s="88">
        <v>148.3776392618685</v>
      </c>
      <c r="CY220" s="88">
        <v>148.32191211511</v>
      </c>
      <c r="CZ220" s="88">
        <v>148.26622681224649</v>
      </c>
      <c r="DA220" s="88">
        <v>148.21058330616239</v>
      </c>
      <c r="DB220" s="88">
        <v>148.15407039317051</v>
      </c>
      <c r="DC220" s="88">
        <v>148.09851102286339</v>
      </c>
      <c r="DD220" s="88">
        <v>148.04299330764439</v>
      </c>
      <c r="DE220" s="88">
        <v>147.9875172007055</v>
      </c>
      <c r="DF220" s="88">
        <v>147.93208265528281</v>
      </c>
      <c r="DG220" s="93">
        <v>46661</v>
      </c>
      <c r="DH220" s="91">
        <v>0.04</v>
      </c>
      <c r="DI220" t="s">
        <v>301</v>
      </c>
      <c r="DJ220" s="93"/>
      <c r="DK220" s="91"/>
      <c r="DM220" s="93"/>
      <c r="DN220" s="91"/>
      <c r="DP220" s="93"/>
      <c r="DQ220" s="91"/>
    </row>
    <row r="221" spans="1:121" x14ac:dyDescent="0.3">
      <c r="A221" t="s">
        <v>28</v>
      </c>
      <c r="B221" t="s">
        <v>45</v>
      </c>
      <c r="C221" t="s">
        <v>73</v>
      </c>
      <c r="D221" t="s">
        <v>360</v>
      </c>
      <c r="E221" t="s">
        <v>583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72000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2775.0067234424132</v>
      </c>
      <c r="BL221" s="88">
        <v>2773.0482134420758</v>
      </c>
      <c r="BM221" s="88">
        <v>2771.0954414539801</v>
      </c>
      <c r="BN221" s="88">
        <v>2769.082480105109</v>
      </c>
      <c r="BO221" s="88">
        <v>2767.0755978018719</v>
      </c>
      <c r="BP221" s="88">
        <v>2765.0747670481369</v>
      </c>
      <c r="BQ221" s="88">
        <v>1297.137216189539</v>
      </c>
      <c r="BR221" s="88">
        <v>1295.155487654634</v>
      </c>
      <c r="BS221" s="88">
        <v>1293.211623157747</v>
      </c>
      <c r="BT221" s="88">
        <v>1291.273584905658</v>
      </c>
      <c r="BU221" s="88">
        <v>1289.34134674353</v>
      </c>
      <c r="BV221" s="88">
        <v>1287.414882672799</v>
      </c>
      <c r="BW221" s="88">
        <v>1440.0000000000009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0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72000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1308.8301210219699</v>
      </c>
      <c r="CV221" s="88">
        <v>1306.910013178511</v>
      </c>
      <c r="CW221" s="88">
        <v>1304.995530837228</v>
      </c>
      <c r="CX221" s="88">
        <v>1303.0220393187369</v>
      </c>
      <c r="CY221" s="88">
        <v>1301.054507648892</v>
      </c>
      <c r="CZ221" s="88">
        <v>1299.0929088707139</v>
      </c>
      <c r="DA221" s="88">
        <v>1297.137216189539</v>
      </c>
      <c r="DB221" s="88">
        <v>1295.155487654634</v>
      </c>
      <c r="DC221" s="88">
        <v>1293.211623157747</v>
      </c>
      <c r="DD221" s="88">
        <v>1291.273584905658</v>
      </c>
      <c r="DE221" s="88">
        <v>1289.34134674353</v>
      </c>
      <c r="DF221" s="88">
        <v>1287.414882672799</v>
      </c>
      <c r="DG221" s="93">
        <v>46204</v>
      </c>
      <c r="DH221" s="91">
        <v>0.02</v>
      </c>
      <c r="DI221" t="s">
        <v>300</v>
      </c>
      <c r="DJ221" s="93"/>
      <c r="DK221" s="91"/>
      <c r="DM221" s="93"/>
      <c r="DN221" s="91"/>
      <c r="DP221" s="93"/>
      <c r="DQ221" s="91"/>
    </row>
    <row r="222" spans="1:121" x14ac:dyDescent="0.3">
      <c r="A222" t="s">
        <v>28</v>
      </c>
      <c r="B222" t="s">
        <v>45</v>
      </c>
      <c r="C222" t="s">
        <v>78</v>
      </c>
      <c r="D222" t="s">
        <v>362</v>
      </c>
      <c r="E222" t="s">
        <v>584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60000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1800.000000000002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0</v>
      </c>
      <c r="BS222" s="88">
        <v>0</v>
      </c>
      <c r="BT222" s="88">
        <v>0</v>
      </c>
      <c r="BU222" s="88">
        <v>0</v>
      </c>
      <c r="BV222" s="88">
        <v>0</v>
      </c>
      <c r="BW222" s="88">
        <v>1800.000000000002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0</v>
      </c>
      <c r="CE222" s="88">
        <v>0</v>
      </c>
      <c r="CF222" s="88">
        <v>0</v>
      </c>
      <c r="CG222" s="88">
        <v>0</v>
      </c>
      <c r="CH222" s="88">
        <v>0</v>
      </c>
      <c r="CI222" s="88">
        <v>60000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93">
        <v>46235</v>
      </c>
      <c r="DH222" s="91">
        <v>0.03</v>
      </c>
      <c r="DI222" t="s">
        <v>300</v>
      </c>
      <c r="DJ222" s="93"/>
      <c r="DK222" s="91"/>
      <c r="DM222" s="93"/>
      <c r="DN222" s="91"/>
      <c r="DP222" s="93"/>
      <c r="DQ222" s="91"/>
    </row>
    <row r="223" spans="1:121" x14ac:dyDescent="0.3">
      <c r="A223" t="s">
        <v>28</v>
      </c>
      <c r="B223" t="s">
        <v>45</v>
      </c>
      <c r="C223" t="s">
        <v>80</v>
      </c>
      <c r="D223" t="s">
        <v>364</v>
      </c>
      <c r="E223" t="s">
        <v>585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48000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652.32365479965188</v>
      </c>
      <c r="BL223" s="88">
        <v>651.60794426124369</v>
      </c>
      <c r="BM223" s="88">
        <v>650.89380251515297</v>
      </c>
      <c r="BN223" s="88">
        <v>650.15709655872206</v>
      </c>
      <c r="BO223" s="88">
        <v>649.42205637962047</v>
      </c>
      <c r="BP223" s="88">
        <v>648.68867633445859</v>
      </c>
      <c r="BQ223" s="88">
        <v>647.95695080533028</v>
      </c>
      <c r="BR223" s="88">
        <v>647.21491943676665</v>
      </c>
      <c r="BS223" s="88">
        <v>646.48651308102239</v>
      </c>
      <c r="BT223" s="88">
        <v>645.75974444819553</v>
      </c>
      <c r="BU223" s="88">
        <v>645.03460802120571</v>
      </c>
      <c r="BV223" s="88">
        <v>644.31109830769981</v>
      </c>
      <c r="BW223" s="88">
        <v>0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48000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652.32365479965188</v>
      </c>
      <c r="CV223" s="88">
        <v>651.60794426124369</v>
      </c>
      <c r="CW223" s="88">
        <v>650.89380251515297</v>
      </c>
      <c r="CX223" s="88">
        <v>650.15709655872206</v>
      </c>
      <c r="CY223" s="88">
        <v>649.42205637962047</v>
      </c>
      <c r="CZ223" s="88">
        <v>648.68867633445859</v>
      </c>
      <c r="DA223" s="88">
        <v>647.95695080533028</v>
      </c>
      <c r="DB223" s="88">
        <v>647.21491943676665</v>
      </c>
      <c r="DC223" s="88">
        <v>646.48651308102239</v>
      </c>
      <c r="DD223" s="88">
        <v>645.75974444819553</v>
      </c>
      <c r="DE223" s="88">
        <v>645.03460802120571</v>
      </c>
      <c r="DF223" s="88">
        <v>644.31109830769981</v>
      </c>
      <c r="DG223" s="93"/>
      <c r="DH223" s="91"/>
      <c r="DJ223" s="93"/>
      <c r="DK223" s="91"/>
      <c r="DM223" s="93"/>
      <c r="DN223" s="91"/>
      <c r="DP223" s="93"/>
      <c r="DQ223" s="91"/>
    </row>
    <row r="224" spans="1:121" x14ac:dyDescent="0.3">
      <c r="A224" t="s">
        <v>28</v>
      </c>
      <c r="B224" t="s">
        <v>45</v>
      </c>
      <c r="C224" t="s">
        <v>82</v>
      </c>
      <c r="D224" t="s">
        <v>366</v>
      </c>
      <c r="E224" t="s">
        <v>586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36000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1630.926369579741</v>
      </c>
      <c r="BL224" s="88">
        <v>1630.865226665361</v>
      </c>
      <c r="BM224" s="88">
        <v>1630.8040395121691</v>
      </c>
      <c r="BN224" s="88">
        <v>3135.9703609196031</v>
      </c>
      <c r="BO224" s="88">
        <v>3135.9044714574129</v>
      </c>
      <c r="BP224" s="88">
        <v>3135.8385326507341</v>
      </c>
      <c r="BQ224" s="88">
        <v>3135.7725444441071</v>
      </c>
      <c r="BR224" s="88">
        <v>3135.7054237850439</v>
      </c>
      <c r="BS224" s="88">
        <v>3135.639335799704</v>
      </c>
      <c r="BT224" s="88">
        <v>1271.974474520634</v>
      </c>
      <c r="BU224" s="88">
        <v>1271.9114391143951</v>
      </c>
      <c r="BV224" s="88">
        <v>1271.8483563944669</v>
      </c>
      <c r="BW224" s="88">
        <v>1800.000000000002</v>
      </c>
      <c r="BX224" s="88">
        <v>1800.000000000002</v>
      </c>
      <c r="BY224" s="88">
        <v>1800.000000000002</v>
      </c>
      <c r="BZ224" s="88">
        <v>3312.0000000000032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1440.0000000000009</v>
      </c>
      <c r="CG224" s="88">
        <v>1440.0000000000009</v>
      </c>
      <c r="CH224" s="88">
        <v>1440.0000000000009</v>
      </c>
      <c r="CI224" s="88">
        <v>36000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-161.02250516215341</v>
      </c>
      <c r="CV224" s="88">
        <v>-161.08073650918169</v>
      </c>
      <c r="CW224" s="88">
        <v>-161.1390099884118</v>
      </c>
      <c r="CX224" s="88">
        <v>-161.19930318718141</v>
      </c>
      <c r="CY224" s="88">
        <v>-161.2596415225176</v>
      </c>
      <c r="CZ224" s="88">
        <v>-161.3200250451157</v>
      </c>
      <c r="DA224" s="88">
        <v>-161.38045380576699</v>
      </c>
      <c r="DB224" s="88">
        <v>-161.44191961076879</v>
      </c>
      <c r="DC224" s="88">
        <v>-161.5024397438618</v>
      </c>
      <c r="DD224" s="88">
        <v>-161.5630052686252</v>
      </c>
      <c r="DE224" s="88">
        <v>-161.62361623616221</v>
      </c>
      <c r="DF224" s="88">
        <v>-161.68427269762779</v>
      </c>
      <c r="DG224" s="93">
        <v>46296</v>
      </c>
      <c r="DH224" s="91">
        <v>0.05</v>
      </c>
      <c r="DI224" t="s">
        <v>300</v>
      </c>
      <c r="DJ224" s="93">
        <v>46478</v>
      </c>
      <c r="DK224" s="91">
        <v>0.04</v>
      </c>
      <c r="DL224" t="s">
        <v>301</v>
      </c>
      <c r="DM224" s="93"/>
      <c r="DN224" s="91"/>
      <c r="DP224" s="93"/>
      <c r="DQ224" s="91"/>
    </row>
    <row r="225" spans="1:121" x14ac:dyDescent="0.3">
      <c r="A225" t="s">
        <v>28</v>
      </c>
      <c r="B225" t="s">
        <v>45</v>
      </c>
      <c r="C225" t="s">
        <v>84</v>
      </c>
      <c r="D225" t="s">
        <v>368</v>
      </c>
      <c r="E225" t="s">
        <v>587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24000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1669.753436181662</v>
      </c>
      <c r="BL225" s="88">
        <v>1669.585857337127</v>
      </c>
      <c r="BM225" s="88">
        <v>1669.4185227735991</v>
      </c>
      <c r="BN225" s="88">
        <v>1669.2457721268991</v>
      </c>
      <c r="BO225" s="88">
        <v>1669.0732814446551</v>
      </c>
      <c r="BP225" s="88">
        <v>1668.9010501405139</v>
      </c>
      <c r="BQ225" s="88">
        <v>1668.7290776298451</v>
      </c>
      <c r="BR225" s="88">
        <v>1668.554550489207</v>
      </c>
      <c r="BS225" s="88">
        <v>1668.383098037285</v>
      </c>
      <c r="BT225" s="88">
        <v>1668.2119026260521</v>
      </c>
      <c r="BU225" s="88">
        <v>215.13298460178021</v>
      </c>
      <c r="BV225" s="88">
        <v>214.97196284617101</v>
      </c>
      <c r="BW225" s="88">
        <v>1440.0000000000009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0</v>
      </c>
      <c r="CH225" s="88">
        <v>0</v>
      </c>
      <c r="CI225" s="88">
        <v>24000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216.74852469968189</v>
      </c>
      <c r="CV225" s="88">
        <v>216.59043145011839</v>
      </c>
      <c r="CW225" s="88">
        <v>216.43256865433889</v>
      </c>
      <c r="CX225" s="88">
        <v>216.2695963461303</v>
      </c>
      <c r="CY225" s="88">
        <v>216.10686928741171</v>
      </c>
      <c r="CZ225" s="88">
        <v>215.9443869250097</v>
      </c>
      <c r="DA225" s="88">
        <v>215.7821487073974</v>
      </c>
      <c r="DB225" s="88">
        <v>215.61750046151221</v>
      </c>
      <c r="DC225" s="88">
        <v>215.45575286536331</v>
      </c>
      <c r="DD225" s="88">
        <v>215.29424776042561</v>
      </c>
      <c r="DE225" s="88">
        <v>215.13298460178021</v>
      </c>
      <c r="DF225" s="88">
        <v>214.97196284617101</v>
      </c>
      <c r="DG225" s="93">
        <v>46327</v>
      </c>
      <c r="DH225" s="91">
        <v>0.06</v>
      </c>
      <c r="DI225" t="s">
        <v>300</v>
      </c>
      <c r="DJ225" s="93"/>
      <c r="DK225" s="91"/>
      <c r="DM225" s="93"/>
      <c r="DN225" s="91"/>
      <c r="DP225" s="93"/>
      <c r="DQ225" s="91"/>
    </row>
    <row r="226" spans="1:121" x14ac:dyDescent="0.3">
      <c r="A226" t="s">
        <v>28</v>
      </c>
      <c r="B226" t="s">
        <v>45</v>
      </c>
      <c r="C226" t="s">
        <v>86</v>
      </c>
      <c r="D226" t="s">
        <v>370</v>
      </c>
      <c r="E226" t="s">
        <v>588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63000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-561.80598819950569</v>
      </c>
      <c r="BL226" s="88">
        <v>-562.21119288036562</v>
      </c>
      <c r="BM226" s="88">
        <v>-562.61698249391281</v>
      </c>
      <c r="BN226" s="88">
        <v>-563.03714404642392</v>
      </c>
      <c r="BO226" s="88">
        <v>-563.45793362002519</v>
      </c>
      <c r="BP226" s="88">
        <v>-563.87935262383041</v>
      </c>
      <c r="BQ226" s="88">
        <v>-564.30140247119198</v>
      </c>
      <c r="BR226" s="88">
        <v>-564.73101906996203</v>
      </c>
      <c r="BS226" s="88">
        <v>-565.15434526149897</v>
      </c>
      <c r="BT226" s="88">
        <v>-565.57830658550552</v>
      </c>
      <c r="BU226" s="88">
        <v>-566.00290447239354</v>
      </c>
      <c r="BV226" s="88">
        <v>-566.4281403569322</v>
      </c>
      <c r="BW226" s="88">
        <v>0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63000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-561.80598819950569</v>
      </c>
      <c r="CV226" s="88">
        <v>-562.21119288036562</v>
      </c>
      <c r="CW226" s="88">
        <v>-562.61698249391281</v>
      </c>
      <c r="CX226" s="88">
        <v>-563.03714404642392</v>
      </c>
      <c r="CY226" s="88">
        <v>-563.45793362002519</v>
      </c>
      <c r="CZ226" s="88">
        <v>-563.87935262383041</v>
      </c>
      <c r="DA226" s="88">
        <v>-564.30140247119198</v>
      </c>
      <c r="DB226" s="88">
        <v>-564.73101906996203</v>
      </c>
      <c r="DC226" s="88">
        <v>-565.15434526149897</v>
      </c>
      <c r="DD226" s="88">
        <v>-565.57830658550552</v>
      </c>
      <c r="DE226" s="88">
        <v>-566.00290447239354</v>
      </c>
      <c r="DF226" s="88">
        <v>-566.4281403569322</v>
      </c>
      <c r="DG226" s="93"/>
      <c r="DH226" s="91"/>
      <c r="DJ226" s="93"/>
      <c r="DK226" s="91"/>
      <c r="DM226" s="93"/>
      <c r="DN226" s="91"/>
      <c r="DP226" s="93"/>
      <c r="DQ226" s="91"/>
    </row>
    <row r="227" spans="1:121" x14ac:dyDescent="0.3">
      <c r="A227" t="s">
        <v>28</v>
      </c>
      <c r="B227" t="s">
        <v>45</v>
      </c>
      <c r="C227" t="s">
        <v>88</v>
      </c>
      <c r="D227" t="s">
        <v>372</v>
      </c>
      <c r="E227" t="s">
        <v>589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51000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229.56399489447099</v>
      </c>
      <c r="BL227" s="88">
        <v>229.4805098744979</v>
      </c>
      <c r="BM227" s="88">
        <v>229.39708555408751</v>
      </c>
      <c r="BN227" s="88">
        <v>229.31089704106961</v>
      </c>
      <c r="BO227" s="88">
        <v>229.22477326880639</v>
      </c>
      <c r="BP227" s="88">
        <v>229.13871416438101</v>
      </c>
      <c r="BQ227" s="88">
        <v>229.05271965497829</v>
      </c>
      <c r="BR227" s="88">
        <v>228.96538151671811</v>
      </c>
      <c r="BS227" s="88">
        <v>228.8795170353344</v>
      </c>
      <c r="BT227" s="88">
        <v>228.79371692999581</v>
      </c>
      <c r="BU227" s="88">
        <v>228.707981128363</v>
      </c>
      <c r="BV227" s="88">
        <v>228.62230955816429</v>
      </c>
      <c r="BW227" s="88">
        <v>0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51000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229.56399489447099</v>
      </c>
      <c r="CV227" s="88">
        <v>229.4805098744979</v>
      </c>
      <c r="CW227" s="88">
        <v>229.39708555408751</v>
      </c>
      <c r="CX227" s="88">
        <v>229.31089704106961</v>
      </c>
      <c r="CY227" s="88">
        <v>229.22477326880639</v>
      </c>
      <c r="CZ227" s="88">
        <v>229.13871416438101</v>
      </c>
      <c r="DA227" s="88">
        <v>229.05271965497829</v>
      </c>
      <c r="DB227" s="88">
        <v>228.96538151671811</v>
      </c>
      <c r="DC227" s="88">
        <v>228.8795170353344</v>
      </c>
      <c r="DD227" s="88">
        <v>228.79371692999581</v>
      </c>
      <c r="DE227" s="88">
        <v>228.707981128363</v>
      </c>
      <c r="DF227" s="88">
        <v>228.62230955816429</v>
      </c>
      <c r="DG227" s="93">
        <v>46023</v>
      </c>
      <c r="DH227" s="91">
        <v>0.03</v>
      </c>
      <c r="DI227" t="s">
        <v>300</v>
      </c>
      <c r="DJ227" s="93"/>
      <c r="DK227" s="91"/>
      <c r="DM227" s="93"/>
      <c r="DN227" s="91"/>
      <c r="DP227" s="93"/>
      <c r="DQ227" s="91"/>
    </row>
    <row r="228" spans="1:121" x14ac:dyDescent="0.3">
      <c r="A228" t="s">
        <v>28</v>
      </c>
      <c r="B228" t="s">
        <v>45</v>
      </c>
      <c r="C228" t="s">
        <v>90</v>
      </c>
      <c r="D228" t="s">
        <v>374</v>
      </c>
      <c r="E228" t="s">
        <v>590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39000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2297.307634842381</v>
      </c>
      <c r="BL228" s="88">
        <v>707.90959047169349</v>
      </c>
      <c r="BM228" s="88">
        <v>706.87257920349862</v>
      </c>
      <c r="BN228" s="88">
        <v>705.80360463098259</v>
      </c>
      <c r="BO228" s="88">
        <v>704.73785830981672</v>
      </c>
      <c r="BP228" s="88">
        <v>703.67532563830321</v>
      </c>
      <c r="BQ228" s="88">
        <v>702.61599210266672</v>
      </c>
      <c r="BR228" s="88">
        <v>2289.6042580454409</v>
      </c>
      <c r="BS228" s="88">
        <v>2288.5092143788679</v>
      </c>
      <c r="BT228" s="88">
        <v>2287.4174528301878</v>
      </c>
      <c r="BU228" s="88">
        <v>2286.3289586655269</v>
      </c>
      <c r="BV228" s="88">
        <v>2285.2437172390082</v>
      </c>
      <c r="BW228" s="88">
        <v>1560.0000000000009</v>
      </c>
      <c r="BX228" s="88">
        <v>0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1560.0000000000009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39000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708.94964888690026</v>
      </c>
      <c r="CV228" s="88">
        <v>707.90959047169349</v>
      </c>
      <c r="CW228" s="88">
        <v>706.87257920349862</v>
      </c>
      <c r="CX228" s="88">
        <v>705.80360463098259</v>
      </c>
      <c r="CY228" s="88">
        <v>704.73785830981672</v>
      </c>
      <c r="CZ228" s="88">
        <v>703.67532563830321</v>
      </c>
      <c r="DA228" s="88">
        <v>702.61599210266672</v>
      </c>
      <c r="DB228" s="88">
        <v>701.54255581292693</v>
      </c>
      <c r="DC228" s="88">
        <v>700.48962921044631</v>
      </c>
      <c r="DD228" s="88">
        <v>699.43985849056503</v>
      </c>
      <c r="DE228" s="88">
        <v>698.39322948607889</v>
      </c>
      <c r="DF228" s="88">
        <v>697.34972811443276</v>
      </c>
      <c r="DG228" s="93">
        <v>46054</v>
      </c>
      <c r="DH228" s="91">
        <v>0.04</v>
      </c>
      <c r="DI228" t="s">
        <v>300</v>
      </c>
      <c r="DJ228" s="93">
        <v>46600</v>
      </c>
      <c r="DK228" s="91">
        <v>0.04</v>
      </c>
      <c r="DL228" t="s">
        <v>301</v>
      </c>
      <c r="DM228" s="93"/>
      <c r="DN228" s="91"/>
      <c r="DP228" s="93"/>
      <c r="DQ228" s="91"/>
    </row>
    <row r="229" spans="1:121" x14ac:dyDescent="0.3">
      <c r="A229" t="s">
        <v>28</v>
      </c>
      <c r="B229" t="s">
        <v>45</v>
      </c>
      <c r="C229" t="s">
        <v>91</v>
      </c>
      <c r="D229" t="s">
        <v>376</v>
      </c>
      <c r="E229" t="s">
        <v>591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27000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27000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93"/>
      <c r="DH229" s="91"/>
      <c r="DJ229" s="93"/>
      <c r="DK229" s="91"/>
      <c r="DM229" s="93"/>
      <c r="DN229" s="91"/>
      <c r="DP229" s="93"/>
      <c r="DQ229" s="91"/>
    </row>
    <row r="230" spans="1:121" x14ac:dyDescent="0.3">
      <c r="A230" t="s">
        <v>28</v>
      </c>
      <c r="B230" t="s">
        <v>45</v>
      </c>
      <c r="C230" t="s">
        <v>93</v>
      </c>
      <c r="D230" t="s">
        <v>378</v>
      </c>
      <c r="E230" t="s">
        <v>592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66000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4910.761726870498</v>
      </c>
      <c r="BL230" s="88">
        <v>4909.7185787607623</v>
      </c>
      <c r="BM230" s="88">
        <v>4908.677717165835</v>
      </c>
      <c r="BN230" s="88">
        <v>893.96600776824278</v>
      </c>
      <c r="BO230" s="88">
        <v>892.95532752197812</v>
      </c>
      <c r="BP230" s="88">
        <v>891.94692995988055</v>
      </c>
      <c r="BQ230" s="88">
        <v>890.94080735732905</v>
      </c>
      <c r="BR230" s="88">
        <v>889.92051422555414</v>
      </c>
      <c r="BS230" s="88">
        <v>888.91895548640582</v>
      </c>
      <c r="BT230" s="88">
        <v>887.91964861626877</v>
      </c>
      <c r="BU230" s="88">
        <v>886.92258602915786</v>
      </c>
      <c r="BV230" s="88">
        <v>885.92776017308722</v>
      </c>
      <c r="BW230" s="88">
        <v>3960.0000000000041</v>
      </c>
      <c r="BX230" s="88">
        <v>3960.0000000000041</v>
      </c>
      <c r="BY230" s="88">
        <v>3960.0000000000041</v>
      </c>
      <c r="BZ230" s="88">
        <v>0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66000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896.9450253495213</v>
      </c>
      <c r="CV230" s="88">
        <v>895.96092335921003</v>
      </c>
      <c r="CW230" s="88">
        <v>894.97897845833529</v>
      </c>
      <c r="CX230" s="88">
        <v>893.96600776824278</v>
      </c>
      <c r="CY230" s="88">
        <v>892.95532752197812</v>
      </c>
      <c r="CZ230" s="88">
        <v>891.94692995988055</v>
      </c>
      <c r="DA230" s="88">
        <v>890.94080735732905</v>
      </c>
      <c r="DB230" s="88">
        <v>889.92051422555414</v>
      </c>
      <c r="DC230" s="88">
        <v>888.91895548640582</v>
      </c>
      <c r="DD230" s="88">
        <v>887.91964861626877</v>
      </c>
      <c r="DE230" s="88">
        <v>886.92258602915786</v>
      </c>
      <c r="DF230" s="88">
        <v>885.92776017308722</v>
      </c>
      <c r="DG230" s="93">
        <v>46113</v>
      </c>
      <c r="DH230" s="91">
        <v>0.06</v>
      </c>
      <c r="DI230" t="s">
        <v>300</v>
      </c>
      <c r="DJ230" s="93"/>
      <c r="DK230" s="91"/>
      <c r="DM230" s="93"/>
      <c r="DN230" s="91"/>
      <c r="DP230" s="93"/>
      <c r="DQ230" s="91"/>
    </row>
    <row r="231" spans="1:121" x14ac:dyDescent="0.3">
      <c r="A231" t="s">
        <v>28</v>
      </c>
      <c r="B231" t="s">
        <v>45</v>
      </c>
      <c r="C231" t="s">
        <v>94</v>
      </c>
      <c r="D231" t="s">
        <v>380</v>
      </c>
      <c r="E231" t="s">
        <v>593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54000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833.63556710190517</v>
      </c>
      <c r="BL231" s="88">
        <v>833.54647314094836</v>
      </c>
      <c r="BM231" s="88">
        <v>833.45731471773195</v>
      </c>
      <c r="BN231" s="88">
        <v>833.36506612361245</v>
      </c>
      <c r="BO231" s="88">
        <v>-241.8894622837764</v>
      </c>
      <c r="BP231" s="88">
        <v>-241.98003756767349</v>
      </c>
      <c r="BQ231" s="88">
        <v>-242.0706807086506</v>
      </c>
      <c r="BR231" s="88">
        <v>-242.1628794161532</v>
      </c>
      <c r="BS231" s="88">
        <v>-242.25365961579271</v>
      </c>
      <c r="BT231" s="88">
        <v>-242.34450790293781</v>
      </c>
      <c r="BU231" s="88">
        <v>-242.43542435424331</v>
      </c>
      <c r="BV231" s="88">
        <v>-242.52640904644159</v>
      </c>
      <c r="BW231" s="88">
        <v>1080.0000000000009</v>
      </c>
      <c r="BX231" s="88">
        <v>1080.0000000000009</v>
      </c>
      <c r="BY231" s="88">
        <v>1080.0000000000009</v>
      </c>
      <c r="BZ231" s="88">
        <v>1080.0000000000009</v>
      </c>
      <c r="CA231" s="88">
        <v>0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54000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-241.53375774323021</v>
      </c>
      <c r="CV231" s="88">
        <v>-241.62110476377259</v>
      </c>
      <c r="CW231" s="88">
        <v>-241.70851498261769</v>
      </c>
      <c r="CX231" s="88">
        <v>-241.79895478077219</v>
      </c>
      <c r="CY231" s="88">
        <v>-241.8894622837764</v>
      </c>
      <c r="CZ231" s="88">
        <v>-241.98003756767349</v>
      </c>
      <c r="DA231" s="88">
        <v>-242.0706807086506</v>
      </c>
      <c r="DB231" s="88">
        <v>-242.1628794161532</v>
      </c>
      <c r="DC231" s="88">
        <v>-242.25365961579271</v>
      </c>
      <c r="DD231" s="88">
        <v>-242.34450790293781</v>
      </c>
      <c r="DE231" s="88">
        <v>-242.43542435424331</v>
      </c>
      <c r="DF231" s="88">
        <v>-242.52640904644159</v>
      </c>
      <c r="DG231" s="93">
        <v>46143</v>
      </c>
      <c r="DH231" s="91">
        <v>0.02</v>
      </c>
      <c r="DI231" t="s">
        <v>300</v>
      </c>
      <c r="DJ231" s="93"/>
      <c r="DK231" s="91"/>
      <c r="DM231" s="93"/>
      <c r="DN231" s="91"/>
      <c r="DP231" s="93"/>
      <c r="DQ231" s="91"/>
    </row>
    <row r="232" spans="1:121" x14ac:dyDescent="0.3">
      <c r="A232" t="s">
        <v>28</v>
      </c>
      <c r="B232" t="s">
        <v>45</v>
      </c>
      <c r="C232" t="s">
        <v>95</v>
      </c>
      <c r="D232" t="s">
        <v>382</v>
      </c>
      <c r="E232" t="s">
        <v>594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42000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379.30991822444332</v>
      </c>
      <c r="BL232" s="88">
        <v>2074.1945852392141</v>
      </c>
      <c r="BM232" s="88">
        <v>2073.907274950896</v>
      </c>
      <c r="BN232" s="88">
        <v>2073.6106653499592</v>
      </c>
      <c r="BO232" s="88">
        <v>2073.3145021030882</v>
      </c>
      <c r="BP232" s="88">
        <v>2073.0187842035189</v>
      </c>
      <c r="BQ232" s="88">
        <v>2072.7235106474609</v>
      </c>
      <c r="BR232" s="88">
        <v>2072.423850839954</v>
      </c>
      <c r="BS232" s="88">
        <v>2072.1294702149648</v>
      </c>
      <c r="BT232" s="88">
        <v>2071.8355309239719</v>
      </c>
      <c r="BU232" s="88">
        <v>2071.5420319752429</v>
      </c>
      <c r="BV232" s="88">
        <v>2071.2489723800309</v>
      </c>
      <c r="BW232" s="88">
        <v>0</v>
      </c>
      <c r="BX232" s="88">
        <v>1680.000000000002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42000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379.30991822444332</v>
      </c>
      <c r="CV232" s="88">
        <v>379.03325503770708</v>
      </c>
      <c r="CW232" s="88">
        <v>378.75699514509307</v>
      </c>
      <c r="CX232" s="88">
        <v>378.47179360572801</v>
      </c>
      <c r="CY232" s="88">
        <v>378.18702125297062</v>
      </c>
      <c r="CZ232" s="88">
        <v>377.90267711876697</v>
      </c>
      <c r="DA232" s="88">
        <v>377.61876023794548</v>
      </c>
      <c r="DB232" s="88">
        <v>377.3306258076463</v>
      </c>
      <c r="DC232" s="88">
        <v>377.04756751438578</v>
      </c>
      <c r="DD232" s="88">
        <v>376.76493358074481</v>
      </c>
      <c r="DE232" s="88">
        <v>376.48272305311542</v>
      </c>
      <c r="DF232" s="88">
        <v>376.20093498079927</v>
      </c>
      <c r="DG232" s="93">
        <v>46419</v>
      </c>
      <c r="DH232" s="91">
        <v>0.04</v>
      </c>
      <c r="DI232" t="s">
        <v>301</v>
      </c>
      <c r="DJ232" s="93"/>
      <c r="DK232" s="91"/>
      <c r="DM232" s="93"/>
      <c r="DN232" s="91"/>
      <c r="DP232" s="93"/>
      <c r="DQ232" s="91"/>
    </row>
    <row r="233" spans="1:121" x14ac:dyDescent="0.3">
      <c r="A233" t="s">
        <v>28</v>
      </c>
      <c r="B233" t="s">
        <v>47</v>
      </c>
      <c r="C233" t="s">
        <v>43</v>
      </c>
      <c r="D233" t="s">
        <v>384</v>
      </c>
      <c r="E233" t="s">
        <v>595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30000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921.77227251071918</v>
      </c>
      <c r="BL233" s="88">
        <v>921.57159971639089</v>
      </c>
      <c r="BM233" s="88">
        <v>921.3706372411101</v>
      </c>
      <c r="BN233" s="88">
        <v>921.16255723415202</v>
      </c>
      <c r="BO233" s="88">
        <v>920.95416620722403</v>
      </c>
      <c r="BP233" s="88">
        <v>920.74546346248451</v>
      </c>
      <c r="BQ233" s="88">
        <v>-268.71495355771049</v>
      </c>
      <c r="BR233" s="88">
        <v>-268.91953289045807</v>
      </c>
      <c r="BS233" s="88">
        <v>-269.12111679118999</v>
      </c>
      <c r="BT233" s="88">
        <v>-269.32300313595499</v>
      </c>
      <c r="BU233" s="88">
        <v>-269.52519260590168</v>
      </c>
      <c r="BV233" s="88">
        <v>-269.72768588425339</v>
      </c>
      <c r="BW233" s="88">
        <v>1200.0000000000009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0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30000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-267.52666104738358</v>
      </c>
      <c r="CV233" s="88">
        <v>-267.71961565731692</v>
      </c>
      <c r="CW233" s="88">
        <v>-267.91284880662522</v>
      </c>
      <c r="CX233" s="88">
        <v>-268.11292573639241</v>
      </c>
      <c r="CY233" s="88">
        <v>-268.3133017238215</v>
      </c>
      <c r="CZ233" s="88">
        <v>-268.51397743991919</v>
      </c>
      <c r="DA233" s="88">
        <v>-268.71495355771049</v>
      </c>
      <c r="DB233" s="88">
        <v>-268.91953289045807</v>
      </c>
      <c r="DC233" s="88">
        <v>-269.12111679118999</v>
      </c>
      <c r="DD233" s="88">
        <v>-269.32300313595499</v>
      </c>
      <c r="DE233" s="88">
        <v>-269.52519260590168</v>
      </c>
      <c r="DF233" s="88">
        <v>-269.72768588425339</v>
      </c>
      <c r="DG233" s="93">
        <v>46204</v>
      </c>
      <c r="DH233" s="91">
        <v>0.04</v>
      </c>
      <c r="DI233" t="s">
        <v>300</v>
      </c>
      <c r="DJ233" s="93"/>
      <c r="DK233" s="91"/>
      <c r="DM233" s="93"/>
      <c r="DN233" s="91"/>
      <c r="DP233" s="93"/>
      <c r="DQ233" s="91"/>
    </row>
    <row r="234" spans="1:121" x14ac:dyDescent="0.3">
      <c r="A234" t="s">
        <v>28</v>
      </c>
      <c r="B234" t="s">
        <v>47</v>
      </c>
      <c r="C234" t="s">
        <v>46</v>
      </c>
      <c r="D234" t="s">
        <v>386</v>
      </c>
      <c r="E234" t="s">
        <v>596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69000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3776.1159103942059</v>
      </c>
      <c r="BL234" s="88">
        <v>3775.99731255701</v>
      </c>
      <c r="BM234" s="88">
        <v>3775.8788009488931</v>
      </c>
      <c r="BN234" s="88">
        <v>3775.7563625612829</v>
      </c>
      <c r="BO234" s="88">
        <v>3775.634016143636</v>
      </c>
      <c r="BP234" s="88">
        <v>3775.5117615923509</v>
      </c>
      <c r="BQ234" s="88">
        <v>3775.3895988039799</v>
      </c>
      <c r="BR234" s="88">
        <v>309.77669264026571</v>
      </c>
      <c r="BS234" s="88">
        <v>309.66052304780533</v>
      </c>
      <c r="BT234" s="88">
        <v>309.54444055234728</v>
      </c>
      <c r="BU234" s="88">
        <v>309.42844505602051</v>
      </c>
      <c r="BV234" s="88">
        <v>309.31253646104591</v>
      </c>
      <c r="BW234" s="88">
        <v>3450.0000000000032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0</v>
      </c>
      <c r="CE234" s="88">
        <v>0</v>
      </c>
      <c r="CF234" s="88">
        <v>0</v>
      </c>
      <c r="CG234" s="88">
        <v>0</v>
      </c>
      <c r="CH234" s="88">
        <v>0</v>
      </c>
      <c r="CI234" s="88">
        <v>69000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310.58658132781369</v>
      </c>
      <c r="CV234" s="88">
        <v>310.4736310066736</v>
      </c>
      <c r="CW234" s="88">
        <v>310.36076280847118</v>
      </c>
      <c r="CX234" s="88">
        <v>310.24415482027058</v>
      </c>
      <c r="CY234" s="88">
        <v>310.12763442250281</v>
      </c>
      <c r="CZ234" s="88">
        <v>310.01120151651548</v>
      </c>
      <c r="DA234" s="88">
        <v>309.89485600379419</v>
      </c>
      <c r="DB234" s="88">
        <v>309.77669264026571</v>
      </c>
      <c r="DC234" s="88">
        <v>309.66052304780533</v>
      </c>
      <c r="DD234" s="88">
        <v>309.54444055234728</v>
      </c>
      <c r="DE234" s="88">
        <v>309.42844505602051</v>
      </c>
      <c r="DF234" s="88">
        <v>309.31253646104591</v>
      </c>
      <c r="DG234" s="93">
        <v>46235</v>
      </c>
      <c r="DH234" s="91">
        <v>0.05</v>
      </c>
      <c r="DI234" t="s">
        <v>300</v>
      </c>
      <c r="DJ234" s="93"/>
      <c r="DK234" s="91"/>
      <c r="DM234" s="93"/>
      <c r="DN234" s="91"/>
      <c r="DP234" s="93"/>
      <c r="DQ234" s="91"/>
    </row>
    <row r="235" spans="1:121" x14ac:dyDescent="0.3">
      <c r="A235" t="s">
        <v>28</v>
      </c>
      <c r="B235" t="s">
        <v>47</v>
      </c>
      <c r="C235" t="s">
        <v>48</v>
      </c>
      <c r="D235" t="s">
        <v>388</v>
      </c>
      <c r="E235" t="s">
        <v>597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57000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1036.157179142393</v>
      </c>
      <c r="BL235" s="88">
        <v>1034.637093766321</v>
      </c>
      <c r="BM235" s="88">
        <v>1033.1214619128059</v>
      </c>
      <c r="BN235" s="88">
        <v>1031.5591144606669</v>
      </c>
      <c r="BO235" s="88">
        <v>1030.0014852220399</v>
      </c>
      <c r="BP235" s="88">
        <v>1028.4485528559819</v>
      </c>
      <c r="BQ235" s="88">
        <v>1026.900296150051</v>
      </c>
      <c r="BR235" s="88">
        <v>1025.3314277265849</v>
      </c>
      <c r="BS235" s="88">
        <v>1023.7925349998829</v>
      </c>
      <c r="BT235" s="88">
        <v>1022.25825471698</v>
      </c>
      <c r="BU235" s="88">
        <v>1020.728566171961</v>
      </c>
      <c r="BV235" s="88">
        <v>1019.203448782632</v>
      </c>
      <c r="BW235" s="88">
        <v>0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57000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1036.157179142393</v>
      </c>
      <c r="CV235" s="88">
        <v>1034.637093766321</v>
      </c>
      <c r="CW235" s="88">
        <v>1033.1214619128059</v>
      </c>
      <c r="CX235" s="88">
        <v>1031.5591144606669</v>
      </c>
      <c r="CY235" s="88">
        <v>1030.0014852220399</v>
      </c>
      <c r="CZ235" s="88">
        <v>1028.4485528559819</v>
      </c>
      <c r="DA235" s="88">
        <v>1026.900296150051</v>
      </c>
      <c r="DB235" s="88">
        <v>1025.3314277265849</v>
      </c>
      <c r="DC235" s="88">
        <v>1023.7925349998829</v>
      </c>
      <c r="DD235" s="88">
        <v>1022.25825471698</v>
      </c>
      <c r="DE235" s="88">
        <v>1020.728566171961</v>
      </c>
      <c r="DF235" s="88">
        <v>1019.203448782632</v>
      </c>
      <c r="DG235" s="93"/>
      <c r="DH235" s="91"/>
      <c r="DJ235" s="93"/>
      <c r="DK235" s="91"/>
      <c r="DM235" s="93"/>
      <c r="DN235" s="91"/>
      <c r="DP235" s="93"/>
      <c r="DQ235" s="91"/>
    </row>
    <row r="236" spans="1:121" x14ac:dyDescent="0.3">
      <c r="A236" t="s">
        <v>28</v>
      </c>
      <c r="B236" t="s">
        <v>47</v>
      </c>
      <c r="C236" t="s">
        <v>50</v>
      </c>
      <c r="D236" t="s">
        <v>390</v>
      </c>
      <c r="E236" t="s">
        <v>598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45000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900.0000000000008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2735.9999999999991</v>
      </c>
      <c r="BQ236" s="88">
        <v>2735.9999999999991</v>
      </c>
      <c r="BR236" s="88">
        <v>2735.9999999999991</v>
      </c>
      <c r="BS236" s="88">
        <v>2735.9999999999991</v>
      </c>
      <c r="BT236" s="88">
        <v>1800.000000000002</v>
      </c>
      <c r="BU236" s="88">
        <v>1800.000000000002</v>
      </c>
      <c r="BV236" s="88">
        <v>1800.000000000002</v>
      </c>
      <c r="BW236" s="88">
        <v>900.0000000000008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2735.9999999999991</v>
      </c>
      <c r="CC236" s="88">
        <v>2735.9999999999991</v>
      </c>
      <c r="CD236" s="88">
        <v>2735.9999999999991</v>
      </c>
      <c r="CE236" s="88">
        <v>2735.9999999999991</v>
      </c>
      <c r="CF236" s="88">
        <v>1800.000000000002</v>
      </c>
      <c r="CG236" s="88">
        <v>1800.000000000002</v>
      </c>
      <c r="CH236" s="88">
        <v>1800.000000000002</v>
      </c>
      <c r="CI236" s="88">
        <v>45000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93">
        <v>46296</v>
      </c>
      <c r="DH236" s="91">
        <v>0.02</v>
      </c>
      <c r="DI236" t="s">
        <v>300</v>
      </c>
      <c r="DJ236" s="93">
        <v>46539</v>
      </c>
      <c r="DK236" s="91">
        <v>0.04</v>
      </c>
      <c r="DL236" t="s">
        <v>301</v>
      </c>
      <c r="DM236" s="93"/>
      <c r="DN236" s="91"/>
      <c r="DP236" s="93"/>
      <c r="DQ236" s="91"/>
    </row>
    <row r="237" spans="1:121" x14ac:dyDescent="0.3">
      <c r="A237" t="s">
        <v>28</v>
      </c>
      <c r="B237" t="s">
        <v>47</v>
      </c>
      <c r="C237" t="s">
        <v>57</v>
      </c>
      <c r="D237" t="s">
        <v>392</v>
      </c>
      <c r="E237" t="s">
        <v>599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33000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448.47251267476071</v>
      </c>
      <c r="BL237" s="88">
        <v>447.98046167960501</v>
      </c>
      <c r="BM237" s="88">
        <v>447.48948922916759</v>
      </c>
      <c r="BN237" s="88">
        <v>446.98300388412139</v>
      </c>
      <c r="BO237" s="88">
        <v>446.47766376098912</v>
      </c>
      <c r="BP237" s="88">
        <v>445.97346497994027</v>
      </c>
      <c r="BQ237" s="88">
        <v>445.47040367866452</v>
      </c>
      <c r="BR237" s="88">
        <v>444.96025711277707</v>
      </c>
      <c r="BS237" s="88">
        <v>444.45947774320291</v>
      </c>
      <c r="BT237" s="88">
        <v>443.95982430813439</v>
      </c>
      <c r="BU237" s="88">
        <v>443.46129301457893</v>
      </c>
      <c r="BV237" s="88">
        <v>442.96388008654361</v>
      </c>
      <c r="BW237" s="88">
        <v>0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33000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448.47251267476071</v>
      </c>
      <c r="CV237" s="88">
        <v>447.98046167960501</v>
      </c>
      <c r="CW237" s="88">
        <v>447.48948922916759</v>
      </c>
      <c r="CX237" s="88">
        <v>446.98300388412139</v>
      </c>
      <c r="CY237" s="88">
        <v>446.47766376098912</v>
      </c>
      <c r="CZ237" s="88">
        <v>445.97346497994027</v>
      </c>
      <c r="DA237" s="88">
        <v>445.47040367866452</v>
      </c>
      <c r="DB237" s="88">
        <v>444.96025711277707</v>
      </c>
      <c r="DC237" s="88">
        <v>444.45947774320291</v>
      </c>
      <c r="DD237" s="88">
        <v>443.95982430813439</v>
      </c>
      <c r="DE237" s="88">
        <v>443.46129301457893</v>
      </c>
      <c r="DF237" s="88">
        <v>442.96388008654361</v>
      </c>
      <c r="DG237" s="93"/>
      <c r="DH237" s="91"/>
      <c r="DJ237" s="93"/>
      <c r="DK237" s="91"/>
      <c r="DM237" s="93"/>
      <c r="DN237" s="91"/>
      <c r="DP237" s="93"/>
      <c r="DQ237" s="91"/>
    </row>
    <row r="238" spans="1:121" x14ac:dyDescent="0.3">
      <c r="A238" t="s">
        <v>28</v>
      </c>
      <c r="B238" t="s">
        <v>47</v>
      </c>
      <c r="C238" t="s">
        <v>58</v>
      </c>
      <c r="D238" t="s">
        <v>394</v>
      </c>
      <c r="E238" t="s">
        <v>600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72000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-322.04501032430687</v>
      </c>
      <c r="BL238" s="88">
        <v>-322.16147301836349</v>
      </c>
      <c r="BM238" s="88">
        <v>-322.2780199768236</v>
      </c>
      <c r="BN238" s="88">
        <v>-322.39860637436288</v>
      </c>
      <c r="BO238" s="88">
        <v>-322.51928304503519</v>
      </c>
      <c r="BP238" s="88">
        <v>-322.64005009023128</v>
      </c>
      <c r="BQ238" s="88">
        <v>-322.76090761153409</v>
      </c>
      <c r="BR238" s="88">
        <v>-322.88383922153758</v>
      </c>
      <c r="BS238" s="88">
        <v>-323.0048794877236</v>
      </c>
      <c r="BT238" s="88">
        <v>-323.12601053725041</v>
      </c>
      <c r="BU238" s="88">
        <v>-323.24723247232441</v>
      </c>
      <c r="BV238" s="88">
        <v>-323.36854539525552</v>
      </c>
      <c r="BW238" s="88">
        <v>0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72000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-322.04501032430687</v>
      </c>
      <c r="CV238" s="88">
        <v>-322.16147301836349</v>
      </c>
      <c r="CW238" s="88">
        <v>-322.2780199768236</v>
      </c>
      <c r="CX238" s="88">
        <v>-322.39860637436288</v>
      </c>
      <c r="CY238" s="88">
        <v>-322.51928304503519</v>
      </c>
      <c r="CZ238" s="88">
        <v>-322.64005009023128</v>
      </c>
      <c r="DA238" s="88">
        <v>-322.76090761153409</v>
      </c>
      <c r="DB238" s="88">
        <v>-322.88383922153758</v>
      </c>
      <c r="DC238" s="88">
        <v>-323.0048794877236</v>
      </c>
      <c r="DD238" s="88">
        <v>-323.12601053725041</v>
      </c>
      <c r="DE238" s="88">
        <v>-323.24723247232441</v>
      </c>
      <c r="DF238" s="88">
        <v>-323.36854539525552</v>
      </c>
      <c r="DG238" s="93"/>
      <c r="DH238" s="91"/>
      <c r="DJ238" s="93"/>
      <c r="DK238" s="91"/>
      <c r="DM238" s="93"/>
      <c r="DN238" s="91"/>
      <c r="DP238" s="93"/>
      <c r="DQ238" s="91"/>
    </row>
    <row r="239" spans="1:121" x14ac:dyDescent="0.3">
      <c r="A239" t="s">
        <v>28</v>
      </c>
      <c r="B239" t="s">
        <v>47</v>
      </c>
      <c r="C239" t="s">
        <v>65</v>
      </c>
      <c r="D239" t="s">
        <v>396</v>
      </c>
      <c r="E239" t="s">
        <v>601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60000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5285.5538666749344</v>
      </c>
      <c r="BL239" s="88">
        <v>5166.2868466683158</v>
      </c>
      <c r="BM239" s="88">
        <v>5047.4547983310194</v>
      </c>
      <c r="BN239" s="88">
        <v>5617.5832181638707</v>
      </c>
      <c r="BO239" s="88">
        <v>6099.165809649905</v>
      </c>
      <c r="BP239" s="88">
        <v>5975.2476489028259</v>
      </c>
      <c r="BQ239" s="88">
        <v>1832.6697137948991</v>
      </c>
      <c r="BR239" s="88">
        <v>1715.2934692752849</v>
      </c>
      <c r="BS239" s="88">
        <v>1600.244483833508</v>
      </c>
      <c r="BT239" s="88">
        <v>1485.6236464020969</v>
      </c>
      <c r="BU239" s="88">
        <v>1371.428571428575</v>
      </c>
      <c r="BV239" s="88">
        <v>1257.6568910499959</v>
      </c>
      <c r="BW239" s="88">
        <v>3899.9999999999968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0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60000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1300.9895461736451</v>
      </c>
      <c r="CV239" s="88">
        <v>1189.0017339608639</v>
      </c>
      <c r="CW239" s="88">
        <v>1077.422345850727</v>
      </c>
      <c r="CX239" s="88">
        <v>1612.7541954590411</v>
      </c>
      <c r="CY239" s="88">
        <v>2064.9444222064922</v>
      </c>
      <c r="CZ239" s="88">
        <v>1948.589341692792</v>
      </c>
      <c r="DA239" s="88">
        <v>1832.6697137948991</v>
      </c>
      <c r="DB239" s="88">
        <v>1715.2934692752849</v>
      </c>
      <c r="DC239" s="88">
        <v>1600.244483833508</v>
      </c>
      <c r="DD239" s="88">
        <v>1485.6236464020969</v>
      </c>
      <c r="DE239" s="88">
        <v>1371.428571428575</v>
      </c>
      <c r="DF239" s="88">
        <v>1257.6568910499959</v>
      </c>
      <c r="DG239" s="93">
        <v>46204</v>
      </c>
      <c r="DH239" s="91">
        <v>6.5000000000000002E-2</v>
      </c>
      <c r="DI239" t="s">
        <v>301</v>
      </c>
      <c r="DJ239" s="93"/>
      <c r="DK239" s="91"/>
      <c r="DM239" s="93"/>
      <c r="DN239" s="91"/>
      <c r="DP239" s="93"/>
      <c r="DQ239" s="91"/>
    </row>
    <row r="240" spans="1:121" x14ac:dyDescent="0.3">
      <c r="A240" t="s">
        <v>28</v>
      </c>
      <c r="B240" t="s">
        <v>47</v>
      </c>
      <c r="C240" t="s">
        <v>66</v>
      </c>
      <c r="D240" t="s">
        <v>398</v>
      </c>
      <c r="E240" t="s">
        <v>602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48000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2426.2747828636429</v>
      </c>
      <c r="BL240" s="88">
        <v>-428.3513850517071</v>
      </c>
      <c r="BM240" s="88">
        <v>-428.6605580906002</v>
      </c>
      <c r="BN240" s="88">
        <v>-428.98068117822783</v>
      </c>
      <c r="BO240" s="88">
        <v>-429.30128275811438</v>
      </c>
      <c r="BP240" s="88">
        <v>-429.62236390387079</v>
      </c>
      <c r="BQ240" s="88">
        <v>-429.94392569233668</v>
      </c>
      <c r="BR240" s="88">
        <v>-430.27125262473299</v>
      </c>
      <c r="BS240" s="88">
        <v>-430.59378686590401</v>
      </c>
      <c r="BT240" s="88">
        <v>1471.8465227817669</v>
      </c>
      <c r="BU240" s="88">
        <v>1471.5100795037829</v>
      </c>
      <c r="BV240" s="88">
        <v>1471.173130688609</v>
      </c>
      <c r="BW240" s="88">
        <v>2880.0000000000032</v>
      </c>
      <c r="BX240" s="88">
        <v>0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1920.000000000002</v>
      </c>
      <c r="CG240" s="88">
        <v>1920.000000000002</v>
      </c>
      <c r="CH240" s="88">
        <v>1920.000000000002</v>
      </c>
      <c r="CI240" s="88">
        <v>48000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-428.04265767581393</v>
      </c>
      <c r="CV240" s="88">
        <v>-428.3513850517071</v>
      </c>
      <c r="CW240" s="88">
        <v>-428.6605580906002</v>
      </c>
      <c r="CX240" s="88">
        <v>-428.98068117822783</v>
      </c>
      <c r="CY240" s="88">
        <v>-429.30128275811438</v>
      </c>
      <c r="CZ240" s="88">
        <v>-429.62236390387079</v>
      </c>
      <c r="DA240" s="88">
        <v>-429.94392569233668</v>
      </c>
      <c r="DB240" s="88">
        <v>-430.27125262473299</v>
      </c>
      <c r="DC240" s="88">
        <v>-430.59378686590401</v>
      </c>
      <c r="DD240" s="88">
        <v>-430.91680501752808</v>
      </c>
      <c r="DE240" s="88">
        <v>-431.2403081694427</v>
      </c>
      <c r="DF240" s="88">
        <v>-431.56429741480548</v>
      </c>
      <c r="DG240" s="93">
        <v>46054</v>
      </c>
      <c r="DH240" s="91">
        <v>0.06</v>
      </c>
      <c r="DI240" t="s">
        <v>300</v>
      </c>
      <c r="DJ240" s="93">
        <v>46661</v>
      </c>
      <c r="DK240" s="91">
        <v>0.04</v>
      </c>
      <c r="DL240" t="s">
        <v>301</v>
      </c>
      <c r="DM240" s="93"/>
      <c r="DN240" s="91"/>
      <c r="DP240" s="93"/>
      <c r="DQ240" s="91"/>
    </row>
    <row r="241" spans="1:121" x14ac:dyDescent="0.3">
      <c r="A241" t="s">
        <v>28</v>
      </c>
      <c r="B241" t="s">
        <v>47</v>
      </c>
      <c r="C241" t="s">
        <v>67</v>
      </c>
      <c r="D241" t="s">
        <v>400</v>
      </c>
      <c r="E241" t="s">
        <v>603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36000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3778.249690153355</v>
      </c>
      <c r="BL241" s="88">
        <v>3778.1848664907898</v>
      </c>
      <c r="BM241" s="88">
        <v>3778.1200899596511</v>
      </c>
      <c r="BN241" s="88">
        <v>5369.175293798814</v>
      </c>
      <c r="BO241" s="88">
        <v>5369.1057463196621</v>
      </c>
      <c r="BP241" s="88">
        <v>5369.0362510616897</v>
      </c>
      <c r="BQ241" s="88">
        <v>5368.966807966096</v>
      </c>
      <c r="BR241" s="88">
        <v>5368.8962798506846</v>
      </c>
      <c r="BS241" s="88">
        <v>5368.826941756538</v>
      </c>
      <c r="BT241" s="88">
        <v>1607.9615051344961</v>
      </c>
      <c r="BU241" s="88">
        <v>1607.898564969528</v>
      </c>
      <c r="BV241" s="88">
        <v>1607.8356719579931</v>
      </c>
      <c r="BW241" s="88">
        <v>3600.0000000000032</v>
      </c>
      <c r="BX241" s="88">
        <v>3600.0000000000032</v>
      </c>
      <c r="BY241" s="88">
        <v>3600.0000000000032</v>
      </c>
      <c r="BZ241" s="88">
        <v>5184.0000000000045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1440.0000000000009</v>
      </c>
      <c r="CG241" s="88">
        <v>1440.0000000000009</v>
      </c>
      <c r="CH241" s="88">
        <v>1440.0000000000009</v>
      </c>
      <c r="CI241" s="88">
        <v>36000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162.04517286668539</v>
      </c>
      <c r="CV241" s="88">
        <v>161.9862422643514</v>
      </c>
      <c r="CW241" s="88">
        <v>161.92735450876759</v>
      </c>
      <c r="CX241" s="88">
        <v>161.866515558402</v>
      </c>
      <c r="CY241" s="88">
        <v>161.80572230739281</v>
      </c>
      <c r="CZ241" s="88">
        <v>161.744974704269</v>
      </c>
      <c r="DA241" s="88">
        <v>161.68427269763171</v>
      </c>
      <c r="DB241" s="88">
        <v>161.62262224709511</v>
      </c>
      <c r="DC241" s="88">
        <v>161.56201202494191</v>
      </c>
      <c r="DD241" s="88">
        <v>161.50144724470289</v>
      </c>
      <c r="DE241" s="88">
        <v>161.4409278553151</v>
      </c>
      <c r="DF241" s="88">
        <v>161.38045380576301</v>
      </c>
      <c r="DG241" s="93">
        <v>46296</v>
      </c>
      <c r="DH241" s="91">
        <v>0.1</v>
      </c>
      <c r="DI241" t="s">
        <v>402</v>
      </c>
      <c r="DJ241" s="93">
        <v>46478</v>
      </c>
      <c r="DK241" s="91">
        <v>0.04</v>
      </c>
      <c r="DL241" t="s">
        <v>301</v>
      </c>
      <c r="DM241" s="93"/>
      <c r="DN241" s="91"/>
      <c r="DP241" s="93"/>
      <c r="DQ241" s="91"/>
    </row>
    <row r="242" spans="1:121" x14ac:dyDescent="0.3">
      <c r="A242" t="s">
        <v>28</v>
      </c>
      <c r="B242" t="s">
        <v>47</v>
      </c>
      <c r="C242" t="s">
        <v>73</v>
      </c>
      <c r="D242" t="s">
        <v>403</v>
      </c>
      <c r="E242" t="s">
        <v>604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24000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1169.365008217545</v>
      </c>
      <c r="BL242" s="88">
        <v>1168.705771191291</v>
      </c>
      <c r="BM242" s="88">
        <v>1168.048465587447</v>
      </c>
      <c r="BN242" s="88">
        <v>434.34067977291238</v>
      </c>
      <c r="BO242" s="88">
        <v>433.68483588296408</v>
      </c>
      <c r="BP242" s="88">
        <v>433.03096962357131</v>
      </c>
      <c r="BQ242" s="88">
        <v>432.37907206317948</v>
      </c>
      <c r="BR242" s="88">
        <v>431.71849588487811</v>
      </c>
      <c r="BS242" s="88">
        <v>431.07054105258243</v>
      </c>
      <c r="BT242" s="88">
        <v>430.42452830188608</v>
      </c>
      <c r="BU242" s="88">
        <v>429.78044891451009</v>
      </c>
      <c r="BV242" s="88">
        <v>429.1382942242663</v>
      </c>
      <c r="BW242" s="88">
        <v>720.00000000000068</v>
      </c>
      <c r="BX242" s="88">
        <v>720.00000000000068</v>
      </c>
      <c r="BY242" s="88">
        <v>720.00000000000068</v>
      </c>
      <c r="BZ242" s="88">
        <v>0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24000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436.27670700732318</v>
      </c>
      <c r="CV242" s="88">
        <v>435.63667105950373</v>
      </c>
      <c r="CW242" s="88">
        <v>434.99851027907607</v>
      </c>
      <c r="CX242" s="88">
        <v>434.34067977291238</v>
      </c>
      <c r="CY242" s="88">
        <v>433.68483588296408</v>
      </c>
      <c r="CZ242" s="88">
        <v>433.03096962357131</v>
      </c>
      <c r="DA242" s="88">
        <v>432.37907206317948</v>
      </c>
      <c r="DB242" s="88">
        <v>431.71849588487811</v>
      </c>
      <c r="DC242" s="88">
        <v>431.07054105258243</v>
      </c>
      <c r="DD242" s="88">
        <v>430.42452830188608</v>
      </c>
      <c r="DE242" s="88">
        <v>429.78044891451009</v>
      </c>
      <c r="DF242" s="88">
        <v>429.1382942242663</v>
      </c>
      <c r="DG242" s="93">
        <v>46113</v>
      </c>
      <c r="DH242" s="91">
        <v>0.03</v>
      </c>
      <c r="DI242" t="s">
        <v>300</v>
      </c>
      <c r="DJ242" s="93"/>
      <c r="DK242" s="91"/>
      <c r="DM242" s="93"/>
      <c r="DN242" s="91"/>
      <c r="DP242" s="93"/>
      <c r="DQ242" s="91"/>
    </row>
    <row r="243" spans="1:121" x14ac:dyDescent="0.3">
      <c r="A243" t="s">
        <v>28</v>
      </c>
      <c r="B243" t="s">
        <v>47</v>
      </c>
      <c r="C243" t="s">
        <v>78</v>
      </c>
      <c r="D243" t="s">
        <v>405</v>
      </c>
      <c r="E243" t="s">
        <v>605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63000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2520.0000000000018</v>
      </c>
      <c r="BL243" s="88">
        <v>2520.0000000000018</v>
      </c>
      <c r="BM243" s="88">
        <v>2520.0000000000018</v>
      </c>
      <c r="BN243" s="88">
        <v>2520.0000000000018</v>
      </c>
      <c r="BO243" s="88">
        <v>0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2520.0000000000018</v>
      </c>
      <c r="BX243" s="88">
        <v>2520.0000000000018</v>
      </c>
      <c r="BY243" s="88">
        <v>2520.0000000000018</v>
      </c>
      <c r="BZ243" s="88">
        <v>2520.0000000000018</v>
      </c>
      <c r="CA243" s="88">
        <v>0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63000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93">
        <v>46143</v>
      </c>
      <c r="DH243" s="91">
        <v>0.04</v>
      </c>
      <c r="DI243" t="s">
        <v>300</v>
      </c>
      <c r="DJ243" s="93"/>
      <c r="DK243" s="91"/>
      <c r="DM243" s="93"/>
      <c r="DN243" s="91"/>
      <c r="DP243" s="93"/>
      <c r="DQ243" s="91"/>
    </row>
    <row r="244" spans="1:121" x14ac:dyDescent="0.3">
      <c r="A244" t="s">
        <v>28</v>
      </c>
      <c r="B244" t="s">
        <v>47</v>
      </c>
      <c r="C244" t="s">
        <v>80</v>
      </c>
      <c r="D244" t="s">
        <v>407</v>
      </c>
      <c r="E244" t="s">
        <v>606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51000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693.09388322463008</v>
      </c>
      <c r="BL244" s="88">
        <v>692.33344077757147</v>
      </c>
      <c r="BM244" s="88">
        <v>691.57466517235002</v>
      </c>
      <c r="BN244" s="88">
        <v>2758.423591697388</v>
      </c>
      <c r="BO244" s="88">
        <v>2757.6113722994801</v>
      </c>
      <c r="BP244" s="88">
        <v>2756.800987349573</v>
      </c>
      <c r="BQ244" s="88">
        <v>2755.992430639893</v>
      </c>
      <c r="BR244" s="88">
        <v>2755.1724859776291</v>
      </c>
      <c r="BS244" s="88">
        <v>2754.3675969545302</v>
      </c>
      <c r="BT244" s="88">
        <v>2753.5645176152598</v>
      </c>
      <c r="BU244" s="88">
        <v>2752.7632418634289</v>
      </c>
      <c r="BV244" s="88">
        <v>2751.9637636300058</v>
      </c>
      <c r="BW244" s="88">
        <v>0</v>
      </c>
      <c r="BX244" s="88">
        <v>0</v>
      </c>
      <c r="BY244" s="88">
        <v>0</v>
      </c>
      <c r="BZ244" s="88">
        <v>2040.000000000002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51000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693.09388322463008</v>
      </c>
      <c r="CV244" s="88">
        <v>692.33344077757147</v>
      </c>
      <c r="CW244" s="88">
        <v>691.57466517235002</v>
      </c>
      <c r="CX244" s="88">
        <v>690.79191509364216</v>
      </c>
      <c r="CY244" s="88">
        <v>690.01093490334677</v>
      </c>
      <c r="CZ244" s="88">
        <v>689.23171860536229</v>
      </c>
      <c r="DA244" s="88">
        <v>688.45426023066341</v>
      </c>
      <c r="DB244" s="88">
        <v>687.66585190156457</v>
      </c>
      <c r="DC244" s="88">
        <v>686.89192014858634</v>
      </c>
      <c r="DD244" s="88">
        <v>686.11972847620768</v>
      </c>
      <c r="DE244" s="88">
        <v>685.34927102253107</v>
      </c>
      <c r="DF244" s="88">
        <v>684.58054195193108</v>
      </c>
      <c r="DG244" s="93">
        <v>46478</v>
      </c>
      <c r="DH244" s="91">
        <v>0.04</v>
      </c>
      <c r="DI244" t="s">
        <v>301</v>
      </c>
      <c r="DJ244" s="93"/>
      <c r="DK244" s="91"/>
      <c r="DM244" s="93"/>
      <c r="DN244" s="91"/>
      <c r="DP244" s="93"/>
      <c r="DQ244" s="91"/>
    </row>
    <row r="245" spans="1:121" x14ac:dyDescent="0.3">
      <c r="A245" t="s">
        <v>28</v>
      </c>
      <c r="B245" t="s">
        <v>47</v>
      </c>
      <c r="C245" t="s">
        <v>82</v>
      </c>
      <c r="D245" t="s">
        <v>409</v>
      </c>
      <c r="E245" t="s">
        <v>607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39000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2155.0924899054598</v>
      </c>
      <c r="BL245" s="88">
        <v>2155.0256209086242</v>
      </c>
      <c r="BM245" s="88">
        <v>2154.9587035299778</v>
      </c>
      <c r="BN245" s="88">
        <v>2154.889466840054</v>
      </c>
      <c r="BO245" s="88">
        <v>2154.820178318314</v>
      </c>
      <c r="BP245" s="88">
        <v>2154.7508379065321</v>
      </c>
      <c r="BQ245" s="88">
        <v>-174.82882495624759</v>
      </c>
      <c r="BR245" s="88">
        <v>-174.8954129116662</v>
      </c>
      <c r="BS245" s="88">
        <v>-174.9609763891836</v>
      </c>
      <c r="BT245" s="88">
        <v>-175.02658904101071</v>
      </c>
      <c r="BU245" s="88">
        <v>-175.09225092250901</v>
      </c>
      <c r="BV245" s="88">
        <v>-175.15796208909671</v>
      </c>
      <c r="BW245" s="88">
        <v>2340.0000000000018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0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39000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-174.44104725899959</v>
      </c>
      <c r="CV245" s="88">
        <v>-174.50413121828021</v>
      </c>
      <c r="CW245" s="88">
        <v>-174.56726082077941</v>
      </c>
      <c r="CX245" s="88">
        <v>-174.63257845277991</v>
      </c>
      <c r="CY245" s="88">
        <v>-174.69794498272739</v>
      </c>
      <c r="CZ245" s="88">
        <v>-174.76336046554201</v>
      </c>
      <c r="DA245" s="88">
        <v>-174.82882495624759</v>
      </c>
      <c r="DB245" s="88">
        <v>-174.8954129116662</v>
      </c>
      <c r="DC245" s="88">
        <v>-174.9609763891836</v>
      </c>
      <c r="DD245" s="88">
        <v>-175.02658904101071</v>
      </c>
      <c r="DE245" s="88">
        <v>-175.09225092250901</v>
      </c>
      <c r="DF245" s="88">
        <v>-175.15796208909671</v>
      </c>
      <c r="DG245" s="93">
        <v>46204</v>
      </c>
      <c r="DH245" s="91">
        <v>0.06</v>
      </c>
      <c r="DI245" t="s">
        <v>300</v>
      </c>
      <c r="DJ245" s="93"/>
      <c r="DK245" s="91"/>
      <c r="DM245" s="93"/>
      <c r="DN245" s="91"/>
      <c r="DP245" s="93"/>
      <c r="DQ245" s="91"/>
    </row>
    <row r="246" spans="1:121" x14ac:dyDescent="0.3">
      <c r="A246" t="s">
        <v>28</v>
      </c>
      <c r="B246" t="s">
        <v>47</v>
      </c>
      <c r="C246" t="s">
        <v>84</v>
      </c>
      <c r="D246" t="s">
        <v>411</v>
      </c>
      <c r="E246" t="s">
        <v>608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27000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788.71893209288442</v>
      </c>
      <c r="BL246" s="88">
        <v>788.53752008901347</v>
      </c>
      <c r="BM246" s="88">
        <v>788.35637253085383</v>
      </c>
      <c r="BN246" s="88">
        <v>788.16936180718494</v>
      </c>
      <c r="BO246" s="88">
        <v>787.98263250730452</v>
      </c>
      <c r="BP246" s="88">
        <v>787.79618399645199</v>
      </c>
      <c r="BQ246" s="88">
        <v>787.61001564173785</v>
      </c>
      <c r="BR246" s="88">
        <v>242.56968801920121</v>
      </c>
      <c r="BS246" s="88">
        <v>242.38772197353379</v>
      </c>
      <c r="BT246" s="88">
        <v>242.20602873047881</v>
      </c>
      <c r="BU246" s="88">
        <v>242.02460767700271</v>
      </c>
      <c r="BV246" s="88">
        <v>241.84345820194241</v>
      </c>
      <c r="BW246" s="88">
        <v>540.00000000000045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0</v>
      </c>
      <c r="CE246" s="88">
        <v>0</v>
      </c>
      <c r="CF246" s="88">
        <v>0</v>
      </c>
      <c r="CG246" s="88">
        <v>0</v>
      </c>
      <c r="CH246" s="88">
        <v>0</v>
      </c>
      <c r="CI246" s="88">
        <v>27000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243.8420902871421</v>
      </c>
      <c r="CV246" s="88">
        <v>243.66423538138321</v>
      </c>
      <c r="CW246" s="88">
        <v>243.48663973613131</v>
      </c>
      <c r="CX246" s="88">
        <v>243.30329588939659</v>
      </c>
      <c r="CY246" s="88">
        <v>243.1202279483382</v>
      </c>
      <c r="CZ246" s="88">
        <v>242.9374352906359</v>
      </c>
      <c r="DA246" s="88">
        <v>242.75491729582211</v>
      </c>
      <c r="DB246" s="88">
        <v>242.56968801920121</v>
      </c>
      <c r="DC246" s="88">
        <v>242.38772197353379</v>
      </c>
      <c r="DD246" s="88">
        <v>242.20602873047881</v>
      </c>
      <c r="DE246" s="88">
        <v>242.02460767700271</v>
      </c>
      <c r="DF246" s="88">
        <v>241.84345820194241</v>
      </c>
      <c r="DG246" s="93">
        <v>46235</v>
      </c>
      <c r="DH246" s="91">
        <v>0.02</v>
      </c>
      <c r="DI246" t="s">
        <v>300</v>
      </c>
      <c r="DJ246" s="93"/>
      <c r="DK246" s="91"/>
      <c r="DM246" s="93"/>
      <c r="DN246" s="91"/>
      <c r="DP246" s="93"/>
      <c r="DQ246" s="91"/>
    </row>
    <row r="247" spans="1:121" x14ac:dyDescent="0.3">
      <c r="A247" t="s">
        <v>28</v>
      </c>
      <c r="B247" t="s">
        <v>47</v>
      </c>
      <c r="C247" t="s">
        <v>86</v>
      </c>
      <c r="D247" t="s">
        <v>413</v>
      </c>
      <c r="E247" t="s">
        <v>609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66000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-588.55865430424399</v>
      </c>
      <c r="BL247" s="88">
        <v>-588.98315444609727</v>
      </c>
      <c r="BM247" s="88">
        <v>-589.4082673745753</v>
      </c>
      <c r="BN247" s="88">
        <v>-589.84843662006313</v>
      </c>
      <c r="BO247" s="88">
        <v>-590.28926379240727</v>
      </c>
      <c r="BP247" s="88">
        <v>-590.73075036782234</v>
      </c>
      <c r="BQ247" s="88">
        <v>-591.17289782696298</v>
      </c>
      <c r="BR247" s="88">
        <v>-591.6229723590078</v>
      </c>
      <c r="BS247" s="88">
        <v>-592.06645694061797</v>
      </c>
      <c r="BT247" s="88">
        <v>-592.51060689910105</v>
      </c>
      <c r="BU247" s="88">
        <v>-592.95542373298372</v>
      </c>
      <c r="BV247" s="88">
        <v>-593.40090894535763</v>
      </c>
      <c r="BW247" s="88">
        <v>0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66000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-588.55865430424399</v>
      </c>
      <c r="CV247" s="88">
        <v>-588.98315444609727</v>
      </c>
      <c r="CW247" s="88">
        <v>-589.4082673745753</v>
      </c>
      <c r="CX247" s="88">
        <v>-589.84843662006313</v>
      </c>
      <c r="CY247" s="88">
        <v>-590.28926379240727</v>
      </c>
      <c r="CZ247" s="88">
        <v>-590.73075036782234</v>
      </c>
      <c r="DA247" s="88">
        <v>-591.17289782696298</v>
      </c>
      <c r="DB247" s="88">
        <v>-591.6229723590078</v>
      </c>
      <c r="DC247" s="88">
        <v>-592.06645694061797</v>
      </c>
      <c r="DD247" s="88">
        <v>-592.51060689910105</v>
      </c>
      <c r="DE247" s="88">
        <v>-592.95542373298372</v>
      </c>
      <c r="DF247" s="88">
        <v>-593.40090894535763</v>
      </c>
      <c r="DG247" s="93"/>
      <c r="DH247" s="91"/>
      <c r="DJ247" s="93"/>
      <c r="DK247" s="91"/>
      <c r="DM247" s="93"/>
      <c r="DN247" s="91"/>
      <c r="DP247" s="93"/>
      <c r="DQ247" s="91"/>
    </row>
    <row r="248" spans="1:121" x14ac:dyDescent="0.3">
      <c r="A248" t="s">
        <v>28</v>
      </c>
      <c r="B248" t="s">
        <v>47</v>
      </c>
      <c r="C248" t="s">
        <v>88</v>
      </c>
      <c r="D248" t="s">
        <v>415</v>
      </c>
      <c r="E248" t="s">
        <v>610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54000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2412.790469672032</v>
      </c>
      <c r="BL248" s="88">
        <v>2412.6985379323878</v>
      </c>
      <c r="BM248" s="88">
        <v>2412.6066730336838</v>
      </c>
      <c r="BN248" s="88">
        <v>2412.511764271107</v>
      </c>
      <c r="BO248" s="88">
        <v>2412.4169267995312</v>
      </c>
      <c r="BP248" s="88">
        <v>2412.3221605386561</v>
      </c>
      <c r="BQ248" s="88">
        <v>2412.227465408303</v>
      </c>
      <c r="BR248" s="88">
        <v>4668.6165423336925</v>
      </c>
      <c r="BS248" s="88">
        <v>4668.5182083092732</v>
      </c>
      <c r="BT248" s="88">
        <v>2411.942257701744</v>
      </c>
      <c r="BU248" s="88">
        <v>2411.8478474542922</v>
      </c>
      <c r="BV248" s="88">
        <v>2411.75350793699</v>
      </c>
      <c r="BW248" s="88">
        <v>2160.0000000000018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4406.400000000006</v>
      </c>
      <c r="CE248" s="88">
        <v>4406.400000000006</v>
      </c>
      <c r="CF248" s="88">
        <v>2160.0000000000018</v>
      </c>
      <c r="CG248" s="88">
        <v>2160.0000000000018</v>
      </c>
      <c r="CH248" s="88">
        <v>2160.0000000000018</v>
      </c>
      <c r="CI248" s="88">
        <v>54000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243.06775930002809</v>
      </c>
      <c r="CV248" s="88">
        <v>242.97936339652719</v>
      </c>
      <c r="CW248" s="88">
        <v>242.8910317631514</v>
      </c>
      <c r="CX248" s="88">
        <v>242.79977333760311</v>
      </c>
      <c r="CY248" s="88">
        <v>242.70858346108909</v>
      </c>
      <c r="CZ248" s="88">
        <v>242.61746205640341</v>
      </c>
      <c r="DA248" s="88">
        <v>242.52640904644761</v>
      </c>
      <c r="DB248" s="88">
        <v>242.43393337064271</v>
      </c>
      <c r="DC248" s="88">
        <v>242.34301803741289</v>
      </c>
      <c r="DD248" s="88">
        <v>242.25217086705439</v>
      </c>
      <c r="DE248" s="88">
        <v>242.1613917829726</v>
      </c>
      <c r="DF248" s="88">
        <v>242.0706807086446</v>
      </c>
      <c r="DG248" s="93">
        <v>46296</v>
      </c>
      <c r="DH248" s="91">
        <v>0.04</v>
      </c>
      <c r="DI248" t="s">
        <v>300</v>
      </c>
      <c r="DJ248" s="93">
        <v>46600</v>
      </c>
      <c r="DK248" s="91">
        <v>0.04</v>
      </c>
      <c r="DL248" t="s">
        <v>301</v>
      </c>
      <c r="DM248" s="93"/>
      <c r="DN248" s="91"/>
      <c r="DP248" s="93"/>
      <c r="DQ248" s="91"/>
    </row>
    <row r="249" spans="1:121" x14ac:dyDescent="0.3">
      <c r="A249" t="s">
        <v>28</v>
      </c>
      <c r="B249" t="s">
        <v>47</v>
      </c>
      <c r="C249" t="s">
        <v>90</v>
      </c>
      <c r="D249" t="s">
        <v>417</v>
      </c>
      <c r="E249" t="s">
        <v>611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42000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2901.6584491259619</v>
      </c>
      <c r="BL249" s="88">
        <v>2900.4823830718392</v>
      </c>
      <c r="BM249" s="88">
        <v>2899.309762637803</v>
      </c>
      <c r="BN249" s="88">
        <v>2898.1009990827311</v>
      </c>
      <c r="BO249" s="88">
        <v>2896.895885934945</v>
      </c>
      <c r="BP249" s="88">
        <v>2895.6944066833121</v>
      </c>
      <c r="BQ249" s="88">
        <v>2894.496544916095</v>
      </c>
      <c r="BR249" s="88">
        <v>2893.282736188467</v>
      </c>
      <c r="BS249" s="88">
        <v>2892.092119184123</v>
      </c>
      <c r="BT249" s="88">
        <v>2890.9050707547181</v>
      </c>
      <c r="BU249" s="88">
        <v>752.11578560039266</v>
      </c>
      <c r="BV249" s="88">
        <v>750.99201489246605</v>
      </c>
      <c r="BW249" s="88">
        <v>2100.0000000000018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0</v>
      </c>
      <c r="CH249" s="88">
        <v>0</v>
      </c>
      <c r="CI249" s="88">
        <v>42000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763.48423726281567</v>
      </c>
      <c r="CV249" s="88">
        <v>762.36417435413136</v>
      </c>
      <c r="CW249" s="88">
        <v>761.24739298838313</v>
      </c>
      <c r="CX249" s="88">
        <v>760.09618960259661</v>
      </c>
      <c r="CY249" s="88">
        <v>758.9484627951872</v>
      </c>
      <c r="CZ249" s="88">
        <v>757.80419684124968</v>
      </c>
      <c r="DA249" s="88">
        <v>756.66337611056406</v>
      </c>
      <c r="DB249" s="88">
        <v>755.50736779853662</v>
      </c>
      <c r="DC249" s="88">
        <v>754.37344684201912</v>
      </c>
      <c r="DD249" s="88">
        <v>753.24292452830082</v>
      </c>
      <c r="DE249" s="88">
        <v>752.11578560039266</v>
      </c>
      <c r="DF249" s="88">
        <v>750.99201489246605</v>
      </c>
      <c r="DG249" s="93">
        <v>46327</v>
      </c>
      <c r="DH249" s="91">
        <v>0.05</v>
      </c>
      <c r="DI249" t="s">
        <v>300</v>
      </c>
      <c r="DJ249" s="93"/>
      <c r="DK249" s="91"/>
      <c r="DM249" s="93"/>
      <c r="DN249" s="91"/>
      <c r="DP249" s="93"/>
      <c r="DQ249" s="91"/>
    </row>
    <row r="250" spans="1:121" x14ac:dyDescent="0.3">
      <c r="A250" t="s">
        <v>28</v>
      </c>
      <c r="B250" t="s">
        <v>47</v>
      </c>
      <c r="C250" t="s">
        <v>91</v>
      </c>
      <c r="D250" t="s">
        <v>419</v>
      </c>
      <c r="E250" t="s">
        <v>612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30000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30000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93"/>
      <c r="DH250" s="91"/>
      <c r="DJ250" s="93"/>
      <c r="DK250" s="91"/>
      <c r="DM250" s="93"/>
      <c r="DN250" s="91"/>
      <c r="DP250" s="93"/>
      <c r="DQ250" s="91"/>
    </row>
    <row r="251" spans="1:121" x14ac:dyDescent="0.3">
      <c r="A251" t="s">
        <v>28</v>
      </c>
      <c r="B251" t="s">
        <v>47</v>
      </c>
      <c r="C251" t="s">
        <v>93</v>
      </c>
      <c r="D251" t="s">
        <v>421</v>
      </c>
      <c r="E251" t="s">
        <v>613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69000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937.7152537744995</v>
      </c>
      <c r="BL251" s="88">
        <v>936.68641987553781</v>
      </c>
      <c r="BM251" s="88">
        <v>935.65984111553234</v>
      </c>
      <c r="BN251" s="88">
        <v>934.60082630316288</v>
      </c>
      <c r="BO251" s="88">
        <v>933.54420604570441</v>
      </c>
      <c r="BP251" s="88">
        <v>932.48997223078425</v>
      </c>
      <c r="BQ251" s="88">
        <v>931.43811678266218</v>
      </c>
      <c r="BR251" s="88">
        <v>930.37144669035206</v>
      </c>
      <c r="BS251" s="88">
        <v>929.32436255396976</v>
      </c>
      <c r="BT251" s="88">
        <v>928.27963264428104</v>
      </c>
      <c r="BU251" s="88">
        <v>927.23724903048321</v>
      </c>
      <c r="BV251" s="88">
        <v>926.1972038173185</v>
      </c>
      <c r="BW251" s="88">
        <v>0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69000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937.7152537744995</v>
      </c>
      <c r="CV251" s="88">
        <v>936.68641987553781</v>
      </c>
      <c r="CW251" s="88">
        <v>935.65984111553234</v>
      </c>
      <c r="CX251" s="88">
        <v>934.60082630316288</v>
      </c>
      <c r="CY251" s="88">
        <v>933.54420604570441</v>
      </c>
      <c r="CZ251" s="88">
        <v>932.48997223078425</v>
      </c>
      <c r="DA251" s="88">
        <v>931.43811678266218</v>
      </c>
      <c r="DB251" s="88">
        <v>930.37144669035206</v>
      </c>
      <c r="DC251" s="88">
        <v>929.32436255396976</v>
      </c>
      <c r="DD251" s="88">
        <v>928.27963264428104</v>
      </c>
      <c r="DE251" s="88">
        <v>927.23724903048321</v>
      </c>
      <c r="DF251" s="88">
        <v>926.1972038173185</v>
      </c>
      <c r="DG251" s="93">
        <v>46023</v>
      </c>
      <c r="DH251" s="91">
        <v>0.02</v>
      </c>
      <c r="DI251" t="s">
        <v>300</v>
      </c>
      <c r="DJ251" s="93"/>
      <c r="DK251" s="91"/>
      <c r="DM251" s="93"/>
      <c r="DN251" s="91"/>
      <c r="DP251" s="93"/>
      <c r="DQ251" s="91"/>
    </row>
    <row r="252" spans="1:121" x14ac:dyDescent="0.3">
      <c r="A252" t="s">
        <v>28</v>
      </c>
      <c r="B252" t="s">
        <v>47</v>
      </c>
      <c r="C252" t="s">
        <v>94</v>
      </c>
      <c r="D252" t="s">
        <v>423</v>
      </c>
      <c r="E252" t="s">
        <v>614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57000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1447.399131164718</v>
      </c>
      <c r="BL252" s="88">
        <v>2014.753720548219</v>
      </c>
      <c r="BM252" s="88">
        <v>2014.6577635524129</v>
      </c>
      <c r="BN252" s="88">
        <v>2014.558480751781</v>
      </c>
      <c r="BO252" s="88">
        <v>2014.459123626262</v>
      </c>
      <c r="BP252" s="88">
        <v>2014.359692092384</v>
      </c>
      <c r="BQ252" s="88">
        <v>2014.2601860665029</v>
      </c>
      <c r="BR252" s="88">
        <v>2014.15897237427</v>
      </c>
      <c r="BS252" s="88">
        <v>2014.059315888449</v>
      </c>
      <c r="BT252" s="88">
        <v>2013.9595846576699</v>
      </c>
      <c r="BU252" s="88">
        <v>2013.859778597792</v>
      </c>
      <c r="BV252" s="88">
        <v>2013.7598976245729</v>
      </c>
      <c r="BW252" s="88">
        <v>1710.000000000002</v>
      </c>
      <c r="BX252" s="88">
        <v>2280.0000000000018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57000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-254.95229984007631</v>
      </c>
      <c r="CV252" s="88">
        <v>-255.04449947287111</v>
      </c>
      <c r="CW252" s="88">
        <v>-255.13676581498541</v>
      </c>
      <c r="CX252" s="88">
        <v>-255.2322300463706</v>
      </c>
      <c r="CY252" s="88">
        <v>-255.32776574398619</v>
      </c>
      <c r="CZ252" s="88">
        <v>-255.4233729880998</v>
      </c>
      <c r="DA252" s="88">
        <v>-255.51905185913111</v>
      </c>
      <c r="DB252" s="88">
        <v>-255.61637271705061</v>
      </c>
      <c r="DC252" s="88">
        <v>-255.71219626111451</v>
      </c>
      <c r="DD252" s="88">
        <v>-255.80809167532331</v>
      </c>
      <c r="DE252" s="88">
        <v>-255.90405904059011</v>
      </c>
      <c r="DF252" s="88">
        <v>-256.00009843791059</v>
      </c>
      <c r="DG252" s="93">
        <v>46054</v>
      </c>
      <c r="DH252" s="91">
        <v>0.03</v>
      </c>
      <c r="DI252" t="s">
        <v>300</v>
      </c>
      <c r="DJ252" s="93">
        <v>46419</v>
      </c>
      <c r="DK252" s="91">
        <v>0.04</v>
      </c>
      <c r="DL252" t="s">
        <v>301</v>
      </c>
      <c r="DM252" s="93"/>
      <c r="DN252" s="91"/>
      <c r="DP252" s="93"/>
      <c r="DQ252" s="91"/>
    </row>
    <row r="253" spans="1:121" x14ac:dyDescent="0.3">
      <c r="A253" t="s">
        <v>28</v>
      </c>
      <c r="B253" t="s">
        <v>47</v>
      </c>
      <c r="C253" t="s">
        <v>95</v>
      </c>
      <c r="D253" t="s">
        <v>425</v>
      </c>
      <c r="E253" t="s">
        <v>615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45000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406.40348381190353</v>
      </c>
      <c r="BL253" s="88">
        <v>406.1070589689719</v>
      </c>
      <c r="BM253" s="88">
        <v>405.81106622688537</v>
      </c>
      <c r="BN253" s="88">
        <v>405.50549314899428</v>
      </c>
      <c r="BO253" s="88">
        <v>405.200379913897</v>
      </c>
      <c r="BP253" s="88">
        <v>404.89572548439321</v>
      </c>
      <c r="BQ253" s="88">
        <v>404.59152882637022</v>
      </c>
      <c r="BR253" s="88">
        <v>404.28281336533541</v>
      </c>
      <c r="BS253" s="88">
        <v>403.97953662255628</v>
      </c>
      <c r="BT253" s="88">
        <v>403.67671455079801</v>
      </c>
      <c r="BU253" s="88">
        <v>403.37434612833789</v>
      </c>
      <c r="BV253" s="88">
        <v>403.07243033657068</v>
      </c>
      <c r="BW253" s="88">
        <v>0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45000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406.40348381190353</v>
      </c>
      <c r="CV253" s="88">
        <v>406.1070589689719</v>
      </c>
      <c r="CW253" s="88">
        <v>405.81106622688537</v>
      </c>
      <c r="CX253" s="88">
        <v>405.50549314899428</v>
      </c>
      <c r="CY253" s="88">
        <v>405.200379913897</v>
      </c>
      <c r="CZ253" s="88">
        <v>404.89572548439321</v>
      </c>
      <c r="DA253" s="88">
        <v>404.59152882637022</v>
      </c>
      <c r="DB253" s="88">
        <v>404.28281336533541</v>
      </c>
      <c r="DC253" s="88">
        <v>403.97953662255628</v>
      </c>
      <c r="DD253" s="88">
        <v>403.67671455079801</v>
      </c>
      <c r="DE253" s="88">
        <v>403.37434612833789</v>
      </c>
      <c r="DF253" s="88">
        <v>403.07243033657068</v>
      </c>
      <c r="DG253" s="93"/>
      <c r="DH253" s="91"/>
      <c r="DJ253" s="93"/>
      <c r="DK253" s="91"/>
      <c r="DM253" s="93"/>
      <c r="DN253" s="91"/>
      <c r="DP253" s="93"/>
      <c r="DQ253" s="91"/>
    </row>
    <row r="254" spans="1:121" x14ac:dyDescent="0.3">
      <c r="A254" t="s">
        <v>30</v>
      </c>
      <c r="B254" t="s">
        <v>42</v>
      </c>
      <c r="C254" t="s">
        <v>43</v>
      </c>
      <c r="D254" t="s">
        <v>298</v>
      </c>
      <c r="E254" t="s">
        <v>616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9600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865.19970412281714</v>
      </c>
      <c r="BL254" s="88">
        <v>864.53695168056367</v>
      </c>
      <c r="BM254" s="88">
        <v>863.877229922624</v>
      </c>
      <c r="BN254" s="88">
        <v>1386.3582246507549</v>
      </c>
      <c r="BO254" s="88">
        <v>1385.648712377377</v>
      </c>
      <c r="BP254" s="88">
        <v>1384.94253097663</v>
      </c>
      <c r="BQ254" s="88">
        <v>762.49024249792046</v>
      </c>
      <c r="BR254" s="88">
        <v>761.81945845195639</v>
      </c>
      <c r="BS254" s="88">
        <v>761.16259520595054</v>
      </c>
      <c r="BT254" s="88">
        <v>760.50878686608166</v>
      </c>
      <c r="BU254" s="88">
        <v>759.85801217038829</v>
      </c>
      <c r="BV254" s="88">
        <v>759.21025005375566</v>
      </c>
      <c r="BW254" s="88">
        <v>576.00000000000045</v>
      </c>
      <c r="BX254" s="88">
        <v>576.00000000000045</v>
      </c>
      <c r="BY254" s="88">
        <v>576.00000000000045</v>
      </c>
      <c r="BZ254" s="88">
        <v>1084.8</v>
      </c>
      <c r="CA254" s="88">
        <v>1084.8</v>
      </c>
      <c r="CB254" s="88">
        <v>1084.8</v>
      </c>
      <c r="CC254" s="88">
        <v>480.00000000000051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9600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272.82990954982648</v>
      </c>
      <c r="CV254" s="88">
        <v>272.20467139675861</v>
      </c>
      <c r="CW254" s="88">
        <v>271.58229237983352</v>
      </c>
      <c r="CX254" s="88">
        <v>270.94180112376938</v>
      </c>
      <c r="CY254" s="88">
        <v>270.30432378919761</v>
      </c>
      <c r="CZ254" s="88">
        <v>269.66983915240797</v>
      </c>
      <c r="DA254" s="88">
        <v>269.03832618849538</v>
      </c>
      <c r="DB254" s="88">
        <v>268.39948423995708</v>
      </c>
      <c r="DC254" s="88">
        <v>267.77390019614268</v>
      </c>
      <c r="DD254" s="88">
        <v>267.15122558674341</v>
      </c>
      <c r="DE254" s="88">
        <v>266.53144016227373</v>
      </c>
      <c r="DF254" s="88">
        <v>265.91452386071882</v>
      </c>
      <c r="DG254" s="93">
        <v>45839</v>
      </c>
      <c r="DH254" s="91">
        <v>0.04</v>
      </c>
      <c r="DI254" t="s">
        <v>300</v>
      </c>
      <c r="DJ254" s="93">
        <v>46204</v>
      </c>
      <c r="DK254" s="91">
        <v>0.06</v>
      </c>
      <c r="DL254" t="s">
        <v>300</v>
      </c>
      <c r="DM254" s="93">
        <v>46478</v>
      </c>
      <c r="DN254" s="91">
        <v>0.05</v>
      </c>
      <c r="DO254" t="s">
        <v>301</v>
      </c>
      <c r="DP254" s="93"/>
      <c r="DQ254" s="91"/>
    </row>
    <row r="255" spans="1:121" x14ac:dyDescent="0.3">
      <c r="A255" t="s">
        <v>30</v>
      </c>
      <c r="B255" t="s">
        <v>42</v>
      </c>
      <c r="C255" t="s">
        <v>46</v>
      </c>
      <c r="D255" t="s">
        <v>302</v>
      </c>
      <c r="E255" t="s">
        <v>617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25200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860.99941814393219</v>
      </c>
      <c r="BL255" s="88">
        <v>1113.9841786877589</v>
      </c>
      <c r="BM255" s="88">
        <v>1113.949550048457</v>
      </c>
      <c r="BN255" s="88">
        <v>1113.9137713412631</v>
      </c>
      <c r="BO255" s="88">
        <v>1113.8780167905379</v>
      </c>
      <c r="BP255" s="88">
        <v>1113.842286371832</v>
      </c>
      <c r="BQ255" s="88">
        <v>1113.8065800607251</v>
      </c>
      <c r="BR255" s="88">
        <v>1113.770313078769</v>
      </c>
      <c r="BS255" s="88">
        <v>1113.734655303909</v>
      </c>
      <c r="BT255" s="88">
        <v>1113.699021563179</v>
      </c>
      <c r="BU255" s="88">
        <v>1113.663411832277</v>
      </c>
      <c r="BV255" s="88">
        <v>1113.627826086959</v>
      </c>
      <c r="BW255" s="88">
        <v>756.00000000000068</v>
      </c>
      <c r="BX255" s="88">
        <v>1008.000000000001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25200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101.9411826640127</v>
      </c>
      <c r="CV255" s="88">
        <v>101.90786412284579</v>
      </c>
      <c r="CW255" s="88">
        <v>101.8745673542827</v>
      </c>
      <c r="CX255" s="88">
        <v>101.84016475121081</v>
      </c>
      <c r="CY255" s="88">
        <v>101.8057853755173</v>
      </c>
      <c r="CZ255" s="88">
        <v>101.77142920368421</v>
      </c>
      <c r="DA255" s="88">
        <v>101.7370962122328</v>
      </c>
      <c r="DB255" s="88">
        <v>101.702224114198</v>
      </c>
      <c r="DC255" s="88">
        <v>101.6679377922205</v>
      </c>
      <c r="DD255" s="88">
        <v>101.633674579981</v>
      </c>
      <c r="DE255" s="88">
        <v>101.5994344541128</v>
      </c>
      <c r="DF255" s="88">
        <v>101.5652173913049</v>
      </c>
      <c r="DG255" s="93">
        <v>46054</v>
      </c>
      <c r="DH255" s="91">
        <v>0.03</v>
      </c>
      <c r="DI255" t="s">
        <v>300</v>
      </c>
      <c r="DJ255" s="93">
        <v>46419</v>
      </c>
      <c r="DK255" s="91">
        <v>0.04</v>
      </c>
      <c r="DL255" t="s">
        <v>301</v>
      </c>
      <c r="DM255" s="93"/>
      <c r="DN255" s="91"/>
      <c r="DP255" s="93"/>
      <c r="DQ255" s="91"/>
    </row>
    <row r="256" spans="1:121" x14ac:dyDescent="0.3">
      <c r="A256" t="s">
        <v>30</v>
      </c>
      <c r="B256" t="s">
        <v>42</v>
      </c>
      <c r="C256" t="s">
        <v>48</v>
      </c>
      <c r="D256" t="s">
        <v>304</v>
      </c>
      <c r="E256" t="s">
        <v>618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20400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332.94580575925858</v>
      </c>
      <c r="BL256" s="88">
        <v>332.5072007502169</v>
      </c>
      <c r="BM256" s="88">
        <v>332.06974981046392</v>
      </c>
      <c r="BN256" s="88">
        <v>331.61867860244467</v>
      </c>
      <c r="BO256" s="88">
        <v>331.16883116883412</v>
      </c>
      <c r="BP256" s="88">
        <v>330.72020253614181</v>
      </c>
      <c r="BQ256" s="88">
        <v>330.27278775782042</v>
      </c>
      <c r="BR256" s="88">
        <v>329.81927710843581</v>
      </c>
      <c r="BS256" s="88">
        <v>329.37429500364931</v>
      </c>
      <c r="BT256" s="88">
        <v>328.93051199364038</v>
      </c>
      <c r="BU256" s="88">
        <v>328.487923238115</v>
      </c>
      <c r="BV256" s="88">
        <v>328.04652392281139</v>
      </c>
      <c r="BW256" s="88">
        <v>0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20400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332.94580575925858</v>
      </c>
      <c r="CV256" s="88">
        <v>332.5072007502169</v>
      </c>
      <c r="CW256" s="88">
        <v>332.06974981046392</v>
      </c>
      <c r="CX256" s="88">
        <v>331.61867860244467</v>
      </c>
      <c r="CY256" s="88">
        <v>331.16883116883412</v>
      </c>
      <c r="CZ256" s="88">
        <v>330.72020253614181</v>
      </c>
      <c r="DA256" s="88">
        <v>330.27278775782042</v>
      </c>
      <c r="DB256" s="88">
        <v>329.81927710843581</v>
      </c>
      <c r="DC256" s="88">
        <v>329.37429500364931</v>
      </c>
      <c r="DD256" s="88">
        <v>328.93051199364038</v>
      </c>
      <c r="DE256" s="88">
        <v>328.487923238115</v>
      </c>
      <c r="DF256" s="88">
        <v>328.04652392281139</v>
      </c>
      <c r="DG256" s="93"/>
      <c r="DH256" s="91"/>
      <c r="DJ256" s="93"/>
      <c r="DK256" s="91"/>
      <c r="DM256" s="93"/>
      <c r="DN256" s="91"/>
      <c r="DP256" s="93"/>
      <c r="DQ256" s="91"/>
    </row>
    <row r="257" spans="1:121" x14ac:dyDescent="0.3">
      <c r="A257" t="s">
        <v>30</v>
      </c>
      <c r="B257" t="s">
        <v>42</v>
      </c>
      <c r="C257" t="s">
        <v>50</v>
      </c>
      <c r="D257" t="s">
        <v>306</v>
      </c>
      <c r="E257" t="s">
        <v>619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15600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780.00000000000068</v>
      </c>
      <c r="BL257" s="88">
        <v>780.00000000000068</v>
      </c>
      <c r="BM257" s="88">
        <v>780.00000000000068</v>
      </c>
      <c r="BN257" s="88">
        <v>0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780.00000000000068</v>
      </c>
      <c r="BX257" s="88">
        <v>780.00000000000068</v>
      </c>
      <c r="BY257" s="88">
        <v>780.00000000000068</v>
      </c>
      <c r="BZ257" s="88">
        <v>0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93">
        <v>46113</v>
      </c>
      <c r="DH257" s="91">
        <v>0.05</v>
      </c>
      <c r="DI257" t="s">
        <v>300</v>
      </c>
      <c r="DJ257" s="93"/>
      <c r="DK257" s="91"/>
      <c r="DM257" s="93"/>
      <c r="DN257" s="91"/>
      <c r="DP257" s="93"/>
      <c r="DQ257" s="91"/>
    </row>
    <row r="258" spans="1:121" x14ac:dyDescent="0.3">
      <c r="A258" t="s">
        <v>30</v>
      </c>
      <c r="B258" t="s">
        <v>42</v>
      </c>
      <c r="C258" t="s">
        <v>57</v>
      </c>
      <c r="D258" t="s">
        <v>308</v>
      </c>
      <c r="E258" t="s">
        <v>620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10800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787.72880335735658</v>
      </c>
      <c r="BL258" s="88">
        <v>787.59110042092698</v>
      </c>
      <c r="BM258" s="88">
        <v>787.45366863016488</v>
      </c>
      <c r="BN258" s="88">
        <v>787.31186237247255</v>
      </c>
      <c r="BO258" s="88">
        <v>131.29277756498919</v>
      </c>
      <c r="BP258" s="88">
        <v>131.15954084179009</v>
      </c>
      <c r="BQ258" s="88">
        <v>131.0265742633471</v>
      </c>
      <c r="BR258" s="88">
        <v>130.89170388325269</v>
      </c>
      <c r="BS258" s="88">
        <v>130.7592795303006</v>
      </c>
      <c r="BT258" s="88">
        <v>130.62712285643309</v>
      </c>
      <c r="BU258" s="88">
        <v>130.49523305084659</v>
      </c>
      <c r="BV258" s="88">
        <v>130.36360930601839</v>
      </c>
      <c r="BW258" s="88">
        <v>648.00000000000057</v>
      </c>
      <c r="BX258" s="88">
        <v>648.00000000000057</v>
      </c>
      <c r="BY258" s="88">
        <v>648.00000000000057</v>
      </c>
      <c r="BZ258" s="88">
        <v>648.00000000000057</v>
      </c>
      <c r="CA258" s="88">
        <v>0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10800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131.81962580882541</v>
      </c>
      <c r="CV258" s="88">
        <v>131.68971737823259</v>
      </c>
      <c r="CW258" s="88">
        <v>131.56006474543801</v>
      </c>
      <c r="CX258" s="88">
        <v>131.4262852570501</v>
      </c>
      <c r="CY258" s="88">
        <v>131.29277756498919</v>
      </c>
      <c r="CZ258" s="88">
        <v>131.15954084179009</v>
      </c>
      <c r="DA258" s="88">
        <v>131.0265742633471</v>
      </c>
      <c r="DB258" s="88">
        <v>130.89170388325269</v>
      </c>
      <c r="DC258" s="88">
        <v>130.7592795303006</v>
      </c>
      <c r="DD258" s="88">
        <v>130.62712285643309</v>
      </c>
      <c r="DE258" s="88">
        <v>130.49523305084659</v>
      </c>
      <c r="DF258" s="88">
        <v>130.36360930601839</v>
      </c>
      <c r="DG258" s="93">
        <v>46143</v>
      </c>
      <c r="DH258" s="91">
        <v>0.06</v>
      </c>
      <c r="DI258" t="s">
        <v>300</v>
      </c>
      <c r="DJ258" s="93"/>
      <c r="DK258" s="91"/>
      <c r="DM258" s="93"/>
      <c r="DN258" s="91"/>
      <c r="DP258" s="93"/>
      <c r="DQ258" s="91"/>
    </row>
    <row r="259" spans="1:121" x14ac:dyDescent="0.3">
      <c r="A259" t="s">
        <v>30</v>
      </c>
      <c r="B259" t="s">
        <v>42</v>
      </c>
      <c r="C259" t="s">
        <v>58</v>
      </c>
      <c r="D259" t="s">
        <v>310</v>
      </c>
      <c r="E259" t="s">
        <v>621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26400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1352.9940172971831</v>
      </c>
      <c r="BL259" s="88">
        <v>1321.1418026839151</v>
      </c>
      <c r="BM259" s="88">
        <v>1289.3418825529241</v>
      </c>
      <c r="BN259" s="88">
        <v>1256.5188457763909</v>
      </c>
      <c r="BO259" s="88">
        <v>1223.7514296747149</v>
      </c>
      <c r="BP259" s="88">
        <v>1059.024949959904</v>
      </c>
      <c r="BQ259" s="88">
        <v>1026.52460357317</v>
      </c>
      <c r="BR259" s="88">
        <v>993.54775628776088</v>
      </c>
      <c r="BS259" s="88">
        <v>961.15803630494861</v>
      </c>
      <c r="BT259" s="88">
        <v>945.22974892368006</v>
      </c>
      <c r="BU259" s="88">
        <v>945.19239274657048</v>
      </c>
      <c r="BV259" s="88">
        <v>945.15501136495641</v>
      </c>
      <c r="BW259" s="88">
        <v>1187.999999999998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1056.0000000000009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26400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157.8890117676435</v>
      </c>
      <c r="CV259" s="88">
        <v>127.40842362097371</v>
      </c>
      <c r="CW259" s="88">
        <v>96.977878041078469</v>
      </c>
      <c r="CX259" s="88">
        <v>65.56827347023102</v>
      </c>
      <c r="CY259" s="88">
        <v>34.211894425565781</v>
      </c>
      <c r="CZ259" s="88">
        <v>2.9086057306772162</v>
      </c>
      <c r="DA259" s="88">
        <v>-28.341727333491651</v>
      </c>
      <c r="DB259" s="88">
        <v>-60.050234338693102</v>
      </c>
      <c r="DC259" s="88">
        <v>-91.194195860626166</v>
      </c>
      <c r="DD259" s="88">
        <v>-106.50985680415251</v>
      </c>
      <c r="DE259" s="88">
        <v>-106.5457762052193</v>
      </c>
      <c r="DF259" s="88">
        <v>-106.5817198413868</v>
      </c>
      <c r="DG259" s="93">
        <v>46174</v>
      </c>
      <c r="DH259" s="91">
        <v>4.4999999999999998E-2</v>
      </c>
      <c r="DI259" t="s">
        <v>300</v>
      </c>
      <c r="DJ259" s="93">
        <v>46539</v>
      </c>
      <c r="DK259" s="91">
        <v>0.04</v>
      </c>
      <c r="DL259" t="s">
        <v>301</v>
      </c>
      <c r="DM259" s="93"/>
      <c r="DN259" s="91"/>
      <c r="DP259" s="93"/>
      <c r="DQ259" s="91"/>
    </row>
    <row r="260" spans="1:121" x14ac:dyDescent="0.3">
      <c r="A260" t="s">
        <v>30</v>
      </c>
      <c r="B260" t="s">
        <v>42</v>
      </c>
      <c r="C260" t="s">
        <v>65</v>
      </c>
      <c r="D260" t="s">
        <v>312</v>
      </c>
      <c r="E260" t="s">
        <v>622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21600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828.51416567560693</v>
      </c>
      <c r="BL260" s="88">
        <v>828.39586804398198</v>
      </c>
      <c r="BM260" s="88">
        <v>828.27772536047542</v>
      </c>
      <c r="BN260" s="88">
        <v>828.15574043261256</v>
      </c>
      <c r="BO260" s="88">
        <v>828.0339204753293</v>
      </c>
      <c r="BP260" s="88">
        <v>827.91226515419874</v>
      </c>
      <c r="BQ260" s="88">
        <v>174.55414964630941</v>
      </c>
      <c r="BR260" s="88">
        <v>174.43442668289271</v>
      </c>
      <c r="BS260" s="88">
        <v>174.31679490581209</v>
      </c>
      <c r="BT260" s="88">
        <v>174.19932167438489</v>
      </c>
      <c r="BU260" s="88">
        <v>174.08200666828489</v>
      </c>
      <c r="BV260" s="88">
        <v>173.9648495680685</v>
      </c>
      <c r="BW260" s="88">
        <v>648.00000000000057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0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21600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175.2564715297147</v>
      </c>
      <c r="CV260" s="88">
        <v>175.14161946017819</v>
      </c>
      <c r="CW260" s="88">
        <v>175.0269178257046</v>
      </c>
      <c r="CX260" s="88">
        <v>174.9084858569031</v>
      </c>
      <c r="CY260" s="88">
        <v>174.79021405371671</v>
      </c>
      <c r="CZ260" s="88">
        <v>174.67210209145489</v>
      </c>
      <c r="DA260" s="88">
        <v>174.55414964630941</v>
      </c>
      <c r="DB260" s="88">
        <v>174.43442668289271</v>
      </c>
      <c r="DC260" s="88">
        <v>174.31679490581209</v>
      </c>
      <c r="DD260" s="88">
        <v>174.19932167438489</v>
      </c>
      <c r="DE260" s="88">
        <v>174.08200666828489</v>
      </c>
      <c r="DF260" s="88">
        <v>173.9648495680685</v>
      </c>
      <c r="DG260" s="93">
        <v>46204</v>
      </c>
      <c r="DH260" s="91">
        <v>0.03</v>
      </c>
      <c r="DI260" t="s">
        <v>300</v>
      </c>
      <c r="DJ260" s="93"/>
      <c r="DK260" s="91"/>
      <c r="DM260" s="93"/>
      <c r="DN260" s="91"/>
      <c r="DP260" s="93"/>
      <c r="DQ260" s="91"/>
    </row>
    <row r="261" spans="1:121" x14ac:dyDescent="0.3">
      <c r="A261" t="s">
        <v>30</v>
      </c>
      <c r="B261" t="s">
        <v>42</v>
      </c>
      <c r="C261" t="s">
        <v>66</v>
      </c>
      <c r="D261" t="s">
        <v>314</v>
      </c>
      <c r="E261" t="s">
        <v>623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16800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531.84154020285655</v>
      </c>
      <c r="BL261" s="88">
        <v>531.7506102790793</v>
      </c>
      <c r="BM261" s="88">
        <v>531.65956229438154</v>
      </c>
      <c r="BN261" s="88">
        <v>531.56530356081055</v>
      </c>
      <c r="BO261" s="88">
        <v>531.47091812562883</v>
      </c>
      <c r="BP261" s="88">
        <v>531.37640573318799</v>
      </c>
      <c r="BQ261" s="88">
        <v>531.28176612716459</v>
      </c>
      <c r="BR261" s="88">
        <v>-135.39861112644539</v>
      </c>
      <c r="BS261" s="88">
        <v>-135.4898581466249</v>
      </c>
      <c r="BT261" s="88">
        <v>-135.58122823503621</v>
      </c>
      <c r="BU261" s="88">
        <v>-135.67272164081629</v>
      </c>
      <c r="BV261" s="88">
        <v>-135.76433861379621</v>
      </c>
      <c r="BW261" s="88">
        <v>672.00000000000057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0</v>
      </c>
      <c r="CE261" s="88">
        <v>0</v>
      </c>
      <c r="CF261" s="88">
        <v>0</v>
      </c>
      <c r="CG261" s="88">
        <v>0</v>
      </c>
      <c r="CH261" s="88">
        <v>0</v>
      </c>
      <c r="CI261" s="88">
        <v>16800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-134.76774980494639</v>
      </c>
      <c r="CV261" s="88">
        <v>-134.85518242396211</v>
      </c>
      <c r="CW261" s="88">
        <v>-134.94272856309701</v>
      </c>
      <c r="CX261" s="88">
        <v>-135.03336196075799</v>
      </c>
      <c r="CY261" s="88">
        <v>-135.12411718689731</v>
      </c>
      <c r="CZ261" s="88">
        <v>-135.21499448732061</v>
      </c>
      <c r="DA261" s="88">
        <v>-135.30599410849581</v>
      </c>
      <c r="DB261" s="88">
        <v>-135.39861112644539</v>
      </c>
      <c r="DC261" s="88">
        <v>-135.4898581466249</v>
      </c>
      <c r="DD261" s="88">
        <v>-135.58122823503621</v>
      </c>
      <c r="DE261" s="88">
        <v>-135.67272164081629</v>
      </c>
      <c r="DF261" s="88">
        <v>-135.76433861379621</v>
      </c>
      <c r="DG261" s="93">
        <v>46235</v>
      </c>
      <c r="DH261" s="91">
        <v>0.04</v>
      </c>
      <c r="DI261" t="s">
        <v>300</v>
      </c>
      <c r="DJ261" s="93"/>
      <c r="DK261" s="91"/>
      <c r="DM261" s="93"/>
      <c r="DN261" s="91"/>
      <c r="DP261" s="93"/>
      <c r="DQ261" s="91"/>
    </row>
    <row r="262" spans="1:121" x14ac:dyDescent="0.3">
      <c r="A262" t="s">
        <v>30</v>
      </c>
      <c r="B262" t="s">
        <v>42</v>
      </c>
      <c r="C262" t="s">
        <v>67</v>
      </c>
      <c r="D262" t="s">
        <v>316</v>
      </c>
      <c r="E262" t="s">
        <v>624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12000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48.543420316196517</v>
      </c>
      <c r="BL262" s="88">
        <v>48.527554344212298</v>
      </c>
      <c r="BM262" s="88">
        <v>48.511698740134612</v>
      </c>
      <c r="BN262" s="88">
        <v>48.495316548195611</v>
      </c>
      <c r="BO262" s="88">
        <v>48.478945416913</v>
      </c>
      <c r="BP262" s="88">
        <v>48.462585335087738</v>
      </c>
      <c r="BQ262" s="88">
        <v>48.446236291539442</v>
      </c>
      <c r="BR262" s="88">
        <v>48.429630530570478</v>
      </c>
      <c r="BS262" s="88">
        <v>48.413303710581168</v>
      </c>
      <c r="BT262" s="88">
        <v>48.39698789522906</v>
      </c>
      <c r="BU262" s="88">
        <v>48.380683073387047</v>
      </c>
      <c r="BV262" s="88">
        <v>48.364389233954697</v>
      </c>
      <c r="BW262" s="88">
        <v>0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12000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48.543420316196517</v>
      </c>
      <c r="CV262" s="88">
        <v>48.527554344212298</v>
      </c>
      <c r="CW262" s="88">
        <v>48.511698740134612</v>
      </c>
      <c r="CX262" s="88">
        <v>48.495316548195611</v>
      </c>
      <c r="CY262" s="88">
        <v>48.478945416913</v>
      </c>
      <c r="CZ262" s="88">
        <v>48.462585335087738</v>
      </c>
      <c r="DA262" s="88">
        <v>48.446236291539442</v>
      </c>
      <c r="DB262" s="88">
        <v>48.429630530570478</v>
      </c>
      <c r="DC262" s="88">
        <v>48.413303710581168</v>
      </c>
      <c r="DD262" s="88">
        <v>48.39698789522906</v>
      </c>
      <c r="DE262" s="88">
        <v>48.380683073387047</v>
      </c>
      <c r="DF262" s="88">
        <v>48.364389233954697</v>
      </c>
      <c r="DG262" s="93"/>
      <c r="DH262" s="91"/>
      <c r="DJ262" s="93"/>
      <c r="DK262" s="91"/>
      <c r="DM262" s="93"/>
      <c r="DN262" s="91"/>
      <c r="DP262" s="93"/>
      <c r="DQ262" s="91"/>
    </row>
    <row r="263" spans="1:121" x14ac:dyDescent="0.3">
      <c r="A263" t="s">
        <v>30</v>
      </c>
      <c r="B263" t="s">
        <v>42</v>
      </c>
      <c r="C263" t="s">
        <v>73</v>
      </c>
      <c r="D263" t="s">
        <v>318</v>
      </c>
      <c r="E263" t="s">
        <v>625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27600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2133.483455553574</v>
      </c>
      <c r="BL263" s="88">
        <v>2132.8544443700212</v>
      </c>
      <c r="BM263" s="88">
        <v>2132.2270882575972</v>
      </c>
      <c r="BN263" s="88">
        <v>2131.580199078096</v>
      </c>
      <c r="BO263" s="88">
        <v>2130.9350649350731</v>
      </c>
      <c r="BP263" s="88">
        <v>2130.2916786959481</v>
      </c>
      <c r="BQ263" s="88">
        <v>2129.6500332668038</v>
      </c>
      <c r="BR263" s="88">
        <v>2128.999645641396</v>
      </c>
      <c r="BS263" s="88">
        <v>2128.3614889522919</v>
      </c>
      <c r="BT263" s="88">
        <v>1566.824579228703</v>
      </c>
      <c r="BU263" s="88">
        <v>1566.2018308150409</v>
      </c>
      <c r="BV263" s="88">
        <v>1565.580756013745</v>
      </c>
      <c r="BW263" s="88">
        <v>1656.0000000000009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1104.0000000000009</v>
      </c>
      <c r="CG263" s="88">
        <v>1104.0000000000009</v>
      </c>
      <c r="CH263" s="88">
        <v>1104.0000000000009</v>
      </c>
      <c r="CI263" s="88">
        <v>27600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450.45609014487928</v>
      </c>
      <c r="CV263" s="88">
        <v>449.86268336794052</v>
      </c>
      <c r="CW263" s="88">
        <v>449.27083797886291</v>
      </c>
      <c r="CX263" s="88">
        <v>448.66056516801348</v>
      </c>
      <c r="CY263" s="88">
        <v>448.05194805195202</v>
      </c>
      <c r="CZ263" s="88">
        <v>447.44497990183891</v>
      </c>
      <c r="DA263" s="88">
        <v>446.83965402528639</v>
      </c>
      <c r="DB263" s="88">
        <v>446.22608079376607</v>
      </c>
      <c r="DC263" s="88">
        <v>445.62404618140789</v>
      </c>
      <c r="DD263" s="88">
        <v>445.02363387374868</v>
      </c>
      <c r="DE263" s="88">
        <v>444.42483732215561</v>
      </c>
      <c r="DF263" s="88">
        <v>443.82765001321548</v>
      </c>
      <c r="DG263" s="93">
        <v>46296</v>
      </c>
      <c r="DH263" s="91">
        <v>0.06</v>
      </c>
      <c r="DI263" t="s">
        <v>300</v>
      </c>
      <c r="DJ263" s="93">
        <v>46661</v>
      </c>
      <c r="DK263" s="91">
        <v>0.04</v>
      </c>
      <c r="DL263" t="s">
        <v>301</v>
      </c>
      <c r="DM263" s="93"/>
      <c r="DN263" s="91"/>
      <c r="DP263" s="93"/>
      <c r="DQ263" s="91"/>
    </row>
    <row r="264" spans="1:121" x14ac:dyDescent="0.3">
      <c r="A264" t="s">
        <v>30</v>
      </c>
      <c r="B264" t="s">
        <v>42</v>
      </c>
      <c r="C264" t="s">
        <v>78</v>
      </c>
      <c r="D264" t="s">
        <v>320</v>
      </c>
      <c r="E264" t="s">
        <v>626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22800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456.0000000000004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0</v>
      </c>
      <c r="BV264" s="88">
        <v>0</v>
      </c>
      <c r="BW264" s="88">
        <v>456.0000000000004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0</v>
      </c>
      <c r="CH264" s="88">
        <v>0</v>
      </c>
      <c r="CI264" s="88">
        <v>22800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93">
        <v>46327</v>
      </c>
      <c r="DH264" s="91">
        <v>0.02</v>
      </c>
      <c r="DI264" t="s">
        <v>300</v>
      </c>
      <c r="DJ264" s="93"/>
      <c r="DK264" s="91"/>
      <c r="DM264" s="93"/>
      <c r="DN264" s="91"/>
      <c r="DP264" s="93"/>
      <c r="DQ264" s="91"/>
    </row>
    <row r="265" spans="1:121" x14ac:dyDescent="0.3">
      <c r="A265" t="s">
        <v>30</v>
      </c>
      <c r="B265" t="s">
        <v>42</v>
      </c>
      <c r="C265" t="s">
        <v>80</v>
      </c>
      <c r="D265" t="s">
        <v>322</v>
      </c>
      <c r="E265" t="s">
        <v>627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18000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219.69937634804239</v>
      </c>
      <c r="BL265" s="88">
        <v>219.4828622970544</v>
      </c>
      <c r="BM265" s="88">
        <v>219.26677457573001</v>
      </c>
      <c r="BN265" s="88">
        <v>219.04380876175011</v>
      </c>
      <c r="BO265" s="88">
        <v>218.82129594164871</v>
      </c>
      <c r="BP265" s="88">
        <v>218.59923473631679</v>
      </c>
      <c r="BQ265" s="88">
        <v>218.37762377224519</v>
      </c>
      <c r="BR265" s="88">
        <v>218.15283980542111</v>
      </c>
      <c r="BS265" s="88">
        <v>217.932132550501</v>
      </c>
      <c r="BT265" s="88">
        <v>217.7118714273885</v>
      </c>
      <c r="BU265" s="88">
        <v>217.49205508474441</v>
      </c>
      <c r="BV265" s="88">
        <v>217.27268217669729</v>
      </c>
      <c r="BW265" s="88">
        <v>0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18000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219.69937634804239</v>
      </c>
      <c r="CV265" s="88">
        <v>219.4828622970544</v>
      </c>
      <c r="CW265" s="88">
        <v>219.26677457573001</v>
      </c>
      <c r="CX265" s="88">
        <v>219.04380876175011</v>
      </c>
      <c r="CY265" s="88">
        <v>218.82129594164871</v>
      </c>
      <c r="CZ265" s="88">
        <v>218.59923473631679</v>
      </c>
      <c r="DA265" s="88">
        <v>218.37762377224519</v>
      </c>
      <c r="DB265" s="88">
        <v>218.15283980542111</v>
      </c>
      <c r="DC265" s="88">
        <v>217.932132550501</v>
      </c>
      <c r="DD265" s="88">
        <v>217.7118714273885</v>
      </c>
      <c r="DE265" s="88">
        <v>217.49205508474441</v>
      </c>
      <c r="DF265" s="88">
        <v>217.27268217669729</v>
      </c>
      <c r="DG265" s="93"/>
      <c r="DH265" s="91"/>
      <c r="DJ265" s="93"/>
      <c r="DK265" s="91"/>
      <c r="DM265" s="93"/>
      <c r="DN265" s="91"/>
      <c r="DP265" s="93"/>
      <c r="DQ265" s="91"/>
    </row>
    <row r="266" spans="1:121" x14ac:dyDescent="0.3">
      <c r="A266" t="s">
        <v>30</v>
      </c>
      <c r="B266" t="s">
        <v>42</v>
      </c>
      <c r="C266" t="s">
        <v>82</v>
      </c>
      <c r="D266" t="s">
        <v>324</v>
      </c>
      <c r="E266" t="s">
        <v>628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13200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-53.09471201794085</v>
      </c>
      <c r="BL266" s="88">
        <v>-53.111978305443543</v>
      </c>
      <c r="BM266" s="88">
        <v>-53.129255826519113</v>
      </c>
      <c r="BN266" s="88">
        <v>-53.147130849162757</v>
      </c>
      <c r="BO266" s="88">
        <v>-53.165017903743987</v>
      </c>
      <c r="BP266" s="88">
        <v>-53.182917002417618</v>
      </c>
      <c r="BQ266" s="88">
        <v>-53.200828157350173</v>
      </c>
      <c r="BR266" s="88">
        <v>-53.219045304673209</v>
      </c>
      <c r="BS266" s="88">
        <v>-53.23698080684305</v>
      </c>
      <c r="BT266" s="88">
        <v>-53.254928402076239</v>
      </c>
      <c r="BU266" s="88">
        <v>-53.272888102609663</v>
      </c>
      <c r="BV266" s="88">
        <v>-53.290859920693379</v>
      </c>
      <c r="BW266" s="88">
        <v>0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13200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-53.09471201794085</v>
      </c>
      <c r="CV266" s="88">
        <v>-53.111978305443543</v>
      </c>
      <c r="CW266" s="88">
        <v>-53.129255826519113</v>
      </c>
      <c r="CX266" s="88">
        <v>-53.147130849162757</v>
      </c>
      <c r="CY266" s="88">
        <v>-53.165017903743987</v>
      </c>
      <c r="CZ266" s="88">
        <v>-53.182917002417618</v>
      </c>
      <c r="DA266" s="88">
        <v>-53.200828157350173</v>
      </c>
      <c r="DB266" s="88">
        <v>-53.219045304673209</v>
      </c>
      <c r="DC266" s="88">
        <v>-53.23698080684305</v>
      </c>
      <c r="DD266" s="88">
        <v>-53.254928402076239</v>
      </c>
      <c r="DE266" s="88">
        <v>-53.272888102609663</v>
      </c>
      <c r="DF266" s="88">
        <v>-53.290859920693379</v>
      </c>
      <c r="DG266" s="93">
        <v>46023</v>
      </c>
      <c r="DH266" s="91">
        <v>0.04</v>
      </c>
      <c r="DI266" t="s">
        <v>300</v>
      </c>
      <c r="DJ266" s="93"/>
      <c r="DK266" s="91"/>
      <c r="DM266" s="93"/>
      <c r="DN266" s="91"/>
      <c r="DP266" s="93"/>
      <c r="DQ266" s="91"/>
    </row>
    <row r="267" spans="1:121" x14ac:dyDescent="0.3">
      <c r="A267" t="s">
        <v>30</v>
      </c>
      <c r="B267" t="s">
        <v>42</v>
      </c>
      <c r="C267" t="s">
        <v>84</v>
      </c>
      <c r="D267" t="s">
        <v>326</v>
      </c>
      <c r="E267" t="s">
        <v>629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28800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1685.359060141604</v>
      </c>
      <c r="BL267" s="88">
        <v>233.5221592802377</v>
      </c>
      <c r="BM267" s="88">
        <v>233.36922376760609</v>
      </c>
      <c r="BN267" s="88">
        <v>1394.539767054905</v>
      </c>
      <c r="BO267" s="88">
        <v>1394.37576348782</v>
      </c>
      <c r="BP267" s="88">
        <v>1394.2119815668159</v>
      </c>
      <c r="BQ267" s="88">
        <v>1394.0484208428809</v>
      </c>
      <c r="BR267" s="88">
        <v>1393.8824050002791</v>
      </c>
      <c r="BS267" s="88">
        <v>1393.7192889360581</v>
      </c>
      <c r="BT267" s="88">
        <v>1393.5563927218129</v>
      </c>
      <c r="BU267" s="88">
        <v>1393.3937159133529</v>
      </c>
      <c r="BV267" s="88">
        <v>1393.2312580677201</v>
      </c>
      <c r="BW267" s="88">
        <v>1440.0000000000009</v>
      </c>
      <c r="BX267" s="88">
        <v>0</v>
      </c>
      <c r="BY267" s="88">
        <v>0</v>
      </c>
      <c r="BZ267" s="88">
        <v>1152.0000000000009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28800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233.675295372953</v>
      </c>
      <c r="CV267" s="88">
        <v>233.5221592802377</v>
      </c>
      <c r="CW267" s="88">
        <v>233.36922376760609</v>
      </c>
      <c r="CX267" s="88">
        <v>233.21131447587081</v>
      </c>
      <c r="CY267" s="88">
        <v>233.053618738289</v>
      </c>
      <c r="CZ267" s="88">
        <v>232.89613612193989</v>
      </c>
      <c r="DA267" s="88">
        <v>232.7388661950792</v>
      </c>
      <c r="DB267" s="88">
        <v>232.57923557719019</v>
      </c>
      <c r="DC267" s="88">
        <v>232.42239320774939</v>
      </c>
      <c r="DD267" s="88">
        <v>232.26576223251311</v>
      </c>
      <c r="DE267" s="88">
        <v>232.10934222437979</v>
      </c>
      <c r="DF267" s="88">
        <v>231.95313275742461</v>
      </c>
      <c r="DG267" s="93">
        <v>46054</v>
      </c>
      <c r="DH267" s="91">
        <v>0.05</v>
      </c>
      <c r="DI267" t="s">
        <v>300</v>
      </c>
      <c r="DJ267" s="93">
        <v>46478</v>
      </c>
      <c r="DK267" s="91">
        <v>0.04</v>
      </c>
      <c r="DL267" t="s">
        <v>301</v>
      </c>
      <c r="DM267" s="93"/>
      <c r="DN267" s="91"/>
      <c r="DP267" s="93"/>
      <c r="DQ267" s="91"/>
    </row>
    <row r="268" spans="1:121" x14ac:dyDescent="0.3">
      <c r="A268" t="s">
        <v>30</v>
      </c>
      <c r="B268" t="s">
        <v>42</v>
      </c>
      <c r="C268" t="s">
        <v>86</v>
      </c>
      <c r="D268" t="s">
        <v>328</v>
      </c>
      <c r="E268" t="s">
        <v>630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24000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-192.5253568642091</v>
      </c>
      <c r="BL268" s="88">
        <v>-192.65026060566021</v>
      </c>
      <c r="BM268" s="88">
        <v>-192.77532651870999</v>
      </c>
      <c r="BN268" s="88">
        <v>-192.90480280108289</v>
      </c>
      <c r="BO268" s="88">
        <v>-193.03445312413899</v>
      </c>
      <c r="BP268" s="88">
        <v>-193.16427783902949</v>
      </c>
      <c r="BQ268" s="88">
        <v>-193.29427729785121</v>
      </c>
      <c r="BR268" s="88">
        <v>-193.42658732349349</v>
      </c>
      <c r="BS268" s="88">
        <v>-193.5569402094641</v>
      </c>
      <c r="BT268" s="88">
        <v>-193.68746890719461</v>
      </c>
      <c r="BU268" s="88">
        <v>-193.8181737725948</v>
      </c>
      <c r="BV268" s="88">
        <v>-193.949055162566</v>
      </c>
      <c r="BW268" s="88">
        <v>0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24000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-192.5253568642091</v>
      </c>
      <c r="CV268" s="88">
        <v>-192.65026060566021</v>
      </c>
      <c r="CW268" s="88">
        <v>-192.77532651870999</v>
      </c>
      <c r="CX268" s="88">
        <v>-192.90480280108289</v>
      </c>
      <c r="CY268" s="88">
        <v>-193.03445312413899</v>
      </c>
      <c r="CZ268" s="88">
        <v>-193.16427783902949</v>
      </c>
      <c r="DA268" s="88">
        <v>-193.29427729785121</v>
      </c>
      <c r="DB268" s="88">
        <v>-193.42658732349349</v>
      </c>
      <c r="DC268" s="88">
        <v>-193.5569402094641</v>
      </c>
      <c r="DD268" s="88">
        <v>-193.68746890719461</v>
      </c>
      <c r="DE268" s="88">
        <v>-193.8181737725948</v>
      </c>
      <c r="DF268" s="88">
        <v>-193.949055162566</v>
      </c>
      <c r="DG268" s="93"/>
      <c r="DH268" s="91"/>
      <c r="DJ268" s="93"/>
      <c r="DK268" s="91"/>
      <c r="DM268" s="93"/>
      <c r="DN268" s="91"/>
      <c r="DP268" s="93"/>
      <c r="DQ268" s="91"/>
    </row>
    <row r="269" spans="1:121" x14ac:dyDescent="0.3">
      <c r="A269" t="s">
        <v>30</v>
      </c>
      <c r="B269" t="s">
        <v>42</v>
      </c>
      <c r="C269" t="s">
        <v>88</v>
      </c>
      <c r="D269" t="s">
        <v>330</v>
      </c>
      <c r="E269" t="s">
        <v>631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19200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463.2228619560351</v>
      </c>
      <c r="BL269" s="88">
        <v>463.19696868975632</v>
      </c>
      <c r="BM269" s="88">
        <v>463.17109234389869</v>
      </c>
      <c r="BN269" s="88">
        <v>77.592506477112977</v>
      </c>
      <c r="BO269" s="88">
        <v>77.566312667060799</v>
      </c>
      <c r="BP269" s="88">
        <v>77.54013653614038</v>
      </c>
      <c r="BQ269" s="88">
        <v>77.513978066463096</v>
      </c>
      <c r="BR269" s="88">
        <v>77.487408848912764</v>
      </c>
      <c r="BS269" s="88">
        <v>77.461285936929869</v>
      </c>
      <c r="BT269" s="88">
        <v>77.435180632366496</v>
      </c>
      <c r="BU269" s="88">
        <v>77.409092917419287</v>
      </c>
      <c r="BV269" s="88">
        <v>77.383022774327515</v>
      </c>
      <c r="BW269" s="88">
        <v>384.00000000000028</v>
      </c>
      <c r="BX269" s="88">
        <v>384.00000000000028</v>
      </c>
      <c r="BY269" s="88">
        <v>384.00000000000028</v>
      </c>
      <c r="BZ269" s="88">
        <v>0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19200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77.669472505914428</v>
      </c>
      <c r="CV269" s="88">
        <v>77.644086950739677</v>
      </c>
      <c r="CW269" s="88">
        <v>77.61871798421538</v>
      </c>
      <c r="CX269" s="88">
        <v>77.592506477112977</v>
      </c>
      <c r="CY269" s="88">
        <v>77.566312667060799</v>
      </c>
      <c r="CZ269" s="88">
        <v>77.54013653614038</v>
      </c>
      <c r="DA269" s="88">
        <v>77.513978066463096</v>
      </c>
      <c r="DB269" s="88">
        <v>77.487408848912764</v>
      </c>
      <c r="DC269" s="88">
        <v>77.461285936929869</v>
      </c>
      <c r="DD269" s="88">
        <v>77.435180632366496</v>
      </c>
      <c r="DE269" s="88">
        <v>77.409092917419287</v>
      </c>
      <c r="DF269" s="88">
        <v>77.383022774327515</v>
      </c>
      <c r="DG269" s="93">
        <v>46113</v>
      </c>
      <c r="DH269" s="91">
        <v>0.02</v>
      </c>
      <c r="DI269" t="s">
        <v>300</v>
      </c>
      <c r="DJ269" s="93"/>
      <c r="DK269" s="91"/>
      <c r="DM269" s="93"/>
      <c r="DN269" s="91"/>
      <c r="DP269" s="93"/>
      <c r="DQ269" s="91"/>
    </row>
    <row r="270" spans="1:121" x14ac:dyDescent="0.3">
      <c r="A270" t="s">
        <v>30</v>
      </c>
      <c r="B270" t="s">
        <v>42</v>
      </c>
      <c r="C270" t="s">
        <v>90</v>
      </c>
      <c r="D270" t="s">
        <v>332</v>
      </c>
      <c r="E270" t="s">
        <v>632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14400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674.07118583437898</v>
      </c>
      <c r="BL270" s="88">
        <v>673.75229419251173</v>
      </c>
      <c r="BM270" s="88">
        <v>673.43424162690258</v>
      </c>
      <c r="BN270" s="88">
        <v>673.10628632507201</v>
      </c>
      <c r="BO270" s="88">
        <v>233.76623376623581</v>
      </c>
      <c r="BP270" s="88">
        <v>233.44955473139419</v>
      </c>
      <c r="BQ270" s="88">
        <v>233.13373253493211</v>
      </c>
      <c r="BR270" s="88">
        <v>232.81360737066061</v>
      </c>
      <c r="BS270" s="88">
        <v>232.49950235551719</v>
      </c>
      <c r="BT270" s="88">
        <v>232.18624376021671</v>
      </c>
      <c r="BU270" s="88">
        <v>231.87382816808119</v>
      </c>
      <c r="BV270" s="88">
        <v>231.56225218080809</v>
      </c>
      <c r="BW270" s="88">
        <v>432.0000000000004</v>
      </c>
      <c r="BX270" s="88">
        <v>432.0000000000004</v>
      </c>
      <c r="BY270" s="88">
        <v>432.0000000000004</v>
      </c>
      <c r="BZ270" s="88">
        <v>432.0000000000004</v>
      </c>
      <c r="CA270" s="88">
        <v>0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14400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235.02056877124139</v>
      </c>
      <c r="CV270" s="88">
        <v>234.71096523544719</v>
      </c>
      <c r="CW270" s="88">
        <v>234.40217633679799</v>
      </c>
      <c r="CX270" s="88">
        <v>234.08377313113749</v>
      </c>
      <c r="CY270" s="88">
        <v>233.76623376623581</v>
      </c>
      <c r="CZ270" s="88">
        <v>233.44955473139419</v>
      </c>
      <c r="DA270" s="88">
        <v>233.13373253493211</v>
      </c>
      <c r="DB270" s="88">
        <v>232.81360737066061</v>
      </c>
      <c r="DC270" s="88">
        <v>232.49950235551719</v>
      </c>
      <c r="DD270" s="88">
        <v>232.18624376021671</v>
      </c>
      <c r="DE270" s="88">
        <v>231.87382816808119</v>
      </c>
      <c r="DF270" s="88">
        <v>231.56225218080809</v>
      </c>
      <c r="DG270" s="93">
        <v>46143</v>
      </c>
      <c r="DH270" s="91">
        <v>0.03</v>
      </c>
      <c r="DI270" t="s">
        <v>300</v>
      </c>
      <c r="DJ270" s="93"/>
      <c r="DK270" s="91"/>
      <c r="DM270" s="93"/>
      <c r="DN270" s="91"/>
      <c r="DP270" s="93"/>
      <c r="DQ270" s="91"/>
    </row>
    <row r="271" spans="1:121" x14ac:dyDescent="0.3">
      <c r="A271" t="s">
        <v>30</v>
      </c>
      <c r="B271" t="s">
        <v>42</v>
      </c>
      <c r="C271" t="s">
        <v>91</v>
      </c>
      <c r="D271" t="s">
        <v>334</v>
      </c>
      <c r="E271" t="s">
        <v>633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9600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384.00000000000028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0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384.00000000000028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9600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93">
        <v>46600</v>
      </c>
      <c r="DH271" s="91">
        <v>0.04</v>
      </c>
      <c r="DI271" t="s">
        <v>301</v>
      </c>
      <c r="DJ271" s="93"/>
      <c r="DK271" s="91"/>
      <c r="DM271" s="93"/>
      <c r="DN271" s="91"/>
      <c r="DP271" s="93"/>
      <c r="DQ271" s="91"/>
    </row>
    <row r="272" spans="1:121" x14ac:dyDescent="0.3">
      <c r="A272" t="s">
        <v>30</v>
      </c>
      <c r="B272" t="s">
        <v>42</v>
      </c>
      <c r="C272" t="s">
        <v>93</v>
      </c>
      <c r="D272" t="s">
        <v>336</v>
      </c>
      <c r="E272" t="s">
        <v>634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25200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1582.958083231623</v>
      </c>
      <c r="BL272" s="88">
        <v>1582.639807576669</v>
      </c>
      <c r="BM272" s="88">
        <v>1582.322158626323</v>
      </c>
      <c r="BN272" s="88">
        <v>1581.9943988797729</v>
      </c>
      <c r="BO272" s="88">
        <v>1581.667305034224</v>
      </c>
      <c r="BP272" s="88">
        <v>1581.340875062386</v>
      </c>
      <c r="BQ272" s="88">
        <v>305.7286732811433</v>
      </c>
      <c r="BR272" s="88">
        <v>305.41397572758962</v>
      </c>
      <c r="BS272" s="88">
        <v>305.10498557070139</v>
      </c>
      <c r="BT272" s="88">
        <v>304.79661999834377</v>
      </c>
      <c r="BU272" s="88">
        <v>304.48887711864211</v>
      </c>
      <c r="BV272" s="88">
        <v>304.18175504737621</v>
      </c>
      <c r="BW272" s="88">
        <v>1260.0000000000009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0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25200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307.57912688725929</v>
      </c>
      <c r="CV272" s="88">
        <v>307.27600721587612</v>
      </c>
      <c r="CW272" s="88">
        <v>306.97348440602201</v>
      </c>
      <c r="CX272" s="88">
        <v>306.66133226645007</v>
      </c>
      <c r="CY272" s="88">
        <v>306.34981431830812</v>
      </c>
      <c r="CZ272" s="88">
        <v>306.03892863084349</v>
      </c>
      <c r="DA272" s="88">
        <v>305.7286732811433</v>
      </c>
      <c r="DB272" s="88">
        <v>305.41397572758962</v>
      </c>
      <c r="DC272" s="88">
        <v>305.10498557070139</v>
      </c>
      <c r="DD272" s="88">
        <v>304.79661999834377</v>
      </c>
      <c r="DE272" s="88">
        <v>304.48887711864211</v>
      </c>
      <c r="DF272" s="88">
        <v>304.18175504737621</v>
      </c>
      <c r="DG272" s="93">
        <v>46204</v>
      </c>
      <c r="DH272" s="91">
        <v>0.05</v>
      </c>
      <c r="DI272" t="s">
        <v>300</v>
      </c>
      <c r="DJ272" s="93"/>
      <c r="DK272" s="91"/>
      <c r="DM272" s="93"/>
      <c r="DN272" s="91"/>
      <c r="DP272" s="93"/>
      <c r="DQ272" s="91"/>
    </row>
    <row r="273" spans="1:121" x14ac:dyDescent="0.3">
      <c r="A273" t="s">
        <v>30</v>
      </c>
      <c r="B273" t="s">
        <v>42</v>
      </c>
      <c r="C273" t="s">
        <v>94</v>
      </c>
      <c r="D273" t="s">
        <v>338</v>
      </c>
      <c r="E273" t="s">
        <v>635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20400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1137.021208130609</v>
      </c>
      <c r="BL273" s="88">
        <v>1136.9929228123569</v>
      </c>
      <c r="BM273" s="88">
        <v>1136.964619091465</v>
      </c>
      <c r="BN273" s="88">
        <v>1136.935336554372</v>
      </c>
      <c r="BO273" s="88">
        <v>1136.9060343067761</v>
      </c>
      <c r="BP273" s="88">
        <v>1136.8767123287689</v>
      </c>
      <c r="BQ273" s="88">
        <v>1136.8473706004161</v>
      </c>
      <c r="BR273" s="88">
        <v>-82.247615470858591</v>
      </c>
      <c r="BS273" s="88">
        <v>-82.275333974211989</v>
      </c>
      <c r="BT273" s="88">
        <v>-82.3030711668451</v>
      </c>
      <c r="BU273" s="88">
        <v>-82.330827067669475</v>
      </c>
      <c r="BV273" s="88">
        <v>-82.35860169561704</v>
      </c>
      <c r="BW273" s="88">
        <v>1224.0000000000009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0</v>
      </c>
      <c r="CE273" s="88">
        <v>0</v>
      </c>
      <c r="CF273" s="88">
        <v>0</v>
      </c>
      <c r="CG273" s="88">
        <v>0</v>
      </c>
      <c r="CH273" s="88">
        <v>0</v>
      </c>
      <c r="CI273" s="88">
        <v>20400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-82.055464027726771</v>
      </c>
      <c r="CV273" s="88">
        <v>-82.082148290230933</v>
      </c>
      <c r="CW273" s="88">
        <v>-82.108849913711339</v>
      </c>
      <c r="CX273" s="88">
        <v>-82.136474948706081</v>
      </c>
      <c r="CY273" s="88">
        <v>-82.164118578513438</v>
      </c>
      <c r="CZ273" s="88">
        <v>-82.191780821918144</v>
      </c>
      <c r="DA273" s="88">
        <v>-82.219461697722977</v>
      </c>
      <c r="DB273" s="88">
        <v>-82.247615470858591</v>
      </c>
      <c r="DC273" s="88">
        <v>-82.275333974211989</v>
      </c>
      <c r="DD273" s="88">
        <v>-82.3030711668451</v>
      </c>
      <c r="DE273" s="88">
        <v>-82.330827067669475</v>
      </c>
      <c r="DF273" s="88">
        <v>-82.35860169561704</v>
      </c>
      <c r="DG273" s="93">
        <v>46235</v>
      </c>
      <c r="DH273" s="91">
        <v>0.06</v>
      </c>
      <c r="DI273" t="s">
        <v>300</v>
      </c>
      <c r="DJ273" s="93"/>
      <c r="DK273" s="91"/>
      <c r="DM273" s="93"/>
      <c r="DN273" s="91"/>
      <c r="DP273" s="93"/>
      <c r="DQ273" s="91"/>
    </row>
    <row r="274" spans="1:121" x14ac:dyDescent="0.3">
      <c r="A274" t="s">
        <v>30</v>
      </c>
      <c r="B274" t="s">
        <v>42</v>
      </c>
      <c r="C274" t="s">
        <v>95</v>
      </c>
      <c r="D274" t="s">
        <v>340</v>
      </c>
      <c r="E274" t="s">
        <v>636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15600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126.57411832701619</v>
      </c>
      <c r="BL274" s="88">
        <v>126.49116961012869</v>
      </c>
      <c r="BM274" s="88">
        <v>126.4083295407866</v>
      </c>
      <c r="BN274" s="88">
        <v>126.32279534109669</v>
      </c>
      <c r="BO274" s="88">
        <v>126.2373768165732</v>
      </c>
      <c r="BP274" s="88">
        <v>126.1520737327174</v>
      </c>
      <c r="BQ274" s="88">
        <v>126.06688585566791</v>
      </c>
      <c r="BR274" s="88">
        <v>125.980419270978</v>
      </c>
      <c r="BS274" s="88">
        <v>125.89546298753091</v>
      </c>
      <c r="BT274" s="88">
        <v>125.810621209278</v>
      </c>
      <c r="BU274" s="88">
        <v>125.72589370487241</v>
      </c>
      <c r="BV274" s="88">
        <v>125.641280243605</v>
      </c>
      <c r="BW274" s="88">
        <v>0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15600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126.57411832701619</v>
      </c>
      <c r="CV274" s="88">
        <v>126.49116961012869</v>
      </c>
      <c r="CW274" s="88">
        <v>126.4083295407866</v>
      </c>
      <c r="CX274" s="88">
        <v>126.32279534109669</v>
      </c>
      <c r="CY274" s="88">
        <v>126.2373768165732</v>
      </c>
      <c r="CZ274" s="88">
        <v>126.1520737327174</v>
      </c>
      <c r="DA274" s="88">
        <v>126.06688585566791</v>
      </c>
      <c r="DB274" s="88">
        <v>125.980419270978</v>
      </c>
      <c r="DC274" s="88">
        <v>125.89546298753091</v>
      </c>
      <c r="DD274" s="88">
        <v>125.810621209278</v>
      </c>
      <c r="DE274" s="88">
        <v>125.72589370487241</v>
      </c>
      <c r="DF274" s="88">
        <v>125.641280243605</v>
      </c>
      <c r="DG274" s="93"/>
      <c r="DH274" s="91"/>
      <c r="DJ274" s="93"/>
      <c r="DK274" s="91"/>
      <c r="DM274" s="93"/>
      <c r="DN274" s="91"/>
      <c r="DP274" s="93"/>
      <c r="DQ274" s="91"/>
    </row>
    <row r="275" spans="1:121" x14ac:dyDescent="0.3">
      <c r="A275" t="s">
        <v>30</v>
      </c>
      <c r="B275" t="s">
        <v>45</v>
      </c>
      <c r="C275" t="s">
        <v>43</v>
      </c>
      <c r="D275" t="s">
        <v>342</v>
      </c>
      <c r="E275" t="s">
        <v>637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10800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234.76449709344001</v>
      </c>
      <c r="BL275" s="88">
        <v>676.09486837764973</v>
      </c>
      <c r="BM275" s="88">
        <v>676.03458160492301</v>
      </c>
      <c r="BN275" s="88">
        <v>675.97216885776857</v>
      </c>
      <c r="BO275" s="88">
        <v>675.90967221604114</v>
      </c>
      <c r="BP275" s="88">
        <v>675.8470915104748</v>
      </c>
      <c r="BQ275" s="88">
        <v>675.78442657134497</v>
      </c>
      <c r="BR275" s="88">
        <v>675.72064784658585</v>
      </c>
      <c r="BS275" s="88">
        <v>675.65781254143246</v>
      </c>
      <c r="BT275" s="88">
        <v>341.35426455143318</v>
      </c>
      <c r="BU275" s="88">
        <v>341.29309467442721</v>
      </c>
      <c r="BV275" s="88">
        <v>341.23184218392032</v>
      </c>
      <c r="BW275" s="88">
        <v>324.00000000000028</v>
      </c>
      <c r="BX275" s="88">
        <v>768.96000000000163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432.0000000000004</v>
      </c>
      <c r="CG275" s="88">
        <v>432.0000000000004</v>
      </c>
      <c r="CH275" s="88">
        <v>432.0000000000004</v>
      </c>
      <c r="CI275" s="88">
        <v>10800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-86.636410588894108</v>
      </c>
      <c r="CV275" s="88">
        <v>-86.692617272547068</v>
      </c>
      <c r="CW275" s="88">
        <v>-86.748896933419502</v>
      </c>
      <c r="CX275" s="88">
        <v>-86.807161260487305</v>
      </c>
      <c r="CY275" s="88">
        <v>-86.865503905862568</v>
      </c>
      <c r="CZ275" s="88">
        <v>-86.923925027563257</v>
      </c>
      <c r="DA275" s="88">
        <v>-86.982424784033043</v>
      </c>
      <c r="DB275" s="88">
        <v>-87.041964295572072</v>
      </c>
      <c r="DC275" s="88">
        <v>-87.10062309425885</v>
      </c>
      <c r="DD275" s="88">
        <v>-87.159361008237553</v>
      </c>
      <c r="DE275" s="88">
        <v>-87.218178197667669</v>
      </c>
      <c r="DF275" s="88">
        <v>-87.277074823154692</v>
      </c>
      <c r="DG275" s="93">
        <v>46296</v>
      </c>
      <c r="DH275" s="91">
        <v>0.03</v>
      </c>
      <c r="DI275" t="s">
        <v>300</v>
      </c>
      <c r="DJ275" s="93">
        <v>46419</v>
      </c>
      <c r="DK275" s="91">
        <v>0.04</v>
      </c>
      <c r="DL275" t="s">
        <v>301</v>
      </c>
      <c r="DM275" s="93"/>
      <c r="DN275" s="91"/>
      <c r="DP275" s="93"/>
      <c r="DQ275" s="91"/>
    </row>
    <row r="276" spans="1:121" x14ac:dyDescent="0.3">
      <c r="A276" t="s">
        <v>30</v>
      </c>
      <c r="B276" t="s">
        <v>45</v>
      </c>
      <c r="C276" t="s">
        <v>46</v>
      </c>
      <c r="D276" t="s">
        <v>344</v>
      </c>
      <c r="E276" t="s">
        <v>638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26400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1167.0673456834579</v>
      </c>
      <c r="BL276" s="88">
        <v>1167.031044339557</v>
      </c>
      <c r="BM276" s="88">
        <v>1166.994766717431</v>
      </c>
      <c r="BN276" s="88">
        <v>1166.9572842622749</v>
      </c>
      <c r="BO276" s="88">
        <v>1166.9198271138971</v>
      </c>
      <c r="BP276" s="88">
        <v>1166.882395246681</v>
      </c>
      <c r="BQ276" s="88">
        <v>1166.844988635045</v>
      </c>
      <c r="BR276" s="88">
        <v>1166.806994653949</v>
      </c>
      <c r="BS276" s="88">
        <v>1166.76963888981</v>
      </c>
      <c r="BT276" s="88">
        <v>1166.7323083042829</v>
      </c>
      <c r="BU276" s="88">
        <v>106.4375027614515</v>
      </c>
      <c r="BV276" s="88">
        <v>106.4016563147003</v>
      </c>
      <c r="BW276" s="88">
        <v>1056.0000000000009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0</v>
      </c>
      <c r="CH276" s="88">
        <v>0</v>
      </c>
      <c r="CI276" s="88">
        <v>26400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106.7955246956323</v>
      </c>
      <c r="CV276" s="88">
        <v>106.76061955726711</v>
      </c>
      <c r="CW276" s="88">
        <v>106.7257372282961</v>
      </c>
      <c r="CX276" s="88">
        <v>106.68969640603039</v>
      </c>
      <c r="CY276" s="88">
        <v>106.65367991720861</v>
      </c>
      <c r="CZ276" s="88">
        <v>106.61768773719299</v>
      </c>
      <c r="DA276" s="88">
        <v>106.5817198413868</v>
      </c>
      <c r="DB276" s="88">
        <v>106.54518716725509</v>
      </c>
      <c r="DC276" s="88">
        <v>106.50926816327861</v>
      </c>
      <c r="DD276" s="88">
        <v>106.4733733695039</v>
      </c>
      <c r="DE276" s="88">
        <v>106.4375027614515</v>
      </c>
      <c r="DF276" s="88">
        <v>106.4016563147003</v>
      </c>
      <c r="DG276" s="93">
        <v>46327</v>
      </c>
      <c r="DH276" s="91">
        <v>0.04</v>
      </c>
      <c r="DI276" t="s">
        <v>300</v>
      </c>
      <c r="DJ276" s="93"/>
      <c r="DK276" s="91"/>
      <c r="DM276" s="93"/>
      <c r="DN276" s="91"/>
      <c r="DP276" s="93"/>
      <c r="DQ276" s="91"/>
    </row>
    <row r="277" spans="1:121" x14ac:dyDescent="0.3">
      <c r="A277" t="s">
        <v>30</v>
      </c>
      <c r="B277" t="s">
        <v>45</v>
      </c>
      <c r="C277" t="s">
        <v>48</v>
      </c>
      <c r="D277" t="s">
        <v>346</v>
      </c>
      <c r="E277" t="s">
        <v>639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21600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1975.617196768548</v>
      </c>
      <c r="BL277" s="88">
        <v>1897.2972972973</v>
      </c>
      <c r="BM277" s="88">
        <v>2287.8859644200052</v>
      </c>
      <c r="BN277" s="88">
        <v>1072.7516778523491</v>
      </c>
      <c r="BO277" s="88">
        <v>1367.398674148777</v>
      </c>
      <c r="BP277" s="88">
        <v>1594.6708143539599</v>
      </c>
      <c r="BQ277" s="88">
        <v>1516.3408071748879</v>
      </c>
      <c r="BR277" s="88">
        <v>1437.266979310343</v>
      </c>
      <c r="BS277" s="88">
        <v>1601.0746657868681</v>
      </c>
      <c r="BT277" s="88">
        <v>1523.513118430428</v>
      </c>
      <c r="BU277" s="88">
        <v>1446.468422110552</v>
      </c>
      <c r="BV277" s="88">
        <v>1369.9354277315031</v>
      </c>
      <c r="BW277" s="88">
        <v>1080.0000000000009</v>
      </c>
      <c r="BX277" s="88">
        <v>1080.0000000000009</v>
      </c>
      <c r="BY277" s="88">
        <v>1080.0000000000009</v>
      </c>
      <c r="BZ277" s="88">
        <v>0</v>
      </c>
      <c r="CA277" s="88">
        <v>355.35483870967562</v>
      </c>
      <c r="CB277" s="88">
        <v>648.00000000000057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21600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852.96875882718552</v>
      </c>
      <c r="CV277" s="88">
        <v>778.37837837838003</v>
      </c>
      <c r="CW277" s="88">
        <v>1150.36758516191</v>
      </c>
      <c r="CX277" s="88">
        <v>1072.7516778523491</v>
      </c>
      <c r="CY277" s="88">
        <v>995.66356390390638</v>
      </c>
      <c r="CZ277" s="88">
        <v>919.0978780135531</v>
      </c>
      <c r="DA277" s="88">
        <v>843.0493273542611</v>
      </c>
      <c r="DB277" s="88">
        <v>766.27862068965419</v>
      </c>
      <c r="DC277" s="88">
        <v>925.31520950181425</v>
      </c>
      <c r="DD277" s="88">
        <v>850.01273634021948</v>
      </c>
      <c r="DE277" s="88">
        <v>775.21206030150563</v>
      </c>
      <c r="DF277" s="88">
        <v>700.90818226359488</v>
      </c>
      <c r="DG277" s="93">
        <v>46113</v>
      </c>
      <c r="DH277" s="91">
        <v>0.05</v>
      </c>
      <c r="DI277" t="s">
        <v>300</v>
      </c>
      <c r="DJ277" s="93">
        <v>46522</v>
      </c>
      <c r="DK277" s="91">
        <v>0.03</v>
      </c>
      <c r="DL277" t="s">
        <v>301</v>
      </c>
      <c r="DM277" s="93"/>
      <c r="DN277" s="91"/>
      <c r="DP277" s="93"/>
      <c r="DQ277" s="91"/>
    </row>
    <row r="278" spans="1:121" x14ac:dyDescent="0.3">
      <c r="A278" t="s">
        <v>30</v>
      </c>
      <c r="B278" t="s">
        <v>45</v>
      </c>
      <c r="C278" t="s">
        <v>50</v>
      </c>
      <c r="D278" t="s">
        <v>348</v>
      </c>
      <c r="E278" t="s">
        <v>640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16800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1344.0000000000009</v>
      </c>
      <c r="BL278" s="88">
        <v>1344.0000000000009</v>
      </c>
      <c r="BM278" s="88">
        <v>2214.912000000003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806.40000000000077</v>
      </c>
      <c r="BU278" s="88">
        <v>806.40000000000077</v>
      </c>
      <c r="BV278" s="88">
        <v>806.40000000000077</v>
      </c>
      <c r="BW278" s="88">
        <v>1344.0000000000009</v>
      </c>
      <c r="BX278" s="88">
        <v>1344.0000000000009</v>
      </c>
      <c r="BY278" s="88">
        <v>2214.912000000003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806.40000000000077</v>
      </c>
      <c r="CG278" s="88">
        <v>806.40000000000077</v>
      </c>
      <c r="CH278" s="88">
        <v>806.40000000000077</v>
      </c>
      <c r="CI278" s="88">
        <v>16800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93">
        <v>46296</v>
      </c>
      <c r="DH278" s="91">
        <v>0.08</v>
      </c>
      <c r="DI278" t="s">
        <v>300</v>
      </c>
      <c r="DJ278" s="93">
        <v>46447</v>
      </c>
      <c r="DK278" s="91">
        <v>4.8000000000000001E-2</v>
      </c>
      <c r="DL278" t="s">
        <v>301</v>
      </c>
      <c r="DM278" s="93"/>
      <c r="DN278" s="91"/>
      <c r="DP278" s="93"/>
      <c r="DQ278" s="91"/>
    </row>
    <row r="279" spans="1:121" x14ac:dyDescent="0.3">
      <c r="A279" t="s">
        <v>30</v>
      </c>
      <c r="B279" t="s">
        <v>45</v>
      </c>
      <c r="C279" t="s">
        <v>57</v>
      </c>
      <c r="D279" t="s">
        <v>350</v>
      </c>
      <c r="E279" t="s">
        <v>641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12000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389.39557591666937</v>
      </c>
      <c r="BL279" s="88">
        <v>146.32190819803631</v>
      </c>
      <c r="BM279" s="88">
        <v>146.17784971715329</v>
      </c>
      <c r="BN279" s="88">
        <v>146.02920584116671</v>
      </c>
      <c r="BO279" s="88">
        <v>145.8808639610991</v>
      </c>
      <c r="BP279" s="88">
        <v>631.56213608384792</v>
      </c>
      <c r="BQ279" s="88">
        <v>631.4084858154248</v>
      </c>
      <c r="BR279" s="88">
        <v>631.25263559842631</v>
      </c>
      <c r="BS279" s="88">
        <v>631.0996119016803</v>
      </c>
      <c r="BT279" s="88">
        <v>630.94689752299087</v>
      </c>
      <c r="BU279" s="88">
        <v>630.79449152542202</v>
      </c>
      <c r="BV279" s="88">
        <v>630.64239297584288</v>
      </c>
      <c r="BW279" s="88">
        <v>240.0000000000002</v>
      </c>
      <c r="BX279" s="88">
        <v>0</v>
      </c>
      <c r="BY279" s="88">
        <v>0</v>
      </c>
      <c r="BZ279" s="88">
        <v>0</v>
      </c>
      <c r="CA279" s="88">
        <v>0</v>
      </c>
      <c r="CB279" s="88">
        <v>480.00000000000051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12000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146.46625089869491</v>
      </c>
      <c r="CV279" s="88">
        <v>146.32190819803631</v>
      </c>
      <c r="CW279" s="88">
        <v>146.17784971715329</v>
      </c>
      <c r="CX279" s="88">
        <v>146.02920584116671</v>
      </c>
      <c r="CY279" s="88">
        <v>145.8808639610991</v>
      </c>
      <c r="CZ279" s="88">
        <v>145.73282315754449</v>
      </c>
      <c r="DA279" s="88">
        <v>145.58508251483019</v>
      </c>
      <c r="DB279" s="88">
        <v>145.4352265369474</v>
      </c>
      <c r="DC279" s="88">
        <v>145.28808836700071</v>
      </c>
      <c r="DD279" s="88">
        <v>145.141247618259</v>
      </c>
      <c r="DE279" s="88">
        <v>144.9947033898296</v>
      </c>
      <c r="DF279" s="88">
        <v>144.84845478446479</v>
      </c>
      <c r="DG279" s="93">
        <v>46054</v>
      </c>
      <c r="DH279" s="91">
        <v>0.02</v>
      </c>
      <c r="DI279" t="s">
        <v>300</v>
      </c>
      <c r="DJ279" s="93">
        <v>46539</v>
      </c>
      <c r="DK279" s="91">
        <v>0.04</v>
      </c>
      <c r="DL279" t="s">
        <v>301</v>
      </c>
      <c r="DM279" s="93"/>
      <c r="DN279" s="91"/>
      <c r="DP279" s="93"/>
      <c r="DQ279" s="91"/>
    </row>
    <row r="280" spans="1:121" x14ac:dyDescent="0.3">
      <c r="A280" t="s">
        <v>30</v>
      </c>
      <c r="B280" t="s">
        <v>45</v>
      </c>
      <c r="C280" t="s">
        <v>58</v>
      </c>
      <c r="D280" t="s">
        <v>352</v>
      </c>
      <c r="E280" t="s">
        <v>642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27600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-111.01621603751271</v>
      </c>
      <c r="BL280" s="88">
        <v>-111.05231827501829</v>
      </c>
      <c r="BM280" s="88">
        <v>-111.08844400090361</v>
      </c>
      <c r="BN280" s="88">
        <v>-111.1258190482494</v>
      </c>
      <c r="BO280" s="88">
        <v>-111.1632192532829</v>
      </c>
      <c r="BP280" s="88">
        <v>-111.20064464141861</v>
      </c>
      <c r="BQ280" s="88">
        <v>-111.2380952380958</v>
      </c>
      <c r="BR280" s="88">
        <v>-111.27618563704399</v>
      </c>
      <c r="BS280" s="88">
        <v>-111.3136871415809</v>
      </c>
      <c r="BT280" s="88">
        <v>-111.351213931614</v>
      </c>
      <c r="BU280" s="88">
        <v>-111.38876603272929</v>
      </c>
      <c r="BV280" s="88">
        <v>-111.4263434705407</v>
      </c>
      <c r="BW280" s="88">
        <v>0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27600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-111.01621603751271</v>
      </c>
      <c r="CV280" s="88">
        <v>-111.05231827501829</v>
      </c>
      <c r="CW280" s="88">
        <v>-111.08844400090361</v>
      </c>
      <c r="CX280" s="88">
        <v>-111.1258190482494</v>
      </c>
      <c r="CY280" s="88">
        <v>-111.1632192532829</v>
      </c>
      <c r="CZ280" s="88">
        <v>-111.20064464141861</v>
      </c>
      <c r="DA280" s="88">
        <v>-111.2380952380958</v>
      </c>
      <c r="DB280" s="88">
        <v>-111.27618563704399</v>
      </c>
      <c r="DC280" s="88">
        <v>-111.3136871415809</v>
      </c>
      <c r="DD280" s="88">
        <v>-111.351213931614</v>
      </c>
      <c r="DE280" s="88">
        <v>-111.38876603272929</v>
      </c>
      <c r="DF280" s="88">
        <v>-111.4263434705407</v>
      </c>
      <c r="DG280" s="93"/>
      <c r="DH280" s="91"/>
      <c r="DJ280" s="93"/>
      <c r="DK280" s="91"/>
      <c r="DM280" s="93"/>
      <c r="DN280" s="91"/>
      <c r="DP280" s="93"/>
      <c r="DQ280" s="91"/>
    </row>
    <row r="281" spans="1:121" x14ac:dyDescent="0.3">
      <c r="A281" t="s">
        <v>30</v>
      </c>
      <c r="B281" t="s">
        <v>45</v>
      </c>
      <c r="C281" t="s">
        <v>65</v>
      </c>
      <c r="D281" t="s">
        <v>354</v>
      </c>
      <c r="E281" t="s">
        <v>643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22800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1104.392659857064</v>
      </c>
      <c r="BL281" s="88">
        <v>1104.266577807399</v>
      </c>
      <c r="BM281" s="88">
        <v>1104.140660901995</v>
      </c>
      <c r="BN281" s="88">
        <v>184.62562396006439</v>
      </c>
      <c r="BO281" s="88">
        <v>184.5007815011455</v>
      </c>
      <c r="BP281" s="88">
        <v>184.37610776320241</v>
      </c>
      <c r="BQ281" s="88">
        <v>184.2516024044377</v>
      </c>
      <c r="BR281" s="88">
        <v>184.12522816527559</v>
      </c>
      <c r="BS281" s="88">
        <v>184.00106128946831</v>
      </c>
      <c r="BT281" s="88">
        <v>183.87706176740619</v>
      </c>
      <c r="BU281" s="88">
        <v>183.7532292609674</v>
      </c>
      <c r="BV281" s="88">
        <v>183.62956343296119</v>
      </c>
      <c r="BW281" s="88">
        <v>912.0000000000008</v>
      </c>
      <c r="BX281" s="88">
        <v>912.0000000000008</v>
      </c>
      <c r="BY281" s="88">
        <v>912.0000000000008</v>
      </c>
      <c r="BZ281" s="88">
        <v>0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22800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184.99294217025439</v>
      </c>
      <c r="CV281" s="88">
        <v>184.87170943018819</v>
      </c>
      <c r="CW281" s="88">
        <v>184.75063548268821</v>
      </c>
      <c r="CX281" s="88">
        <v>184.62562396006439</v>
      </c>
      <c r="CY281" s="88">
        <v>184.5007815011455</v>
      </c>
      <c r="CZ281" s="88">
        <v>184.37610776320241</v>
      </c>
      <c r="DA281" s="88">
        <v>184.2516024044377</v>
      </c>
      <c r="DB281" s="88">
        <v>184.12522816527559</v>
      </c>
      <c r="DC281" s="88">
        <v>184.00106128946831</v>
      </c>
      <c r="DD281" s="88">
        <v>183.87706176740619</v>
      </c>
      <c r="DE281" s="88">
        <v>183.7532292609674</v>
      </c>
      <c r="DF281" s="88">
        <v>183.62956343296119</v>
      </c>
      <c r="DG281" s="93">
        <v>46113</v>
      </c>
      <c r="DH281" s="91">
        <v>0.04</v>
      </c>
      <c r="DI281" t="s">
        <v>300</v>
      </c>
      <c r="DJ281" s="93"/>
      <c r="DK281" s="91"/>
      <c r="DM281" s="93"/>
      <c r="DN281" s="91"/>
      <c r="DP281" s="93"/>
      <c r="DQ281" s="91"/>
    </row>
    <row r="282" spans="1:121" x14ac:dyDescent="0.3">
      <c r="A282" t="s">
        <v>30</v>
      </c>
      <c r="B282" t="s">
        <v>45</v>
      </c>
      <c r="C282" t="s">
        <v>66</v>
      </c>
      <c r="D282" t="s">
        <v>356</v>
      </c>
      <c r="E282" t="s">
        <v>644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18000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748.38628146943529</v>
      </c>
      <c r="BL282" s="88">
        <v>748.28791977304343</v>
      </c>
      <c r="BM282" s="88">
        <v>748.18943036651706</v>
      </c>
      <c r="BN282" s="88">
        <v>748.08746779414776</v>
      </c>
      <c r="BO282" s="88">
        <v>-144.77583984310431</v>
      </c>
      <c r="BP282" s="88">
        <v>-144.87320837927211</v>
      </c>
      <c r="BQ282" s="88">
        <v>-144.97070797338839</v>
      </c>
      <c r="BR282" s="88">
        <v>-145.06994049262011</v>
      </c>
      <c r="BS282" s="88">
        <v>-145.16770515709811</v>
      </c>
      <c r="BT282" s="88">
        <v>-145.26560168039589</v>
      </c>
      <c r="BU282" s="88">
        <v>-145.3636303294461</v>
      </c>
      <c r="BV282" s="88">
        <v>-145.46179137192451</v>
      </c>
      <c r="BW282" s="88">
        <v>900.0000000000008</v>
      </c>
      <c r="BX282" s="88">
        <v>900.0000000000008</v>
      </c>
      <c r="BY282" s="88">
        <v>900.0000000000008</v>
      </c>
      <c r="BZ282" s="88">
        <v>900.0000000000008</v>
      </c>
      <c r="CA282" s="88">
        <v>0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18000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-144.39401764815679</v>
      </c>
      <c r="CV282" s="88">
        <v>-144.48769545424511</v>
      </c>
      <c r="CW282" s="88">
        <v>-144.58149488903251</v>
      </c>
      <c r="CX282" s="88">
        <v>-144.67860210081221</v>
      </c>
      <c r="CY282" s="88">
        <v>-144.77583984310431</v>
      </c>
      <c r="CZ282" s="88">
        <v>-144.87320837927211</v>
      </c>
      <c r="DA282" s="88">
        <v>-144.97070797338839</v>
      </c>
      <c r="DB282" s="88">
        <v>-145.06994049262011</v>
      </c>
      <c r="DC282" s="88">
        <v>-145.16770515709811</v>
      </c>
      <c r="DD282" s="88">
        <v>-145.26560168039589</v>
      </c>
      <c r="DE282" s="88">
        <v>-145.3636303294461</v>
      </c>
      <c r="DF282" s="88">
        <v>-145.46179137192451</v>
      </c>
      <c r="DG282" s="93">
        <v>46143</v>
      </c>
      <c r="DH282" s="91">
        <v>0.05</v>
      </c>
      <c r="DI282" t="s">
        <v>300</v>
      </c>
      <c r="DJ282" s="93"/>
      <c r="DK282" s="91"/>
      <c r="DM282" s="93"/>
      <c r="DN282" s="91"/>
      <c r="DP282" s="93"/>
      <c r="DQ282" s="91"/>
    </row>
    <row r="283" spans="1:121" x14ac:dyDescent="0.3">
      <c r="A283" t="s">
        <v>30</v>
      </c>
      <c r="B283" t="s">
        <v>45</v>
      </c>
      <c r="C283" t="s">
        <v>67</v>
      </c>
      <c r="D283" t="s">
        <v>358</v>
      </c>
      <c r="E283" t="s">
        <v>645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13200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53.397762347816169</v>
      </c>
      <c r="BL283" s="88">
        <v>53.380309778633531</v>
      </c>
      <c r="BM283" s="88">
        <v>53.36286861414807</v>
      </c>
      <c r="BN283" s="88">
        <v>53.344848203015182</v>
      </c>
      <c r="BO283" s="88">
        <v>53.326839958604303</v>
      </c>
      <c r="BP283" s="88">
        <v>53.308843868596512</v>
      </c>
      <c r="BQ283" s="88">
        <v>53.290859920693379</v>
      </c>
      <c r="BR283" s="88">
        <v>53.272593583627533</v>
      </c>
      <c r="BS283" s="88">
        <v>53.254634081639281</v>
      </c>
      <c r="BT283" s="88">
        <v>583.36615415214146</v>
      </c>
      <c r="BU283" s="88">
        <v>583.34750143595488</v>
      </c>
      <c r="BV283" s="88">
        <v>583.32886128364521</v>
      </c>
      <c r="BW283" s="88">
        <v>0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528.00000000000045</v>
      </c>
      <c r="CG283" s="88">
        <v>528.00000000000045</v>
      </c>
      <c r="CH283" s="88">
        <v>528.00000000000045</v>
      </c>
      <c r="CI283" s="88">
        <v>13200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53.397762347816169</v>
      </c>
      <c r="CV283" s="88">
        <v>53.380309778633531</v>
      </c>
      <c r="CW283" s="88">
        <v>53.36286861414807</v>
      </c>
      <c r="CX283" s="88">
        <v>53.344848203015182</v>
      </c>
      <c r="CY283" s="88">
        <v>53.326839958604303</v>
      </c>
      <c r="CZ283" s="88">
        <v>53.308843868596512</v>
      </c>
      <c r="DA283" s="88">
        <v>53.290859920693379</v>
      </c>
      <c r="DB283" s="88">
        <v>53.272593583627533</v>
      </c>
      <c r="DC283" s="88">
        <v>53.254634081639281</v>
      </c>
      <c r="DD283" s="88">
        <v>53.236686684751973</v>
      </c>
      <c r="DE283" s="88">
        <v>53.218751380725763</v>
      </c>
      <c r="DF283" s="88">
        <v>53.200828157350173</v>
      </c>
      <c r="DG283" s="93">
        <v>46661</v>
      </c>
      <c r="DH283" s="91">
        <v>0.04</v>
      </c>
      <c r="DI283" t="s">
        <v>301</v>
      </c>
      <c r="DJ283" s="93"/>
      <c r="DK283" s="91"/>
      <c r="DM283" s="93"/>
      <c r="DN283" s="91"/>
      <c r="DP283" s="93"/>
      <c r="DQ283" s="91"/>
    </row>
    <row r="284" spans="1:121" x14ac:dyDescent="0.3">
      <c r="A284" t="s">
        <v>30</v>
      </c>
      <c r="B284" t="s">
        <v>45</v>
      </c>
      <c r="C284" t="s">
        <v>73</v>
      </c>
      <c r="D284" t="s">
        <v>360</v>
      </c>
      <c r="E284" t="s">
        <v>646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28800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1055.441960293331</v>
      </c>
      <c r="BL284" s="88">
        <v>1054.8103690803121</v>
      </c>
      <c r="BM284" s="88">
        <v>1054.1804397270689</v>
      </c>
      <c r="BN284" s="88">
        <v>1053.530897187519</v>
      </c>
      <c r="BO284" s="88">
        <v>1052.88311688312</v>
      </c>
      <c r="BP284" s="88">
        <v>1052.237091652044</v>
      </c>
      <c r="BQ284" s="88">
        <v>466.2674650698641</v>
      </c>
      <c r="BR284" s="88">
        <v>465.62721474132121</v>
      </c>
      <c r="BS284" s="88">
        <v>464.99900471103427</v>
      </c>
      <c r="BT284" s="88">
        <v>464.37248752043342</v>
      </c>
      <c r="BU284" s="88">
        <v>463.74765633616232</v>
      </c>
      <c r="BV284" s="88">
        <v>463.12450436161612</v>
      </c>
      <c r="BW284" s="88">
        <v>576.00000000000045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0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28800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470.04113754248277</v>
      </c>
      <c r="CV284" s="88">
        <v>469.42193047089449</v>
      </c>
      <c r="CW284" s="88">
        <v>468.80435267359599</v>
      </c>
      <c r="CX284" s="88">
        <v>468.16754626227493</v>
      </c>
      <c r="CY284" s="88">
        <v>467.53246753247168</v>
      </c>
      <c r="CZ284" s="88">
        <v>466.89910946278837</v>
      </c>
      <c r="DA284" s="88">
        <v>466.2674650698641</v>
      </c>
      <c r="DB284" s="88">
        <v>465.62721474132121</v>
      </c>
      <c r="DC284" s="88">
        <v>464.99900471103427</v>
      </c>
      <c r="DD284" s="88">
        <v>464.37248752043342</v>
      </c>
      <c r="DE284" s="88">
        <v>463.74765633616232</v>
      </c>
      <c r="DF284" s="88">
        <v>463.12450436161612</v>
      </c>
      <c r="DG284" s="93">
        <v>46204</v>
      </c>
      <c r="DH284" s="91">
        <v>0.02</v>
      </c>
      <c r="DI284" t="s">
        <v>300</v>
      </c>
      <c r="DJ284" s="93"/>
      <c r="DK284" s="91"/>
      <c r="DM284" s="93"/>
      <c r="DN284" s="91"/>
      <c r="DP284" s="93"/>
      <c r="DQ284" s="91"/>
    </row>
    <row r="285" spans="1:121" x14ac:dyDescent="0.3">
      <c r="A285" t="s">
        <v>30</v>
      </c>
      <c r="B285" t="s">
        <v>45</v>
      </c>
      <c r="C285" t="s">
        <v>78</v>
      </c>
      <c r="D285" t="s">
        <v>362</v>
      </c>
      <c r="E285" t="s">
        <v>647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24000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720.00000000000068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0</v>
      </c>
      <c r="BS285" s="88">
        <v>0</v>
      </c>
      <c r="BT285" s="88">
        <v>0</v>
      </c>
      <c r="BU285" s="88">
        <v>0</v>
      </c>
      <c r="BV285" s="88">
        <v>0</v>
      </c>
      <c r="BW285" s="88">
        <v>720.00000000000068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0</v>
      </c>
      <c r="CE285" s="88">
        <v>0</v>
      </c>
      <c r="CF285" s="88">
        <v>0</v>
      </c>
      <c r="CG285" s="88">
        <v>0</v>
      </c>
      <c r="CH285" s="88">
        <v>0</v>
      </c>
      <c r="CI285" s="88">
        <v>24000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93">
        <v>46235</v>
      </c>
      <c r="DH285" s="91">
        <v>0.03</v>
      </c>
      <c r="DI285" t="s">
        <v>300</v>
      </c>
      <c r="DJ285" s="93"/>
      <c r="DK285" s="91"/>
      <c r="DM285" s="93"/>
      <c r="DN285" s="91"/>
      <c r="DP285" s="93"/>
      <c r="DQ285" s="91"/>
    </row>
    <row r="286" spans="1:121" x14ac:dyDescent="0.3">
      <c r="A286" t="s">
        <v>30</v>
      </c>
      <c r="B286" t="s">
        <v>45</v>
      </c>
      <c r="C286" t="s">
        <v>80</v>
      </c>
      <c r="D286" t="s">
        <v>364</v>
      </c>
      <c r="E286" t="s">
        <v>648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19200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234.34600143791189</v>
      </c>
      <c r="BL286" s="88">
        <v>234.11505311685801</v>
      </c>
      <c r="BM286" s="88">
        <v>233.88455954744529</v>
      </c>
      <c r="BN286" s="88">
        <v>233.64672934586679</v>
      </c>
      <c r="BO286" s="88">
        <v>233.40938233775859</v>
      </c>
      <c r="BP286" s="88">
        <v>233.1725170520713</v>
      </c>
      <c r="BQ286" s="88">
        <v>232.93613202372819</v>
      </c>
      <c r="BR286" s="88">
        <v>232.69636245911579</v>
      </c>
      <c r="BS286" s="88">
        <v>232.4609413872011</v>
      </c>
      <c r="BT286" s="88">
        <v>232.22599618921441</v>
      </c>
      <c r="BU286" s="88">
        <v>231.9915254237273</v>
      </c>
      <c r="BV286" s="88">
        <v>231.75752765514369</v>
      </c>
      <c r="BW286" s="88">
        <v>0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19200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234.34600143791189</v>
      </c>
      <c r="CV286" s="88">
        <v>234.11505311685801</v>
      </c>
      <c r="CW286" s="88">
        <v>233.88455954744529</v>
      </c>
      <c r="CX286" s="88">
        <v>233.64672934586679</v>
      </c>
      <c r="CY286" s="88">
        <v>233.40938233775859</v>
      </c>
      <c r="CZ286" s="88">
        <v>233.1725170520713</v>
      </c>
      <c r="DA286" s="88">
        <v>232.93613202372819</v>
      </c>
      <c r="DB286" s="88">
        <v>232.69636245911579</v>
      </c>
      <c r="DC286" s="88">
        <v>232.4609413872011</v>
      </c>
      <c r="DD286" s="88">
        <v>232.22599618921441</v>
      </c>
      <c r="DE286" s="88">
        <v>231.9915254237273</v>
      </c>
      <c r="DF286" s="88">
        <v>231.75752765514369</v>
      </c>
      <c r="DG286" s="93"/>
      <c r="DH286" s="91"/>
      <c r="DJ286" s="93"/>
      <c r="DK286" s="91"/>
      <c r="DM286" s="93"/>
      <c r="DN286" s="91"/>
      <c r="DP286" s="93"/>
      <c r="DQ286" s="91"/>
    </row>
    <row r="287" spans="1:121" x14ac:dyDescent="0.3">
      <c r="A287" t="s">
        <v>30</v>
      </c>
      <c r="B287" t="s">
        <v>45</v>
      </c>
      <c r="C287" t="s">
        <v>82</v>
      </c>
      <c r="D287" t="s">
        <v>366</v>
      </c>
      <c r="E287" t="s">
        <v>649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14400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659.18242077944922</v>
      </c>
      <c r="BL287" s="88">
        <v>659.16264303194862</v>
      </c>
      <c r="BM287" s="88">
        <v>659.14285241689788</v>
      </c>
      <c r="BN287" s="88">
        <v>1261.4872724865991</v>
      </c>
      <c r="BO287" s="88">
        <v>1261.465964126304</v>
      </c>
      <c r="BP287" s="88">
        <v>1261.4446414182121</v>
      </c>
      <c r="BQ287" s="88">
        <v>1261.4233043478259</v>
      </c>
      <c r="BR287" s="88">
        <v>1261.4016027570519</v>
      </c>
      <c r="BS287" s="88">
        <v>1261.3802366824691</v>
      </c>
      <c r="BT287" s="88">
        <v>515.57986304927999</v>
      </c>
      <c r="BU287" s="88">
        <v>515.55948695267477</v>
      </c>
      <c r="BV287" s="88">
        <v>515.53909710815799</v>
      </c>
      <c r="BW287" s="88">
        <v>720.00000000000068</v>
      </c>
      <c r="BX287" s="88">
        <v>720.00000000000068</v>
      </c>
      <c r="BY287" s="88">
        <v>720.00000000000068</v>
      </c>
      <c r="BZ287" s="88">
        <v>1324.8000000000011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576.00000000000045</v>
      </c>
      <c r="CG287" s="88">
        <v>576.00000000000045</v>
      </c>
      <c r="CH287" s="88">
        <v>576.00000000000045</v>
      </c>
      <c r="CI287" s="88">
        <v>14400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-57.921504019571827</v>
      </c>
      <c r="CV287" s="88">
        <v>-57.940339969574772</v>
      </c>
      <c r="CW287" s="88">
        <v>-57.959188174384479</v>
      </c>
      <c r="CX287" s="88">
        <v>-57.978688199086648</v>
      </c>
      <c r="CY287" s="88">
        <v>-57.998201349538903</v>
      </c>
      <c r="CZ287" s="88">
        <v>-58.017727639001038</v>
      </c>
      <c r="DA287" s="88">
        <v>-58.037267080745643</v>
      </c>
      <c r="DB287" s="88">
        <v>-58.057140332370771</v>
      </c>
      <c r="DC287" s="88">
        <v>-58.076706334737871</v>
      </c>
      <c r="DD287" s="88">
        <v>-58.096285529537717</v>
      </c>
      <c r="DE287" s="88">
        <v>-58.11587793011963</v>
      </c>
      <c r="DF287" s="88">
        <v>-58.135483549847322</v>
      </c>
      <c r="DG287" s="93">
        <v>46296</v>
      </c>
      <c r="DH287" s="91">
        <v>0.05</v>
      </c>
      <c r="DI287" t="s">
        <v>300</v>
      </c>
      <c r="DJ287" s="93">
        <v>46478</v>
      </c>
      <c r="DK287" s="91">
        <v>0.04</v>
      </c>
      <c r="DL287" t="s">
        <v>301</v>
      </c>
      <c r="DM287" s="93"/>
      <c r="DN287" s="91"/>
      <c r="DP287" s="93"/>
      <c r="DQ287" s="91"/>
    </row>
    <row r="288" spans="1:121" x14ac:dyDescent="0.3">
      <c r="A288" t="s">
        <v>30</v>
      </c>
      <c r="B288" t="s">
        <v>45</v>
      </c>
      <c r="C288" t="s">
        <v>84</v>
      </c>
      <c r="D288" t="s">
        <v>368</v>
      </c>
      <c r="E288" t="s">
        <v>650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9600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658.56527103177746</v>
      </c>
      <c r="BL288" s="88">
        <v>658.51116294568465</v>
      </c>
      <c r="BM288" s="88">
        <v>658.45712573122057</v>
      </c>
      <c r="BN288" s="88">
        <v>658.4013311148077</v>
      </c>
      <c r="BO288" s="88">
        <v>658.34561195419633</v>
      </c>
      <c r="BP288" s="88">
        <v>658.28996809641899</v>
      </c>
      <c r="BQ288" s="88">
        <v>658.2343993889275</v>
      </c>
      <c r="BR288" s="88">
        <v>658.17799657060755</v>
      </c>
      <c r="BS288" s="88">
        <v>658.12257893340632</v>
      </c>
      <c r="BT288" s="88">
        <v>658.06723598882184</v>
      </c>
      <c r="BU288" s="88">
        <v>77.369780741459948</v>
      </c>
      <c r="BV288" s="88">
        <v>77.317710919141547</v>
      </c>
      <c r="BW288" s="88">
        <v>576.00000000000045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0</v>
      </c>
      <c r="CH288" s="88">
        <v>0</v>
      </c>
      <c r="CI288" s="88">
        <v>9600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77.891765124317658</v>
      </c>
      <c r="CV288" s="88">
        <v>77.840719760079224</v>
      </c>
      <c r="CW288" s="88">
        <v>77.789741255868705</v>
      </c>
      <c r="CX288" s="88">
        <v>77.73710482529026</v>
      </c>
      <c r="CY288" s="88">
        <v>77.684539579429668</v>
      </c>
      <c r="CZ288" s="88">
        <v>77.632045373979963</v>
      </c>
      <c r="DA288" s="88">
        <v>77.579622065026399</v>
      </c>
      <c r="DB288" s="88">
        <v>77.526411859063415</v>
      </c>
      <c r="DC288" s="88">
        <v>77.474131069249808</v>
      </c>
      <c r="DD288" s="88">
        <v>77.421920744171047</v>
      </c>
      <c r="DE288" s="88">
        <v>77.369780741459948</v>
      </c>
      <c r="DF288" s="88">
        <v>77.317710919141547</v>
      </c>
      <c r="DG288" s="93">
        <v>46327</v>
      </c>
      <c r="DH288" s="91">
        <v>0.06</v>
      </c>
      <c r="DI288" t="s">
        <v>300</v>
      </c>
      <c r="DJ288" s="93"/>
      <c r="DK288" s="91"/>
      <c r="DM288" s="93"/>
      <c r="DN288" s="91"/>
      <c r="DP288" s="93"/>
      <c r="DQ288" s="91"/>
    </row>
    <row r="289" spans="1:121" x14ac:dyDescent="0.3">
      <c r="A289" t="s">
        <v>30</v>
      </c>
      <c r="B289" t="s">
        <v>45</v>
      </c>
      <c r="C289" t="s">
        <v>86</v>
      </c>
      <c r="D289" t="s">
        <v>370</v>
      </c>
      <c r="E289" t="s">
        <v>651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25200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-202.15162470741959</v>
      </c>
      <c r="BL289" s="88">
        <v>-202.28277363594319</v>
      </c>
      <c r="BM289" s="88">
        <v>-202.4140928446455</v>
      </c>
      <c r="BN289" s="88">
        <v>-202.55004294113709</v>
      </c>
      <c r="BO289" s="88">
        <v>-202.68617578034599</v>
      </c>
      <c r="BP289" s="88">
        <v>-202.82249173098089</v>
      </c>
      <c r="BQ289" s="88">
        <v>-202.95899116274381</v>
      </c>
      <c r="BR289" s="88">
        <v>-203.09791668966821</v>
      </c>
      <c r="BS289" s="88">
        <v>-203.23478721993729</v>
      </c>
      <c r="BT289" s="88">
        <v>-203.3718423525543</v>
      </c>
      <c r="BU289" s="88">
        <v>-203.50908246122461</v>
      </c>
      <c r="BV289" s="88">
        <v>-203.64650792069429</v>
      </c>
      <c r="BW289" s="88">
        <v>0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25200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-202.15162470741959</v>
      </c>
      <c r="CV289" s="88">
        <v>-202.28277363594319</v>
      </c>
      <c r="CW289" s="88">
        <v>-202.4140928446455</v>
      </c>
      <c r="CX289" s="88">
        <v>-202.55004294113709</v>
      </c>
      <c r="CY289" s="88">
        <v>-202.68617578034599</v>
      </c>
      <c r="CZ289" s="88">
        <v>-202.82249173098089</v>
      </c>
      <c r="DA289" s="88">
        <v>-202.95899116274381</v>
      </c>
      <c r="DB289" s="88">
        <v>-203.09791668966821</v>
      </c>
      <c r="DC289" s="88">
        <v>-203.23478721993729</v>
      </c>
      <c r="DD289" s="88">
        <v>-203.3718423525543</v>
      </c>
      <c r="DE289" s="88">
        <v>-203.50908246122461</v>
      </c>
      <c r="DF289" s="88">
        <v>-203.64650792069429</v>
      </c>
      <c r="DG289" s="93"/>
      <c r="DH289" s="91"/>
      <c r="DJ289" s="93"/>
      <c r="DK289" s="91"/>
      <c r="DM289" s="93"/>
      <c r="DN289" s="91"/>
      <c r="DP289" s="93"/>
      <c r="DQ289" s="91"/>
    </row>
    <row r="290" spans="1:121" x14ac:dyDescent="0.3">
      <c r="A290" t="s">
        <v>30</v>
      </c>
      <c r="B290" t="s">
        <v>45</v>
      </c>
      <c r="C290" t="s">
        <v>88</v>
      </c>
      <c r="D290" t="s">
        <v>372</v>
      </c>
      <c r="E290" t="s">
        <v>652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20400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82.523814537534079</v>
      </c>
      <c r="BL290" s="88">
        <v>82.496842385160903</v>
      </c>
      <c r="BM290" s="88">
        <v>82.469887858228844</v>
      </c>
      <c r="BN290" s="88">
        <v>82.442038131932534</v>
      </c>
      <c r="BO290" s="88">
        <v>82.414207208752103</v>
      </c>
      <c r="BP290" s="88">
        <v>82.386395069649154</v>
      </c>
      <c r="BQ290" s="88">
        <v>82.35860169561704</v>
      </c>
      <c r="BR290" s="88">
        <v>82.330371901969812</v>
      </c>
      <c r="BS290" s="88">
        <v>82.302616307987989</v>
      </c>
      <c r="BT290" s="88">
        <v>82.274879421889409</v>
      </c>
      <c r="BU290" s="88">
        <v>82.247161224757988</v>
      </c>
      <c r="BV290" s="88">
        <v>82.219461697722977</v>
      </c>
      <c r="BW290" s="88">
        <v>0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20400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82.523814537534079</v>
      </c>
      <c r="CV290" s="88">
        <v>82.496842385160903</v>
      </c>
      <c r="CW290" s="88">
        <v>82.469887858228844</v>
      </c>
      <c r="CX290" s="88">
        <v>82.442038131932534</v>
      </c>
      <c r="CY290" s="88">
        <v>82.414207208752103</v>
      </c>
      <c r="CZ290" s="88">
        <v>82.386395069649154</v>
      </c>
      <c r="DA290" s="88">
        <v>82.35860169561704</v>
      </c>
      <c r="DB290" s="88">
        <v>82.330371901969812</v>
      </c>
      <c r="DC290" s="88">
        <v>82.302616307987989</v>
      </c>
      <c r="DD290" s="88">
        <v>82.274879421889409</v>
      </c>
      <c r="DE290" s="88">
        <v>82.247161224757988</v>
      </c>
      <c r="DF290" s="88">
        <v>82.219461697722977</v>
      </c>
      <c r="DG290" s="93">
        <v>46023</v>
      </c>
      <c r="DH290" s="91">
        <v>0.03</v>
      </c>
      <c r="DI290" t="s">
        <v>300</v>
      </c>
      <c r="DJ290" s="93"/>
      <c r="DK290" s="91"/>
      <c r="DM290" s="93"/>
      <c r="DN290" s="91"/>
      <c r="DP290" s="93"/>
      <c r="DQ290" s="91"/>
    </row>
    <row r="291" spans="1:121" x14ac:dyDescent="0.3">
      <c r="A291" t="s">
        <v>30</v>
      </c>
      <c r="B291" t="s">
        <v>45</v>
      </c>
      <c r="C291" t="s">
        <v>90</v>
      </c>
      <c r="D291" t="s">
        <v>374</v>
      </c>
      <c r="E291" t="s">
        <v>653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15600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888.78984081560031</v>
      </c>
      <c r="BL291" s="88">
        <v>254.27021233840119</v>
      </c>
      <c r="BM291" s="88">
        <v>253.93569103153121</v>
      </c>
      <c r="BN291" s="88">
        <v>253.59075422539891</v>
      </c>
      <c r="BO291" s="88">
        <v>253.2467532467555</v>
      </c>
      <c r="BP291" s="88">
        <v>252.90368429234371</v>
      </c>
      <c r="BQ291" s="88">
        <v>252.5615435795097</v>
      </c>
      <c r="BR291" s="88">
        <v>886.30333097094547</v>
      </c>
      <c r="BS291" s="88">
        <v>885.94943932054821</v>
      </c>
      <c r="BT291" s="88">
        <v>885.59650130317971</v>
      </c>
      <c r="BU291" s="88">
        <v>885.24451306937101</v>
      </c>
      <c r="BV291" s="88">
        <v>884.89347079037759</v>
      </c>
      <c r="BW291" s="88">
        <v>624.00000000000057</v>
      </c>
      <c r="BX291" s="88">
        <v>0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624.00000000000057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15600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254.60561616884479</v>
      </c>
      <c r="CV291" s="88">
        <v>254.27021233840119</v>
      </c>
      <c r="CW291" s="88">
        <v>253.93569103153121</v>
      </c>
      <c r="CX291" s="88">
        <v>253.59075422539891</v>
      </c>
      <c r="CY291" s="88">
        <v>253.2467532467555</v>
      </c>
      <c r="CZ291" s="88">
        <v>252.90368429234371</v>
      </c>
      <c r="DA291" s="88">
        <v>252.5615435795097</v>
      </c>
      <c r="DB291" s="88">
        <v>252.2147413182156</v>
      </c>
      <c r="DC291" s="88">
        <v>251.87446088514361</v>
      </c>
      <c r="DD291" s="88">
        <v>251.53509740690151</v>
      </c>
      <c r="DE291" s="88">
        <v>251.1966471820879</v>
      </c>
      <c r="DF291" s="88">
        <v>250.8591065292087</v>
      </c>
      <c r="DG291" s="93">
        <v>46054</v>
      </c>
      <c r="DH291" s="91">
        <v>0.04</v>
      </c>
      <c r="DI291" t="s">
        <v>300</v>
      </c>
      <c r="DJ291" s="93">
        <v>46600</v>
      </c>
      <c r="DK291" s="91">
        <v>0.04</v>
      </c>
      <c r="DL291" t="s">
        <v>301</v>
      </c>
      <c r="DM291" s="93"/>
      <c r="DN291" s="91"/>
      <c r="DP291" s="93"/>
      <c r="DQ291" s="91"/>
    </row>
    <row r="292" spans="1:121" x14ac:dyDescent="0.3">
      <c r="A292" t="s">
        <v>30</v>
      </c>
      <c r="B292" t="s">
        <v>45</v>
      </c>
      <c r="C292" t="s">
        <v>91</v>
      </c>
      <c r="D292" t="s">
        <v>376</v>
      </c>
      <c r="E292" t="s">
        <v>654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10800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10800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93"/>
      <c r="DH292" s="91"/>
      <c r="DJ292" s="93"/>
      <c r="DK292" s="91"/>
      <c r="DM292" s="93"/>
      <c r="DN292" s="91"/>
      <c r="DP292" s="93"/>
      <c r="DQ292" s="91"/>
    </row>
    <row r="293" spans="1:121" x14ac:dyDescent="0.3">
      <c r="A293" t="s">
        <v>30</v>
      </c>
      <c r="B293" t="s">
        <v>45</v>
      </c>
      <c r="C293" t="s">
        <v>93</v>
      </c>
      <c r="D293" t="s">
        <v>378</v>
      </c>
      <c r="E293" t="s">
        <v>655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26400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1925.55929709576</v>
      </c>
      <c r="BL293" s="88">
        <v>1925.222689917822</v>
      </c>
      <c r="BM293" s="88">
        <v>1924.8867455404029</v>
      </c>
      <c r="BN293" s="88">
        <v>321.26425285056678</v>
      </c>
      <c r="BO293" s="88">
        <v>320.93790071441799</v>
      </c>
      <c r="BP293" s="88">
        <v>320.612210946598</v>
      </c>
      <c r="BQ293" s="88">
        <v>320.28718153262628</v>
      </c>
      <c r="BR293" s="88">
        <v>319.95749838128432</v>
      </c>
      <c r="BS293" s="88">
        <v>319.63379440740152</v>
      </c>
      <c r="BT293" s="88">
        <v>319.31074476016983</v>
      </c>
      <c r="BU293" s="88">
        <v>318.98834745762503</v>
      </c>
      <c r="BV293" s="88">
        <v>318.66660052582267</v>
      </c>
      <c r="BW293" s="88">
        <v>1584.0000000000009</v>
      </c>
      <c r="BX293" s="88">
        <v>1584.0000000000009</v>
      </c>
      <c r="BY293" s="88">
        <v>1584.0000000000009</v>
      </c>
      <c r="BZ293" s="88">
        <v>0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26400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322.22575197712882</v>
      </c>
      <c r="CV293" s="88">
        <v>321.90819803567979</v>
      </c>
      <c r="CW293" s="88">
        <v>321.59126937773732</v>
      </c>
      <c r="CX293" s="88">
        <v>321.26425285056678</v>
      </c>
      <c r="CY293" s="88">
        <v>320.93790071441799</v>
      </c>
      <c r="CZ293" s="88">
        <v>320.612210946598</v>
      </c>
      <c r="DA293" s="88">
        <v>320.28718153262628</v>
      </c>
      <c r="DB293" s="88">
        <v>319.95749838128432</v>
      </c>
      <c r="DC293" s="88">
        <v>319.63379440740152</v>
      </c>
      <c r="DD293" s="88">
        <v>319.31074476016983</v>
      </c>
      <c r="DE293" s="88">
        <v>318.98834745762503</v>
      </c>
      <c r="DF293" s="88">
        <v>318.66660052582267</v>
      </c>
      <c r="DG293" s="93">
        <v>46113</v>
      </c>
      <c r="DH293" s="91">
        <v>0.06</v>
      </c>
      <c r="DI293" t="s">
        <v>300</v>
      </c>
      <c r="DJ293" s="93"/>
      <c r="DK293" s="91"/>
      <c r="DM293" s="93"/>
      <c r="DN293" s="91"/>
      <c r="DP293" s="93"/>
      <c r="DQ293" s="91"/>
    </row>
    <row r="294" spans="1:121" x14ac:dyDescent="0.3">
      <c r="A294" t="s">
        <v>30</v>
      </c>
      <c r="B294" t="s">
        <v>45</v>
      </c>
      <c r="C294" t="s">
        <v>94</v>
      </c>
      <c r="D294" t="s">
        <v>380</v>
      </c>
      <c r="E294" t="s">
        <v>656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21600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343.3800988500563</v>
      </c>
      <c r="BL294" s="88">
        <v>343.35127984654952</v>
      </c>
      <c r="BM294" s="88">
        <v>343.32244209318981</v>
      </c>
      <c r="BN294" s="88">
        <v>343.29260705539753</v>
      </c>
      <c r="BO294" s="88">
        <v>-86.997302024308354</v>
      </c>
      <c r="BP294" s="88">
        <v>-87.026591458501557</v>
      </c>
      <c r="BQ294" s="88">
        <v>-87.055900621118454</v>
      </c>
      <c r="BR294" s="88">
        <v>-87.085710498556153</v>
      </c>
      <c r="BS294" s="88">
        <v>-87.115059502106803</v>
      </c>
      <c r="BT294" s="88">
        <v>-87.144428294306579</v>
      </c>
      <c r="BU294" s="88">
        <v>-87.173816895179442</v>
      </c>
      <c r="BV294" s="88">
        <v>-87.203225324770983</v>
      </c>
      <c r="BW294" s="88">
        <v>432.0000000000004</v>
      </c>
      <c r="BX294" s="88">
        <v>432.0000000000004</v>
      </c>
      <c r="BY294" s="88">
        <v>432.0000000000004</v>
      </c>
      <c r="BZ294" s="88">
        <v>432.0000000000004</v>
      </c>
      <c r="CA294" s="88">
        <v>0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21600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-86.882256029357748</v>
      </c>
      <c r="CV294" s="88">
        <v>-86.910509954362155</v>
      </c>
      <c r="CW294" s="88">
        <v>-86.938782261576719</v>
      </c>
      <c r="CX294" s="88">
        <v>-86.968032298629964</v>
      </c>
      <c r="CY294" s="88">
        <v>-86.997302024308354</v>
      </c>
      <c r="CZ294" s="88">
        <v>-87.026591458501557</v>
      </c>
      <c r="DA294" s="88">
        <v>-87.055900621118454</v>
      </c>
      <c r="DB294" s="88">
        <v>-87.085710498556153</v>
      </c>
      <c r="DC294" s="88">
        <v>-87.115059502106803</v>
      </c>
      <c r="DD294" s="88">
        <v>-87.144428294306579</v>
      </c>
      <c r="DE294" s="88">
        <v>-87.173816895179442</v>
      </c>
      <c r="DF294" s="88">
        <v>-87.203225324770983</v>
      </c>
      <c r="DG294" s="93">
        <v>46143</v>
      </c>
      <c r="DH294" s="91">
        <v>0.02</v>
      </c>
      <c r="DI294" t="s">
        <v>300</v>
      </c>
      <c r="DJ294" s="93"/>
      <c r="DK294" s="91"/>
      <c r="DM294" s="93"/>
      <c r="DN294" s="91"/>
      <c r="DP294" s="93"/>
      <c r="DQ294" s="91"/>
    </row>
    <row r="295" spans="1:121" x14ac:dyDescent="0.3">
      <c r="A295" t="s">
        <v>30</v>
      </c>
      <c r="B295" t="s">
        <v>45</v>
      </c>
      <c r="C295" t="s">
        <v>95</v>
      </c>
      <c r="D295" t="s">
        <v>382</v>
      </c>
      <c r="E295" t="s">
        <v>657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16800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136.3105889675559</v>
      </c>
      <c r="BL295" s="88">
        <v>813.67010996334625</v>
      </c>
      <c r="BM295" s="88">
        <v>813.57732908568073</v>
      </c>
      <c r="BN295" s="88">
        <v>813.48153078202824</v>
      </c>
      <c r="BO295" s="88">
        <v>813.3858620345618</v>
      </c>
      <c r="BP295" s="88">
        <v>813.29032258064251</v>
      </c>
      <c r="BQ295" s="88">
        <v>813.19491215834751</v>
      </c>
      <c r="BR295" s="88">
        <v>813.09806958349589</v>
      </c>
      <c r="BS295" s="88">
        <v>813.00291854603392</v>
      </c>
      <c r="BT295" s="88">
        <v>812.90789575439067</v>
      </c>
      <c r="BU295" s="88">
        <v>812.81300094945618</v>
      </c>
      <c r="BV295" s="88">
        <v>812.71823387283655</v>
      </c>
      <c r="BW295" s="88">
        <v>0</v>
      </c>
      <c r="BX295" s="88">
        <v>672.00000000000057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16800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136.3105889675559</v>
      </c>
      <c r="CV295" s="88">
        <v>136.22125958013859</v>
      </c>
      <c r="CW295" s="88">
        <v>136.13204719777019</v>
      </c>
      <c r="CX295" s="88">
        <v>136.03993344425791</v>
      </c>
      <c r="CY295" s="88">
        <v>135.9479442640019</v>
      </c>
      <c r="CZ295" s="88">
        <v>135.85607940446491</v>
      </c>
      <c r="DA295" s="88">
        <v>135.76433861379621</v>
      </c>
      <c r="DB295" s="88">
        <v>135.67122075336101</v>
      </c>
      <c r="DC295" s="88">
        <v>135.5797293711872</v>
      </c>
      <c r="DD295" s="88">
        <v>135.4883613022993</v>
      </c>
      <c r="DE295" s="88">
        <v>135.3971162975549</v>
      </c>
      <c r="DF295" s="88">
        <v>135.30599410849771</v>
      </c>
      <c r="DG295" s="93">
        <v>46419</v>
      </c>
      <c r="DH295" s="91">
        <v>0.04</v>
      </c>
      <c r="DI295" t="s">
        <v>301</v>
      </c>
      <c r="DJ295" s="93"/>
      <c r="DK295" s="91"/>
      <c r="DM295" s="93"/>
      <c r="DN295" s="91"/>
      <c r="DP295" s="93"/>
      <c r="DQ295" s="91"/>
    </row>
    <row r="296" spans="1:121" x14ac:dyDescent="0.3">
      <c r="A296" t="s">
        <v>30</v>
      </c>
      <c r="B296" t="s">
        <v>47</v>
      </c>
      <c r="C296" t="s">
        <v>43</v>
      </c>
      <c r="D296" t="s">
        <v>384</v>
      </c>
      <c r="E296" t="s">
        <v>658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12000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379.88681443061182</v>
      </c>
      <c r="BL296" s="88">
        <v>379.82186448505661</v>
      </c>
      <c r="BM296" s="88">
        <v>379.75683021027248</v>
      </c>
      <c r="BN296" s="88">
        <v>379.68950254343622</v>
      </c>
      <c r="BO296" s="88">
        <v>379.62208437544922</v>
      </c>
      <c r="BP296" s="88">
        <v>379.55457552370581</v>
      </c>
      <c r="BQ296" s="88">
        <v>-96.647138648925605</v>
      </c>
      <c r="BR296" s="88">
        <v>-96.713293661746746</v>
      </c>
      <c r="BS296" s="88">
        <v>-96.778470104732065</v>
      </c>
      <c r="BT296" s="88">
        <v>-96.843734453597278</v>
      </c>
      <c r="BU296" s="88">
        <v>-96.909086886297402</v>
      </c>
      <c r="BV296" s="88">
        <v>-96.974527581282999</v>
      </c>
      <c r="BW296" s="88">
        <v>480.00000000000051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0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12000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-96.262678432104565</v>
      </c>
      <c r="CV296" s="88">
        <v>-96.325130302830075</v>
      </c>
      <c r="CW296" s="88">
        <v>-96.387663259354994</v>
      </c>
      <c r="CX296" s="88">
        <v>-96.452401400541447</v>
      </c>
      <c r="CY296" s="88">
        <v>-96.51722656206951</v>
      </c>
      <c r="CZ296" s="88">
        <v>-96.582138919514733</v>
      </c>
      <c r="DA296" s="88">
        <v>-96.647138648925605</v>
      </c>
      <c r="DB296" s="88">
        <v>-96.713293661746746</v>
      </c>
      <c r="DC296" s="88">
        <v>-96.778470104732065</v>
      </c>
      <c r="DD296" s="88">
        <v>-96.843734453597278</v>
      </c>
      <c r="DE296" s="88">
        <v>-96.909086886297402</v>
      </c>
      <c r="DF296" s="88">
        <v>-96.974527581282999</v>
      </c>
      <c r="DG296" s="93">
        <v>46204</v>
      </c>
      <c r="DH296" s="91">
        <v>0.04</v>
      </c>
      <c r="DI296" t="s">
        <v>300</v>
      </c>
      <c r="DJ296" s="93"/>
      <c r="DK296" s="91"/>
      <c r="DM296" s="93"/>
      <c r="DN296" s="91"/>
      <c r="DP296" s="93"/>
      <c r="DQ296" s="91"/>
    </row>
    <row r="297" spans="1:121" x14ac:dyDescent="0.3">
      <c r="A297" t="s">
        <v>30</v>
      </c>
      <c r="B297" t="s">
        <v>47</v>
      </c>
      <c r="C297" t="s">
        <v>46</v>
      </c>
      <c r="D297" t="s">
        <v>386</v>
      </c>
      <c r="E297" t="s">
        <v>659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27600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1497.2323600636171</v>
      </c>
      <c r="BL297" s="88">
        <v>1497.1940437412729</v>
      </c>
      <c r="BM297" s="88">
        <v>1497.155752457425</v>
      </c>
      <c r="BN297" s="88">
        <v>1497.116189463894</v>
      </c>
      <c r="BO297" s="88">
        <v>1497.076653181847</v>
      </c>
      <c r="BP297" s="88">
        <v>1497.0371435842389</v>
      </c>
      <c r="BQ297" s="88">
        <v>1496.9976606440689</v>
      </c>
      <c r="BR297" s="88">
        <v>111.3881502203121</v>
      </c>
      <c r="BS297" s="88">
        <v>111.3505985343367</v>
      </c>
      <c r="BT297" s="88">
        <v>111.3130721590268</v>
      </c>
      <c r="BU297" s="88">
        <v>111.2755710687902</v>
      </c>
      <c r="BV297" s="88">
        <v>111.2380952380958</v>
      </c>
      <c r="BW297" s="88">
        <v>1380.0000000000009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0</v>
      </c>
      <c r="CE297" s="88">
        <v>0</v>
      </c>
      <c r="CF297" s="88">
        <v>0</v>
      </c>
      <c r="CG297" s="88">
        <v>0</v>
      </c>
      <c r="CH297" s="88">
        <v>0</v>
      </c>
      <c r="CI297" s="88">
        <v>27600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111.649866727252</v>
      </c>
      <c r="CV297" s="88">
        <v>111.6133749916883</v>
      </c>
      <c r="CW297" s="88">
        <v>111.5769071023096</v>
      </c>
      <c r="CX297" s="88">
        <v>111.53922806084989</v>
      </c>
      <c r="CY297" s="88">
        <v>111.5015744588999</v>
      </c>
      <c r="CZ297" s="88">
        <v>111.4639462707018</v>
      </c>
      <c r="DA297" s="88">
        <v>111.4263434705407</v>
      </c>
      <c r="DB297" s="88">
        <v>111.3881502203121</v>
      </c>
      <c r="DC297" s="88">
        <v>111.3505985343367</v>
      </c>
      <c r="DD297" s="88">
        <v>111.3130721590268</v>
      </c>
      <c r="DE297" s="88">
        <v>111.2755710687902</v>
      </c>
      <c r="DF297" s="88">
        <v>111.2380952380958</v>
      </c>
      <c r="DG297" s="93">
        <v>46235</v>
      </c>
      <c r="DH297" s="91">
        <v>0.05</v>
      </c>
      <c r="DI297" t="s">
        <v>300</v>
      </c>
      <c r="DJ297" s="93"/>
      <c r="DK297" s="91"/>
      <c r="DM297" s="93"/>
      <c r="DN297" s="91"/>
      <c r="DP297" s="93"/>
      <c r="DQ297" s="91"/>
    </row>
    <row r="298" spans="1:121" x14ac:dyDescent="0.3">
      <c r="A298" t="s">
        <v>30</v>
      </c>
      <c r="B298" t="s">
        <v>47</v>
      </c>
      <c r="C298" t="s">
        <v>48</v>
      </c>
      <c r="D298" t="s">
        <v>388</v>
      </c>
      <c r="E298" t="s">
        <v>660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22800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372.11590055446561</v>
      </c>
      <c r="BL298" s="88">
        <v>371.62569495612479</v>
      </c>
      <c r="BM298" s="88">
        <v>371.13677919993017</v>
      </c>
      <c r="BN298" s="88">
        <v>370.63264079096763</v>
      </c>
      <c r="BO298" s="88">
        <v>370.12987012987338</v>
      </c>
      <c r="BP298" s="88">
        <v>369.62846165804092</v>
      </c>
      <c r="BQ298" s="88">
        <v>369.12840984697573</v>
      </c>
      <c r="BR298" s="88">
        <v>368.62154500354592</v>
      </c>
      <c r="BS298" s="88">
        <v>368.12421206290207</v>
      </c>
      <c r="BT298" s="88">
        <v>367.62821928700981</v>
      </c>
      <c r="BU298" s="88">
        <v>367.13356126612848</v>
      </c>
      <c r="BV298" s="88">
        <v>366.64023261961279</v>
      </c>
      <c r="BW298" s="88">
        <v>0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22800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372.11590055446561</v>
      </c>
      <c r="CV298" s="88">
        <v>371.62569495612479</v>
      </c>
      <c r="CW298" s="88">
        <v>371.13677919993017</v>
      </c>
      <c r="CX298" s="88">
        <v>370.63264079096763</v>
      </c>
      <c r="CY298" s="88">
        <v>370.12987012987338</v>
      </c>
      <c r="CZ298" s="88">
        <v>369.62846165804092</v>
      </c>
      <c r="DA298" s="88">
        <v>369.12840984697573</v>
      </c>
      <c r="DB298" s="88">
        <v>368.62154500354592</v>
      </c>
      <c r="DC298" s="88">
        <v>368.12421206290207</v>
      </c>
      <c r="DD298" s="88">
        <v>367.62821928700981</v>
      </c>
      <c r="DE298" s="88">
        <v>367.13356126612848</v>
      </c>
      <c r="DF298" s="88">
        <v>366.64023261961279</v>
      </c>
      <c r="DG298" s="93"/>
      <c r="DH298" s="91"/>
      <c r="DJ298" s="93"/>
      <c r="DK298" s="91"/>
      <c r="DM298" s="93"/>
      <c r="DN298" s="91"/>
      <c r="DP298" s="93"/>
      <c r="DQ298" s="91"/>
    </row>
    <row r="299" spans="1:121" x14ac:dyDescent="0.3">
      <c r="A299" t="s">
        <v>30</v>
      </c>
      <c r="B299" t="s">
        <v>47</v>
      </c>
      <c r="C299" t="s">
        <v>50</v>
      </c>
      <c r="D299" t="s">
        <v>390</v>
      </c>
      <c r="E299" t="s">
        <v>661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18000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360.00000000000028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1094.399999999999</v>
      </c>
      <c r="BQ299" s="88">
        <v>1094.399999999999</v>
      </c>
      <c r="BR299" s="88">
        <v>1094.399999999999</v>
      </c>
      <c r="BS299" s="88">
        <v>1094.399999999999</v>
      </c>
      <c r="BT299" s="88">
        <v>720.00000000000068</v>
      </c>
      <c r="BU299" s="88">
        <v>720.00000000000068</v>
      </c>
      <c r="BV299" s="88">
        <v>720.00000000000068</v>
      </c>
      <c r="BW299" s="88">
        <v>360.00000000000028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1094.399999999999</v>
      </c>
      <c r="CC299" s="88">
        <v>1094.399999999999</v>
      </c>
      <c r="CD299" s="88">
        <v>1094.399999999999</v>
      </c>
      <c r="CE299" s="88">
        <v>1094.399999999999</v>
      </c>
      <c r="CF299" s="88">
        <v>720.00000000000068</v>
      </c>
      <c r="CG299" s="88">
        <v>720.00000000000068</v>
      </c>
      <c r="CH299" s="88">
        <v>720.00000000000068</v>
      </c>
      <c r="CI299" s="88">
        <v>18000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93">
        <v>46296</v>
      </c>
      <c r="DH299" s="91">
        <v>0.02</v>
      </c>
      <c r="DI299" t="s">
        <v>300</v>
      </c>
      <c r="DJ299" s="93">
        <v>46539</v>
      </c>
      <c r="DK299" s="91">
        <v>0.04</v>
      </c>
      <c r="DL299" t="s">
        <v>301</v>
      </c>
      <c r="DM299" s="93"/>
      <c r="DN299" s="91"/>
      <c r="DP299" s="93"/>
      <c r="DQ299" s="91"/>
    </row>
    <row r="300" spans="1:121" x14ac:dyDescent="0.3">
      <c r="A300" t="s">
        <v>30</v>
      </c>
      <c r="B300" t="s">
        <v>47</v>
      </c>
      <c r="C300" t="s">
        <v>57</v>
      </c>
      <c r="D300" t="s">
        <v>392</v>
      </c>
      <c r="E300" t="s">
        <v>662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13200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161.11287598856441</v>
      </c>
      <c r="BL300" s="88">
        <v>160.95409901783989</v>
      </c>
      <c r="BM300" s="88">
        <v>160.7956346888686</v>
      </c>
      <c r="BN300" s="88">
        <v>160.63212642528339</v>
      </c>
      <c r="BO300" s="88">
        <v>160.468950357209</v>
      </c>
      <c r="BP300" s="88">
        <v>160.306105473299</v>
      </c>
      <c r="BQ300" s="88">
        <v>160.1435907663132</v>
      </c>
      <c r="BR300" s="88">
        <v>159.97874919064211</v>
      </c>
      <c r="BS300" s="88">
        <v>159.81689720370079</v>
      </c>
      <c r="BT300" s="88">
        <v>159.65537238008491</v>
      </c>
      <c r="BU300" s="88">
        <v>159.49417372881251</v>
      </c>
      <c r="BV300" s="88">
        <v>159.33330026291131</v>
      </c>
      <c r="BW300" s="88">
        <v>0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13200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161.11287598856441</v>
      </c>
      <c r="CV300" s="88">
        <v>160.95409901783989</v>
      </c>
      <c r="CW300" s="88">
        <v>160.7956346888686</v>
      </c>
      <c r="CX300" s="88">
        <v>160.63212642528339</v>
      </c>
      <c r="CY300" s="88">
        <v>160.468950357209</v>
      </c>
      <c r="CZ300" s="88">
        <v>160.306105473299</v>
      </c>
      <c r="DA300" s="88">
        <v>160.1435907663132</v>
      </c>
      <c r="DB300" s="88">
        <v>159.97874919064211</v>
      </c>
      <c r="DC300" s="88">
        <v>159.81689720370079</v>
      </c>
      <c r="DD300" s="88">
        <v>159.65537238008491</v>
      </c>
      <c r="DE300" s="88">
        <v>159.49417372881251</v>
      </c>
      <c r="DF300" s="88">
        <v>159.33330026291131</v>
      </c>
      <c r="DG300" s="93"/>
      <c r="DH300" s="91"/>
      <c r="DJ300" s="93"/>
      <c r="DK300" s="91"/>
      <c r="DM300" s="93"/>
      <c r="DN300" s="91"/>
      <c r="DP300" s="93"/>
      <c r="DQ300" s="91"/>
    </row>
    <row r="301" spans="1:121" x14ac:dyDescent="0.3">
      <c r="A301" t="s">
        <v>30</v>
      </c>
      <c r="B301" t="s">
        <v>47</v>
      </c>
      <c r="C301" t="s">
        <v>58</v>
      </c>
      <c r="D301" t="s">
        <v>394</v>
      </c>
      <c r="E301" t="s">
        <v>663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28800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-115.8430080391437</v>
      </c>
      <c r="BL301" s="88">
        <v>-115.8806799391495</v>
      </c>
      <c r="BM301" s="88">
        <v>-115.918376348769</v>
      </c>
      <c r="BN301" s="88">
        <v>-115.9573763981733</v>
      </c>
      <c r="BO301" s="88">
        <v>-115.99640269907781</v>
      </c>
      <c r="BP301" s="88">
        <v>-116.0354552780021</v>
      </c>
      <c r="BQ301" s="88">
        <v>-116.0745341614913</v>
      </c>
      <c r="BR301" s="88">
        <v>-116.1142806647415</v>
      </c>
      <c r="BS301" s="88">
        <v>-116.1534126694757</v>
      </c>
      <c r="BT301" s="88">
        <v>-116.19257105907541</v>
      </c>
      <c r="BU301" s="88">
        <v>-116.2317558602393</v>
      </c>
      <c r="BV301" s="88">
        <v>-116.2709670996946</v>
      </c>
      <c r="BW301" s="88">
        <v>0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28800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-115.8430080391437</v>
      </c>
      <c r="CV301" s="88">
        <v>-115.8806799391495</v>
      </c>
      <c r="CW301" s="88">
        <v>-115.918376348769</v>
      </c>
      <c r="CX301" s="88">
        <v>-115.9573763981733</v>
      </c>
      <c r="CY301" s="88">
        <v>-115.99640269907781</v>
      </c>
      <c r="CZ301" s="88">
        <v>-116.0354552780021</v>
      </c>
      <c r="DA301" s="88">
        <v>-116.0745341614913</v>
      </c>
      <c r="DB301" s="88">
        <v>-116.1142806647415</v>
      </c>
      <c r="DC301" s="88">
        <v>-116.1534126694757</v>
      </c>
      <c r="DD301" s="88">
        <v>-116.19257105907541</v>
      </c>
      <c r="DE301" s="88">
        <v>-116.2317558602393</v>
      </c>
      <c r="DF301" s="88">
        <v>-116.2709670996946</v>
      </c>
      <c r="DG301" s="93"/>
      <c r="DH301" s="91"/>
      <c r="DJ301" s="93"/>
      <c r="DK301" s="91"/>
      <c r="DM301" s="93"/>
      <c r="DN301" s="91"/>
      <c r="DP301" s="93"/>
      <c r="DQ301" s="91"/>
    </row>
    <row r="302" spans="1:121" x14ac:dyDescent="0.3">
      <c r="A302" t="s">
        <v>30</v>
      </c>
      <c r="B302" t="s">
        <v>47</v>
      </c>
      <c r="C302" t="s">
        <v>65</v>
      </c>
      <c r="D302" t="s">
        <v>396</v>
      </c>
      <c r="E302" t="s">
        <v>664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24000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2057.436868335325</v>
      </c>
      <c r="BL302" s="88">
        <v>2014.7031354236181</v>
      </c>
      <c r="BM302" s="88">
        <v>1972.1093381434739</v>
      </c>
      <c r="BN302" s="88">
        <v>2204.785744680853</v>
      </c>
      <c r="BO302" s="88">
        <v>2402.1644273584589</v>
      </c>
      <c r="BP302" s="88">
        <v>2357.6967032967</v>
      </c>
      <c r="BQ302" s="88">
        <v>707.39766807243495</v>
      </c>
      <c r="BR302" s="88">
        <v>665.24531520871483</v>
      </c>
      <c r="BS302" s="88">
        <v>623.91297181473431</v>
      </c>
      <c r="BT302" s="88">
        <v>582.71892054959551</v>
      </c>
      <c r="BU302" s="88">
        <v>541.66246851385404</v>
      </c>
      <c r="BV302" s="88">
        <v>500.74292742927008</v>
      </c>
      <c r="BW302" s="88">
        <v>1559.9999999999991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0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24000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467.07687167636362</v>
      </c>
      <c r="CV302" s="88">
        <v>426.95130086724652</v>
      </c>
      <c r="CW302" s="88">
        <v>386.95712501734653</v>
      </c>
      <c r="CX302" s="88">
        <v>605.43262411347598</v>
      </c>
      <c r="CY302" s="88">
        <v>790.76472052437725</v>
      </c>
      <c r="CZ302" s="88">
        <v>749.01098901098533</v>
      </c>
      <c r="DA302" s="88">
        <v>707.39766807243495</v>
      </c>
      <c r="DB302" s="88">
        <v>665.24531520871483</v>
      </c>
      <c r="DC302" s="88">
        <v>623.91297181473431</v>
      </c>
      <c r="DD302" s="88">
        <v>582.71892054959551</v>
      </c>
      <c r="DE302" s="88">
        <v>541.66246851385404</v>
      </c>
      <c r="DF302" s="88">
        <v>500.74292742927008</v>
      </c>
      <c r="DG302" s="93">
        <v>46204</v>
      </c>
      <c r="DH302" s="91">
        <v>6.5000000000000002E-2</v>
      </c>
      <c r="DI302" t="s">
        <v>301</v>
      </c>
      <c r="DJ302" s="93"/>
      <c r="DK302" s="91"/>
      <c r="DM302" s="93"/>
      <c r="DN302" s="91"/>
      <c r="DP302" s="93"/>
      <c r="DQ302" s="91"/>
    </row>
    <row r="303" spans="1:121" x14ac:dyDescent="0.3">
      <c r="A303" t="s">
        <v>30</v>
      </c>
      <c r="B303" t="s">
        <v>47</v>
      </c>
      <c r="C303" t="s">
        <v>66</v>
      </c>
      <c r="D303" t="s">
        <v>398</v>
      </c>
      <c r="E303" t="s">
        <v>665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19200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988.73849737914975</v>
      </c>
      <c r="BL303" s="88">
        <v>-154.12020848452809</v>
      </c>
      <c r="BM303" s="88">
        <v>-154.22026121496799</v>
      </c>
      <c r="BN303" s="88">
        <v>-154.3238422408663</v>
      </c>
      <c r="BO303" s="88">
        <v>-154.42756249931119</v>
      </c>
      <c r="BP303" s="88">
        <v>-154.53142227122359</v>
      </c>
      <c r="BQ303" s="88">
        <v>-154.63542183828099</v>
      </c>
      <c r="BR303" s="88">
        <v>-154.74126985879479</v>
      </c>
      <c r="BS303" s="88">
        <v>-154.8455521675713</v>
      </c>
      <c r="BT303" s="88">
        <v>606.85202586921469</v>
      </c>
      <c r="BU303" s="88">
        <v>606.74327942120385</v>
      </c>
      <c r="BV303" s="88">
        <v>606.63438610474714</v>
      </c>
      <c r="BW303" s="88">
        <v>1152.0000000000009</v>
      </c>
      <c r="BX303" s="88">
        <v>0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768.00000000000068</v>
      </c>
      <c r="CG303" s="88">
        <v>768.00000000000068</v>
      </c>
      <c r="CH303" s="88">
        <v>768.00000000000068</v>
      </c>
      <c r="CI303" s="88">
        <v>19200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-154.0202854913673</v>
      </c>
      <c r="CV303" s="88">
        <v>-154.12020848452809</v>
      </c>
      <c r="CW303" s="88">
        <v>-154.22026121496799</v>
      </c>
      <c r="CX303" s="88">
        <v>-154.3238422408663</v>
      </c>
      <c r="CY303" s="88">
        <v>-154.42756249931119</v>
      </c>
      <c r="CZ303" s="88">
        <v>-154.53142227122359</v>
      </c>
      <c r="DA303" s="88">
        <v>-154.63542183828099</v>
      </c>
      <c r="DB303" s="88">
        <v>-154.74126985879479</v>
      </c>
      <c r="DC303" s="88">
        <v>-154.8455521675713</v>
      </c>
      <c r="DD303" s="88">
        <v>-154.94997512575571</v>
      </c>
      <c r="DE303" s="88">
        <v>-155.05453901807579</v>
      </c>
      <c r="DF303" s="88">
        <v>-155.1592441300528</v>
      </c>
      <c r="DG303" s="93">
        <v>46054</v>
      </c>
      <c r="DH303" s="91">
        <v>0.06</v>
      </c>
      <c r="DI303" t="s">
        <v>300</v>
      </c>
      <c r="DJ303" s="93">
        <v>46661</v>
      </c>
      <c r="DK303" s="91">
        <v>0.04</v>
      </c>
      <c r="DL303" t="s">
        <v>301</v>
      </c>
      <c r="DM303" s="93"/>
      <c r="DN303" s="91"/>
      <c r="DP303" s="93"/>
      <c r="DQ303" s="91"/>
    </row>
    <row r="304" spans="1:121" x14ac:dyDescent="0.3">
      <c r="A304" t="s">
        <v>30</v>
      </c>
      <c r="B304" t="s">
        <v>47</v>
      </c>
      <c r="C304" t="s">
        <v>67</v>
      </c>
      <c r="D304" t="s">
        <v>400</v>
      </c>
      <c r="E304" t="s">
        <v>666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14400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1504.0773148173821</v>
      </c>
      <c r="BL304" s="88">
        <v>1504.05637173436</v>
      </c>
      <c r="BM304" s="88">
        <v>1504.0354423369811</v>
      </c>
      <c r="BN304" s="88">
        <v>2140.1743705573649</v>
      </c>
      <c r="BO304" s="88">
        <v>2140.1518962683399</v>
      </c>
      <c r="BP304" s="88">
        <v>2140.1294371480099</v>
      </c>
      <c r="BQ304" s="88">
        <v>2140.106993181028</v>
      </c>
      <c r="BR304" s="88">
        <v>2140.0841967923689</v>
      </c>
      <c r="BS304" s="88">
        <v>2140.0617833338879</v>
      </c>
      <c r="BT304" s="88">
        <v>636.39944089324524</v>
      </c>
      <c r="BU304" s="88">
        <v>636.37909247558719</v>
      </c>
      <c r="BV304" s="88">
        <v>636.35875776397666</v>
      </c>
      <c r="BW304" s="88">
        <v>1440.0000000000009</v>
      </c>
      <c r="BX304" s="88">
        <v>1440.0000000000009</v>
      </c>
      <c r="BY304" s="88">
        <v>1440.0000000000009</v>
      </c>
      <c r="BZ304" s="88">
        <v>2073.6000000000022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576.00000000000045</v>
      </c>
      <c r="CG304" s="88">
        <v>576.00000000000045</v>
      </c>
      <c r="CH304" s="88">
        <v>576.00000000000045</v>
      </c>
      <c r="CI304" s="88">
        <v>14400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58.252104379435821</v>
      </c>
      <c r="CV304" s="88">
        <v>58.233065213054758</v>
      </c>
      <c r="CW304" s="88">
        <v>58.214038488161528</v>
      </c>
      <c r="CX304" s="88">
        <v>58.194379857834733</v>
      </c>
      <c r="CY304" s="88">
        <v>58.1747345002956</v>
      </c>
      <c r="CZ304" s="88">
        <v>58.155102402105292</v>
      </c>
      <c r="DA304" s="88">
        <v>58.135483549847322</v>
      </c>
      <c r="DB304" s="88">
        <v>58.115556636684573</v>
      </c>
      <c r="DC304" s="88">
        <v>58.095964452697402</v>
      </c>
      <c r="DD304" s="88">
        <v>58.076385474274872</v>
      </c>
      <c r="DE304" s="88">
        <v>58.056819688064458</v>
      </c>
      <c r="DF304" s="88">
        <v>58.037267080745643</v>
      </c>
      <c r="DG304" s="93">
        <v>46296</v>
      </c>
      <c r="DH304" s="91">
        <v>0.1</v>
      </c>
      <c r="DI304" t="s">
        <v>402</v>
      </c>
      <c r="DJ304" s="93">
        <v>46478</v>
      </c>
      <c r="DK304" s="91">
        <v>0.04</v>
      </c>
      <c r="DL304" t="s">
        <v>301</v>
      </c>
      <c r="DM304" s="93"/>
      <c r="DN304" s="91"/>
      <c r="DP304" s="93"/>
      <c r="DQ304" s="91"/>
    </row>
    <row r="305" spans="1:121" x14ac:dyDescent="0.3">
      <c r="A305" t="s">
        <v>30</v>
      </c>
      <c r="B305" t="s">
        <v>47</v>
      </c>
      <c r="C305" t="s">
        <v>73</v>
      </c>
      <c r="D305" t="s">
        <v>403</v>
      </c>
      <c r="E305" t="s">
        <v>667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9600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449.38079055625269</v>
      </c>
      <c r="BL305" s="88">
        <v>449.16819612834121</v>
      </c>
      <c r="BM305" s="88">
        <v>448.95616108460172</v>
      </c>
      <c r="BN305" s="88">
        <v>156.05584875409161</v>
      </c>
      <c r="BO305" s="88">
        <v>155.8441558441572</v>
      </c>
      <c r="BP305" s="88">
        <v>155.63303648759609</v>
      </c>
      <c r="BQ305" s="88">
        <v>155.42248835662139</v>
      </c>
      <c r="BR305" s="88">
        <v>155.20907158044039</v>
      </c>
      <c r="BS305" s="88">
        <v>154.99966823701141</v>
      </c>
      <c r="BT305" s="88">
        <v>154.79082917347779</v>
      </c>
      <c r="BU305" s="88">
        <v>154.58255211205409</v>
      </c>
      <c r="BV305" s="88">
        <v>154.3748347872054</v>
      </c>
      <c r="BW305" s="88">
        <v>288.00000000000023</v>
      </c>
      <c r="BX305" s="88">
        <v>288.00000000000023</v>
      </c>
      <c r="BY305" s="88">
        <v>288.00000000000023</v>
      </c>
      <c r="BZ305" s="88">
        <v>0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9600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156.6803791808276</v>
      </c>
      <c r="CV305" s="88">
        <v>156.47397682363149</v>
      </c>
      <c r="CW305" s="88">
        <v>156.26811755786531</v>
      </c>
      <c r="CX305" s="88">
        <v>156.05584875409161</v>
      </c>
      <c r="CY305" s="88">
        <v>155.8441558441572</v>
      </c>
      <c r="CZ305" s="88">
        <v>155.63303648759609</v>
      </c>
      <c r="DA305" s="88">
        <v>155.42248835662139</v>
      </c>
      <c r="DB305" s="88">
        <v>155.20907158044039</v>
      </c>
      <c r="DC305" s="88">
        <v>154.99966823701141</v>
      </c>
      <c r="DD305" s="88">
        <v>154.79082917347779</v>
      </c>
      <c r="DE305" s="88">
        <v>154.58255211205409</v>
      </c>
      <c r="DF305" s="88">
        <v>154.3748347872054</v>
      </c>
      <c r="DG305" s="93">
        <v>46113</v>
      </c>
      <c r="DH305" s="91">
        <v>0.03</v>
      </c>
      <c r="DI305" t="s">
        <v>300</v>
      </c>
      <c r="DJ305" s="93"/>
      <c r="DK305" s="91"/>
      <c r="DM305" s="93"/>
      <c r="DN305" s="91"/>
      <c r="DP305" s="93"/>
      <c r="DQ305" s="91"/>
    </row>
    <row r="306" spans="1:121" x14ac:dyDescent="0.3">
      <c r="A306" t="s">
        <v>30</v>
      </c>
      <c r="B306" t="s">
        <v>47</v>
      </c>
      <c r="C306" t="s">
        <v>78</v>
      </c>
      <c r="D306" t="s">
        <v>405</v>
      </c>
      <c r="E306" t="s">
        <v>668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25200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1008.000000000001</v>
      </c>
      <c r="BL306" s="88">
        <v>1008.000000000001</v>
      </c>
      <c r="BM306" s="88">
        <v>1008.000000000001</v>
      </c>
      <c r="BN306" s="88">
        <v>1008.000000000001</v>
      </c>
      <c r="BO306" s="88">
        <v>0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1008.000000000001</v>
      </c>
      <c r="BX306" s="88">
        <v>1008.000000000001</v>
      </c>
      <c r="BY306" s="88">
        <v>1008.000000000001</v>
      </c>
      <c r="BZ306" s="88">
        <v>1008.000000000001</v>
      </c>
      <c r="CA306" s="88">
        <v>0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25200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93">
        <v>46143</v>
      </c>
      <c r="DH306" s="91">
        <v>0.04</v>
      </c>
      <c r="DI306" t="s">
        <v>300</v>
      </c>
      <c r="DJ306" s="93"/>
      <c r="DK306" s="91"/>
      <c r="DM306" s="93"/>
      <c r="DN306" s="91"/>
      <c r="DP306" s="93"/>
      <c r="DQ306" s="91"/>
    </row>
    <row r="307" spans="1:121" x14ac:dyDescent="0.3">
      <c r="A307" t="s">
        <v>30</v>
      </c>
      <c r="B307" t="s">
        <v>47</v>
      </c>
      <c r="C307" t="s">
        <v>80</v>
      </c>
      <c r="D307" t="s">
        <v>407</v>
      </c>
      <c r="E307" t="s">
        <v>669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20400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248.9926265277814</v>
      </c>
      <c r="BL307" s="88">
        <v>248.74724393666159</v>
      </c>
      <c r="BM307" s="88">
        <v>248.5023445191606</v>
      </c>
      <c r="BN307" s="88">
        <v>1074.1796359271841</v>
      </c>
      <c r="BO307" s="88">
        <v>1073.9173674832259</v>
      </c>
      <c r="BP307" s="88">
        <v>1073.655631342541</v>
      </c>
      <c r="BQ307" s="88">
        <v>1073.3944258862221</v>
      </c>
      <c r="BR307" s="88">
        <v>1073.129480517325</v>
      </c>
      <c r="BS307" s="88">
        <v>1072.869340232857</v>
      </c>
      <c r="BT307" s="88">
        <v>1072.609725789084</v>
      </c>
      <c r="BU307" s="88">
        <v>1072.350635593217</v>
      </c>
      <c r="BV307" s="88">
        <v>1072.0920680589329</v>
      </c>
      <c r="BW307" s="88">
        <v>0</v>
      </c>
      <c r="BX307" s="88">
        <v>0</v>
      </c>
      <c r="BY307" s="88">
        <v>0</v>
      </c>
      <c r="BZ307" s="88">
        <v>816.00000000000068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20400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248.9926265277814</v>
      </c>
      <c r="CV307" s="88">
        <v>248.74724393666159</v>
      </c>
      <c r="CW307" s="88">
        <v>248.5023445191606</v>
      </c>
      <c r="CX307" s="88">
        <v>248.24964992998349</v>
      </c>
      <c r="CY307" s="88">
        <v>247.99746873386849</v>
      </c>
      <c r="CZ307" s="88">
        <v>247.7457993678257</v>
      </c>
      <c r="DA307" s="88">
        <v>247.49464027521131</v>
      </c>
      <c r="DB307" s="88">
        <v>247.23988511281061</v>
      </c>
      <c r="DC307" s="88">
        <v>246.98975022390121</v>
      </c>
      <c r="DD307" s="88">
        <v>246.74012095104021</v>
      </c>
      <c r="DE307" s="88">
        <v>246.49099576271021</v>
      </c>
      <c r="DF307" s="88">
        <v>246.24237313359021</v>
      </c>
      <c r="DG307" s="93">
        <v>46478</v>
      </c>
      <c r="DH307" s="91">
        <v>0.04</v>
      </c>
      <c r="DI307" t="s">
        <v>301</v>
      </c>
      <c r="DJ307" s="93"/>
      <c r="DK307" s="91"/>
      <c r="DM307" s="93"/>
      <c r="DN307" s="91"/>
      <c r="DP307" s="93"/>
      <c r="DQ307" s="91"/>
    </row>
    <row r="308" spans="1:121" x14ac:dyDescent="0.3">
      <c r="A308" t="s">
        <v>30</v>
      </c>
      <c r="B308" t="s">
        <v>47</v>
      </c>
      <c r="C308" t="s">
        <v>82</v>
      </c>
      <c r="D308" t="s">
        <v>409</v>
      </c>
      <c r="E308" t="s">
        <v>670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15600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869.48680621752419</v>
      </c>
      <c r="BL308" s="88">
        <v>869.46517626827267</v>
      </c>
      <c r="BM308" s="88">
        <v>869.44353224641441</v>
      </c>
      <c r="BN308" s="88">
        <v>869.42113971804906</v>
      </c>
      <c r="BO308" s="88">
        <v>869.39873211694612</v>
      </c>
      <c r="BP308" s="88">
        <v>869.37630942788201</v>
      </c>
      <c r="BQ308" s="88">
        <v>-62.873706004141113</v>
      </c>
      <c r="BR308" s="88">
        <v>-62.895235360068327</v>
      </c>
      <c r="BS308" s="88">
        <v>-62.916431862632692</v>
      </c>
      <c r="BT308" s="88">
        <v>-62.937642656999188</v>
      </c>
      <c r="BU308" s="88">
        <v>-62.958867757629598</v>
      </c>
      <c r="BV308" s="88">
        <v>-62.980107179001273</v>
      </c>
      <c r="BW308" s="88">
        <v>936.0000000000008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0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15600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-62.748296021202819</v>
      </c>
      <c r="CV308" s="88">
        <v>-62.768701633706002</v>
      </c>
      <c r="CW308" s="88">
        <v>-62.789120522249853</v>
      </c>
      <c r="CX308" s="88">
        <v>-62.810245549010531</v>
      </c>
      <c r="CY308" s="88">
        <v>-62.831384795333811</v>
      </c>
      <c r="CZ308" s="88">
        <v>-62.852538275584457</v>
      </c>
      <c r="DA308" s="88">
        <v>-62.873706004141113</v>
      </c>
      <c r="DB308" s="88">
        <v>-62.895235360068327</v>
      </c>
      <c r="DC308" s="88">
        <v>-62.916431862632692</v>
      </c>
      <c r="DD308" s="88">
        <v>-62.937642656999188</v>
      </c>
      <c r="DE308" s="88">
        <v>-62.958867757629598</v>
      </c>
      <c r="DF308" s="88">
        <v>-62.980107179001273</v>
      </c>
      <c r="DG308" s="93">
        <v>46204</v>
      </c>
      <c r="DH308" s="91">
        <v>0.06</v>
      </c>
      <c r="DI308" t="s">
        <v>300</v>
      </c>
      <c r="DJ308" s="93"/>
      <c r="DK308" s="91"/>
      <c r="DM308" s="93"/>
      <c r="DN308" s="91"/>
      <c r="DP308" s="93"/>
      <c r="DQ308" s="91"/>
    </row>
    <row r="309" spans="1:121" x14ac:dyDescent="0.3">
      <c r="A309" t="s">
        <v>30</v>
      </c>
      <c r="B309" t="s">
        <v>47</v>
      </c>
      <c r="C309" t="s">
        <v>84</v>
      </c>
      <c r="D309" t="s">
        <v>411</v>
      </c>
      <c r="E309" t="s">
        <v>671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10800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305.38080048015559</v>
      </c>
      <c r="BL309" s="88">
        <v>305.32222592469037</v>
      </c>
      <c r="BM309" s="88">
        <v>305.26372809110921</v>
      </c>
      <c r="BN309" s="88">
        <v>305.20332778702061</v>
      </c>
      <c r="BO309" s="88">
        <v>305.14300916739671</v>
      </c>
      <c r="BP309" s="88">
        <v>305.08277206664292</v>
      </c>
      <c r="BQ309" s="88">
        <v>305.02261631961761</v>
      </c>
      <c r="BR309" s="88">
        <v>87.217213341446339</v>
      </c>
      <c r="BS309" s="88">
        <v>87.15839745290603</v>
      </c>
      <c r="BT309" s="88">
        <v>87.099660837192431</v>
      </c>
      <c r="BU309" s="88">
        <v>87.041003334142445</v>
      </c>
      <c r="BV309" s="88">
        <v>86.982424784034237</v>
      </c>
      <c r="BW309" s="88">
        <v>216.0000000000002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0</v>
      </c>
      <c r="CE309" s="88">
        <v>0</v>
      </c>
      <c r="CF309" s="88">
        <v>0</v>
      </c>
      <c r="CG309" s="88">
        <v>0</v>
      </c>
      <c r="CH309" s="88">
        <v>0</v>
      </c>
      <c r="CI309" s="88">
        <v>10800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87.628235764857365</v>
      </c>
      <c r="CV309" s="88">
        <v>87.570809730089124</v>
      </c>
      <c r="CW309" s="88">
        <v>87.513458912852286</v>
      </c>
      <c r="CX309" s="88">
        <v>87.454242928451549</v>
      </c>
      <c r="CY309" s="88">
        <v>87.395107026858369</v>
      </c>
      <c r="CZ309" s="88">
        <v>87.336051045727459</v>
      </c>
      <c r="DA309" s="88">
        <v>87.277074823154692</v>
      </c>
      <c r="DB309" s="88">
        <v>87.217213341446339</v>
      </c>
      <c r="DC309" s="88">
        <v>87.15839745290603</v>
      </c>
      <c r="DD309" s="88">
        <v>87.099660837192431</v>
      </c>
      <c r="DE309" s="88">
        <v>87.041003334142445</v>
      </c>
      <c r="DF309" s="88">
        <v>86.982424784034237</v>
      </c>
      <c r="DG309" s="93">
        <v>46235</v>
      </c>
      <c r="DH309" s="91">
        <v>0.02</v>
      </c>
      <c r="DI309" t="s">
        <v>300</v>
      </c>
      <c r="DJ309" s="93"/>
      <c r="DK309" s="91"/>
      <c r="DM309" s="93"/>
      <c r="DN309" s="91"/>
      <c r="DP309" s="93"/>
      <c r="DQ309" s="91"/>
    </row>
    <row r="310" spans="1:121" x14ac:dyDescent="0.3">
      <c r="A310" t="s">
        <v>30</v>
      </c>
      <c r="B310" t="s">
        <v>47</v>
      </c>
      <c r="C310" t="s">
        <v>86</v>
      </c>
      <c r="D310" t="s">
        <v>413</v>
      </c>
      <c r="E310" t="s">
        <v>672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26400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-211.77789255063001</v>
      </c>
      <c r="BL310" s="88">
        <v>-211.91528666622619</v>
      </c>
      <c r="BM310" s="88">
        <v>-212.052859170581</v>
      </c>
      <c r="BN310" s="88">
        <v>-212.19528308119121</v>
      </c>
      <c r="BO310" s="88">
        <v>-212.3378984365529</v>
      </c>
      <c r="BP310" s="88">
        <v>-212.48070562293239</v>
      </c>
      <c r="BQ310" s="88">
        <v>-212.6237050276363</v>
      </c>
      <c r="BR310" s="88">
        <v>-212.76924605584281</v>
      </c>
      <c r="BS310" s="88">
        <v>-212.9126342304105</v>
      </c>
      <c r="BT310" s="88">
        <v>-213.05621579791401</v>
      </c>
      <c r="BU310" s="88">
        <v>-213.1999911498543</v>
      </c>
      <c r="BV310" s="88">
        <v>-213.34396067882261</v>
      </c>
      <c r="BW310" s="88">
        <v>0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26400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-211.77789255063001</v>
      </c>
      <c r="CV310" s="88">
        <v>-211.91528666622619</v>
      </c>
      <c r="CW310" s="88">
        <v>-212.052859170581</v>
      </c>
      <c r="CX310" s="88">
        <v>-212.19528308119121</v>
      </c>
      <c r="CY310" s="88">
        <v>-212.3378984365529</v>
      </c>
      <c r="CZ310" s="88">
        <v>-212.48070562293239</v>
      </c>
      <c r="DA310" s="88">
        <v>-212.6237050276363</v>
      </c>
      <c r="DB310" s="88">
        <v>-212.76924605584281</v>
      </c>
      <c r="DC310" s="88">
        <v>-212.9126342304105</v>
      </c>
      <c r="DD310" s="88">
        <v>-213.05621579791401</v>
      </c>
      <c r="DE310" s="88">
        <v>-213.1999911498543</v>
      </c>
      <c r="DF310" s="88">
        <v>-213.34396067882261</v>
      </c>
      <c r="DG310" s="93"/>
      <c r="DH310" s="91"/>
      <c r="DJ310" s="93"/>
      <c r="DK310" s="91"/>
      <c r="DM310" s="93"/>
      <c r="DN310" s="91"/>
      <c r="DP310" s="93"/>
      <c r="DQ310" s="91"/>
    </row>
    <row r="311" spans="1:121" x14ac:dyDescent="0.3">
      <c r="A311" t="s">
        <v>30</v>
      </c>
      <c r="B311" t="s">
        <v>47</v>
      </c>
      <c r="C311" t="s">
        <v>88</v>
      </c>
      <c r="D311" t="s">
        <v>415</v>
      </c>
      <c r="E311" t="s">
        <v>673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21600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954.87328283192051</v>
      </c>
      <c r="BL311" s="88">
        <v>954.84358173236467</v>
      </c>
      <c r="BM311" s="88">
        <v>954.81390004153468</v>
      </c>
      <c r="BN311" s="88">
        <v>954.78323257822501</v>
      </c>
      <c r="BO311" s="88">
        <v>954.75258582046149</v>
      </c>
      <c r="BP311" s="88">
        <v>954.72195974728481</v>
      </c>
      <c r="BQ311" s="88">
        <v>954.69135433776455</v>
      </c>
      <c r="BR311" s="88">
        <v>1856.8466790873599</v>
      </c>
      <c r="BS311" s="88">
        <v>1856.8148927280581</v>
      </c>
      <c r="BT311" s="88">
        <v>954.59916133986781</v>
      </c>
      <c r="BU311" s="88">
        <v>954.56863871338078</v>
      </c>
      <c r="BV311" s="88">
        <v>954.53813664596487</v>
      </c>
      <c r="BW311" s="88">
        <v>864.0000000000008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1762.560000000002</v>
      </c>
      <c r="CE311" s="88">
        <v>1762.560000000002</v>
      </c>
      <c r="CF311" s="88">
        <v>864.0000000000008</v>
      </c>
      <c r="CG311" s="88">
        <v>864.0000000000008</v>
      </c>
      <c r="CH311" s="88">
        <v>864.0000000000008</v>
      </c>
      <c r="CI311" s="88">
        <v>21600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87.378156569153731</v>
      </c>
      <c r="CV311" s="88">
        <v>87.349597819582129</v>
      </c>
      <c r="CW311" s="88">
        <v>87.321057732242309</v>
      </c>
      <c r="CX311" s="88">
        <v>87.291569786752092</v>
      </c>
      <c r="CY311" s="88">
        <v>87.262101750443406</v>
      </c>
      <c r="CZ311" s="88">
        <v>87.232653603157928</v>
      </c>
      <c r="DA311" s="88">
        <v>87.203225324770983</v>
      </c>
      <c r="DB311" s="88">
        <v>87.17333495502686</v>
      </c>
      <c r="DC311" s="88">
        <v>87.14394667904611</v>
      </c>
      <c r="DD311" s="88">
        <v>87.114578211412308</v>
      </c>
      <c r="DE311" s="88">
        <v>87.08522953209669</v>
      </c>
      <c r="DF311" s="88">
        <v>87.055900621118454</v>
      </c>
      <c r="DG311" s="93">
        <v>46296</v>
      </c>
      <c r="DH311" s="91">
        <v>0.04</v>
      </c>
      <c r="DI311" t="s">
        <v>300</v>
      </c>
      <c r="DJ311" s="93">
        <v>46600</v>
      </c>
      <c r="DK311" s="91">
        <v>0.04</v>
      </c>
      <c r="DL311" t="s">
        <v>301</v>
      </c>
      <c r="DM311" s="93"/>
      <c r="DN311" s="91"/>
      <c r="DP311" s="93"/>
      <c r="DQ311" s="91"/>
    </row>
    <row r="312" spans="1:121" x14ac:dyDescent="0.3">
      <c r="A312" t="s">
        <v>30</v>
      </c>
      <c r="B312" t="s">
        <v>47</v>
      </c>
      <c r="C312" t="s">
        <v>90</v>
      </c>
      <c r="D312" t="s">
        <v>417</v>
      </c>
      <c r="E312" t="s">
        <v>674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16800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1127.90019674477</v>
      </c>
      <c r="BL312" s="88">
        <v>1127.5209324134239</v>
      </c>
      <c r="BM312" s="88">
        <v>1127.142666012579</v>
      </c>
      <c r="BN312" s="88">
        <v>1126.752622085643</v>
      </c>
      <c r="BO312" s="88">
        <v>1126.363636363641</v>
      </c>
      <c r="BP312" s="88">
        <v>1125.9757045459589</v>
      </c>
      <c r="BQ312" s="88">
        <v>1125.5888223552911</v>
      </c>
      <c r="BR312" s="88">
        <v>1125.196669029059</v>
      </c>
      <c r="BS312" s="88">
        <v>1124.8118903855079</v>
      </c>
      <c r="BT312" s="88">
        <v>1124.428148606268</v>
      </c>
      <c r="BU312" s="88">
        <v>270.5194661960947</v>
      </c>
      <c r="BV312" s="88">
        <v>270.1559608776094</v>
      </c>
      <c r="BW312" s="88">
        <v>840.0000000000008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0</v>
      </c>
      <c r="CH312" s="88">
        <v>0</v>
      </c>
      <c r="CI312" s="88">
        <v>16800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274.19066356644828</v>
      </c>
      <c r="CV312" s="88">
        <v>273.82945944135508</v>
      </c>
      <c r="CW312" s="88">
        <v>273.46920572626442</v>
      </c>
      <c r="CX312" s="88">
        <v>273.09773531966039</v>
      </c>
      <c r="CY312" s="88">
        <v>272.72727272727508</v>
      </c>
      <c r="CZ312" s="88">
        <v>272.35781385329318</v>
      </c>
      <c r="DA312" s="88">
        <v>271.98935462408741</v>
      </c>
      <c r="DB312" s="88">
        <v>271.61587526577068</v>
      </c>
      <c r="DC312" s="88">
        <v>271.24941941476999</v>
      </c>
      <c r="DD312" s="88">
        <v>270.8839510535862</v>
      </c>
      <c r="DE312" s="88">
        <v>270.5194661960947</v>
      </c>
      <c r="DF312" s="88">
        <v>270.1559608776094</v>
      </c>
      <c r="DG312" s="93">
        <v>46327</v>
      </c>
      <c r="DH312" s="91">
        <v>0.05</v>
      </c>
      <c r="DI312" t="s">
        <v>300</v>
      </c>
      <c r="DJ312" s="93"/>
      <c r="DK312" s="91"/>
      <c r="DM312" s="93"/>
      <c r="DN312" s="91"/>
      <c r="DP312" s="93"/>
      <c r="DQ312" s="91"/>
    </row>
    <row r="313" spans="1:121" x14ac:dyDescent="0.3">
      <c r="A313" t="s">
        <v>30</v>
      </c>
      <c r="B313" t="s">
        <v>47</v>
      </c>
      <c r="C313" t="s">
        <v>91</v>
      </c>
      <c r="D313" t="s">
        <v>419</v>
      </c>
      <c r="E313" t="s">
        <v>675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12000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12000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93"/>
      <c r="DH313" s="91"/>
      <c r="DJ313" s="93"/>
      <c r="DK313" s="91"/>
      <c r="DM313" s="93"/>
      <c r="DN313" s="91"/>
      <c r="DP313" s="93"/>
      <c r="DQ313" s="91"/>
    </row>
    <row r="314" spans="1:121" x14ac:dyDescent="0.3">
      <c r="A314" t="s">
        <v>30</v>
      </c>
      <c r="B314" t="s">
        <v>47</v>
      </c>
      <c r="C314" t="s">
        <v>93</v>
      </c>
      <c r="D314" t="s">
        <v>421</v>
      </c>
      <c r="E314" t="s">
        <v>676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27600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336.8723770669983</v>
      </c>
      <c r="BL314" s="88">
        <v>336.5403888554834</v>
      </c>
      <c r="BM314" s="88">
        <v>336.20905434945257</v>
      </c>
      <c r="BN314" s="88">
        <v>335.86717343468348</v>
      </c>
      <c r="BO314" s="88">
        <v>335.52598711052798</v>
      </c>
      <c r="BP314" s="88">
        <v>335.18549326235251</v>
      </c>
      <c r="BQ314" s="88">
        <v>334.84568978410942</v>
      </c>
      <c r="BR314" s="88">
        <v>334.50102103497898</v>
      </c>
      <c r="BS314" s="88">
        <v>334.1626032441016</v>
      </c>
      <c r="BT314" s="88">
        <v>333.82486952199571</v>
      </c>
      <c r="BU314" s="88">
        <v>333.487817796608</v>
      </c>
      <c r="BV314" s="88">
        <v>333.15144600426908</v>
      </c>
      <c r="BW314" s="88">
        <v>0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27600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336.8723770669983</v>
      </c>
      <c r="CV314" s="88">
        <v>336.5403888554834</v>
      </c>
      <c r="CW314" s="88">
        <v>336.20905434945257</v>
      </c>
      <c r="CX314" s="88">
        <v>335.86717343468348</v>
      </c>
      <c r="CY314" s="88">
        <v>335.52598711052798</v>
      </c>
      <c r="CZ314" s="88">
        <v>335.18549326235251</v>
      </c>
      <c r="DA314" s="88">
        <v>334.84568978410942</v>
      </c>
      <c r="DB314" s="88">
        <v>334.50102103497898</v>
      </c>
      <c r="DC314" s="88">
        <v>334.1626032441016</v>
      </c>
      <c r="DD314" s="88">
        <v>333.82486952199571</v>
      </c>
      <c r="DE314" s="88">
        <v>333.487817796608</v>
      </c>
      <c r="DF314" s="88">
        <v>333.15144600426908</v>
      </c>
      <c r="DG314" s="93">
        <v>46023</v>
      </c>
      <c r="DH314" s="91">
        <v>0.02</v>
      </c>
      <c r="DI314" t="s">
        <v>300</v>
      </c>
      <c r="DJ314" s="93"/>
      <c r="DK314" s="91"/>
      <c r="DM314" s="93"/>
      <c r="DN314" s="91"/>
      <c r="DP314" s="93"/>
      <c r="DQ314" s="91"/>
    </row>
    <row r="315" spans="1:121" x14ac:dyDescent="0.3">
      <c r="A315" t="s">
        <v>30</v>
      </c>
      <c r="B315" t="s">
        <v>47</v>
      </c>
      <c r="C315" t="s">
        <v>94</v>
      </c>
      <c r="D315" t="s">
        <v>423</v>
      </c>
      <c r="E315" t="s">
        <v>677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22800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589.53968052808227</v>
      </c>
      <c r="BL315" s="88">
        <v>816.59157351676708</v>
      </c>
      <c r="BM315" s="88">
        <v>816.56053680618129</v>
      </c>
      <c r="BN315" s="88">
        <v>816.52842676550415</v>
      </c>
      <c r="BO315" s="88">
        <v>816.49629511109265</v>
      </c>
      <c r="BP315" s="88">
        <v>816.46414182111141</v>
      </c>
      <c r="BQ315" s="88">
        <v>816.43196687370528</v>
      </c>
      <c r="BR315" s="88">
        <v>816.39924225269476</v>
      </c>
      <c r="BS315" s="88">
        <v>816.36702356879869</v>
      </c>
      <c r="BT315" s="88">
        <v>816.33478316136006</v>
      </c>
      <c r="BU315" s="88">
        <v>816.30252100840175</v>
      </c>
      <c r="BV315" s="88">
        <v>816.27023708791683</v>
      </c>
      <c r="BW315" s="88">
        <v>684.00000000000057</v>
      </c>
      <c r="BX315" s="88">
        <v>912.0000000000008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22800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-91.70904803098874</v>
      </c>
      <c r="CV315" s="88">
        <v>-91.738871618493391</v>
      </c>
      <c r="CW315" s="88">
        <v>-91.7687146094421</v>
      </c>
      <c r="CX315" s="88">
        <v>-91.799589648553862</v>
      </c>
      <c r="CY315" s="88">
        <v>-91.83048547010327</v>
      </c>
      <c r="CZ315" s="88">
        <v>-91.861402095084969</v>
      </c>
      <c r="DA315" s="88">
        <v>-91.892339544513931</v>
      </c>
      <c r="DB315" s="88">
        <v>-91.923805526253716</v>
      </c>
      <c r="DC315" s="88">
        <v>-91.954785030001631</v>
      </c>
      <c r="DD315" s="88">
        <v>-91.985785421768057</v>
      </c>
      <c r="DE315" s="88">
        <v>-92.01680672268941</v>
      </c>
      <c r="DF315" s="88">
        <v>-92.047848953924927</v>
      </c>
      <c r="DG315" s="93">
        <v>46054</v>
      </c>
      <c r="DH315" s="91">
        <v>0.03</v>
      </c>
      <c r="DI315" t="s">
        <v>300</v>
      </c>
      <c r="DJ315" s="93">
        <v>46419</v>
      </c>
      <c r="DK315" s="91">
        <v>0.04</v>
      </c>
      <c r="DL315" t="s">
        <v>301</v>
      </c>
      <c r="DM315" s="93"/>
      <c r="DN315" s="91"/>
      <c r="DP315" s="93"/>
      <c r="DQ315" s="91"/>
    </row>
    <row r="316" spans="1:121" x14ac:dyDescent="0.3">
      <c r="A316" t="s">
        <v>30</v>
      </c>
      <c r="B316" t="s">
        <v>47</v>
      </c>
      <c r="C316" t="s">
        <v>95</v>
      </c>
      <c r="D316" t="s">
        <v>425</v>
      </c>
      <c r="E316" t="s">
        <v>678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18000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146.04705960809559</v>
      </c>
      <c r="BL316" s="88">
        <v>145.95134955014851</v>
      </c>
      <c r="BM316" s="88">
        <v>145.8557648547538</v>
      </c>
      <c r="BN316" s="88">
        <v>145.7570715474192</v>
      </c>
      <c r="BO316" s="88">
        <v>145.65851171143061</v>
      </c>
      <c r="BP316" s="88">
        <v>145.5600850762124</v>
      </c>
      <c r="BQ316" s="88">
        <v>145.46179137192451</v>
      </c>
      <c r="BR316" s="88">
        <v>145.36202223574389</v>
      </c>
      <c r="BS316" s="88">
        <v>145.26399575484339</v>
      </c>
      <c r="BT316" s="88">
        <v>145.16610139532071</v>
      </c>
      <c r="BU316" s="88">
        <v>145.06833889023741</v>
      </c>
      <c r="BV316" s="88">
        <v>144.9707079733904</v>
      </c>
      <c r="BW316" s="88">
        <v>0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18000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146.04705960809559</v>
      </c>
      <c r="CV316" s="88">
        <v>145.95134955014851</v>
      </c>
      <c r="CW316" s="88">
        <v>145.8557648547538</v>
      </c>
      <c r="CX316" s="88">
        <v>145.7570715474192</v>
      </c>
      <c r="CY316" s="88">
        <v>145.65851171143061</v>
      </c>
      <c r="CZ316" s="88">
        <v>145.5600850762124</v>
      </c>
      <c r="DA316" s="88">
        <v>145.46179137192451</v>
      </c>
      <c r="DB316" s="88">
        <v>145.36202223574389</v>
      </c>
      <c r="DC316" s="88">
        <v>145.26399575484339</v>
      </c>
      <c r="DD316" s="88">
        <v>145.16610139532071</v>
      </c>
      <c r="DE316" s="88">
        <v>145.06833889023741</v>
      </c>
      <c r="DF316" s="88">
        <v>144.9707079733904</v>
      </c>
      <c r="DG316" s="93"/>
      <c r="DH316" s="91"/>
      <c r="DJ316" s="93"/>
      <c r="DK316" s="91"/>
      <c r="DM316" s="93"/>
      <c r="DN316" s="91"/>
      <c r="DP316" s="93"/>
      <c r="DQ316" s="91"/>
    </row>
    <row r="317" spans="1:121" x14ac:dyDescent="0.3">
      <c r="A317" t="s">
        <v>32</v>
      </c>
      <c r="B317" t="s">
        <v>42</v>
      </c>
      <c r="C317" t="s">
        <v>43</v>
      </c>
      <c r="D317" t="s">
        <v>298</v>
      </c>
      <c r="E317" t="s">
        <v>679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6400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576.79980274854472</v>
      </c>
      <c r="BL317" s="88">
        <v>576.35796778704253</v>
      </c>
      <c r="BM317" s="88">
        <v>575.91815328174926</v>
      </c>
      <c r="BN317" s="88">
        <v>924.23881643383652</v>
      </c>
      <c r="BO317" s="88">
        <v>923.76580825158499</v>
      </c>
      <c r="BP317" s="88">
        <v>923.29502065108636</v>
      </c>
      <c r="BQ317" s="88">
        <v>508.32682833194701</v>
      </c>
      <c r="BR317" s="88">
        <v>507.87963896797089</v>
      </c>
      <c r="BS317" s="88">
        <v>507.44173013730028</v>
      </c>
      <c r="BT317" s="88">
        <v>507.00585791072109</v>
      </c>
      <c r="BU317" s="88">
        <v>506.57200811359218</v>
      </c>
      <c r="BV317" s="88">
        <v>506.14016670250379</v>
      </c>
      <c r="BW317" s="88">
        <v>384.00000000000028</v>
      </c>
      <c r="BX317" s="88">
        <v>384.00000000000028</v>
      </c>
      <c r="BY317" s="88">
        <v>384.00000000000028</v>
      </c>
      <c r="BZ317" s="88">
        <v>723.19999999999993</v>
      </c>
      <c r="CA317" s="88">
        <v>723.19999999999993</v>
      </c>
      <c r="CB317" s="88">
        <v>723.19999999999993</v>
      </c>
      <c r="CC317" s="88">
        <v>320.00000000000028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6400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181.88660636655101</v>
      </c>
      <c r="CV317" s="88">
        <v>181.46978093117241</v>
      </c>
      <c r="CW317" s="88">
        <v>181.05486158655569</v>
      </c>
      <c r="CX317" s="88">
        <v>180.62786741584631</v>
      </c>
      <c r="CY317" s="88">
        <v>180.2028825261317</v>
      </c>
      <c r="CZ317" s="88">
        <v>179.77989276827199</v>
      </c>
      <c r="DA317" s="88">
        <v>179.35888412566359</v>
      </c>
      <c r="DB317" s="88">
        <v>178.93298949330469</v>
      </c>
      <c r="DC317" s="88">
        <v>178.51593346409521</v>
      </c>
      <c r="DD317" s="88">
        <v>178.10081705782889</v>
      </c>
      <c r="DE317" s="88">
        <v>177.68762677484921</v>
      </c>
      <c r="DF317" s="88">
        <v>177.27634924047919</v>
      </c>
      <c r="DG317" s="93">
        <v>45839</v>
      </c>
      <c r="DH317" s="91">
        <v>0.04</v>
      </c>
      <c r="DI317" t="s">
        <v>300</v>
      </c>
      <c r="DJ317" s="93">
        <v>46204</v>
      </c>
      <c r="DK317" s="91">
        <v>0.06</v>
      </c>
      <c r="DL317" t="s">
        <v>300</v>
      </c>
      <c r="DM317" s="93">
        <v>46478</v>
      </c>
      <c r="DN317" s="91">
        <v>0.05</v>
      </c>
      <c r="DO317" t="s">
        <v>301</v>
      </c>
      <c r="DP317" s="93"/>
      <c r="DQ317" s="91"/>
    </row>
    <row r="318" spans="1:121" x14ac:dyDescent="0.3">
      <c r="A318" t="s">
        <v>32</v>
      </c>
      <c r="B318" t="s">
        <v>42</v>
      </c>
      <c r="C318" t="s">
        <v>46</v>
      </c>
      <c r="D318" t="s">
        <v>302</v>
      </c>
      <c r="E318" t="s">
        <v>680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16800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580.17253502017286</v>
      </c>
      <c r="BL318" s="88">
        <v>748.88472017939307</v>
      </c>
      <c r="BM318" s="88">
        <v>748.85738561382846</v>
      </c>
      <c r="BN318" s="88">
        <v>748.82914488109634</v>
      </c>
      <c r="BO318" s="88">
        <v>748.80092489447475</v>
      </c>
      <c r="BP318" s="88">
        <v>748.77272563111887</v>
      </c>
      <c r="BQ318" s="88">
        <v>748.74454706820279</v>
      </c>
      <c r="BR318" s="88">
        <v>748.7159277504087</v>
      </c>
      <c r="BS318" s="88">
        <v>748.68779085847552</v>
      </c>
      <c r="BT318" s="88">
        <v>748.65967459835861</v>
      </c>
      <c r="BU318" s="88">
        <v>748.63157894736628</v>
      </c>
      <c r="BV318" s="88">
        <v>748.60350388285894</v>
      </c>
      <c r="BW318" s="88">
        <v>504.00000000000051</v>
      </c>
      <c r="BX318" s="88">
        <v>672.00000000000057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16800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73.953917495312993</v>
      </c>
      <c r="CV318" s="88">
        <v>73.92761555710959</v>
      </c>
      <c r="CW318" s="88">
        <v>73.901332320986597</v>
      </c>
      <c r="CX318" s="88">
        <v>73.874177770283111</v>
      </c>
      <c r="CY318" s="88">
        <v>73.84704316776461</v>
      </c>
      <c r="CZ318" s="88">
        <v>73.819928491459308</v>
      </c>
      <c r="DA318" s="88">
        <v>73.792833719425317</v>
      </c>
      <c r="DB318" s="88">
        <v>73.7653151446235</v>
      </c>
      <c r="DC318" s="88">
        <v>73.738260440842751</v>
      </c>
      <c r="DD318" s="88">
        <v>73.71122557534342</v>
      </c>
      <c r="DE318" s="88">
        <v>73.68421052631416</v>
      </c>
      <c r="DF318" s="88">
        <v>73.657215271980903</v>
      </c>
      <c r="DG318" s="93">
        <v>46054</v>
      </c>
      <c r="DH318" s="91">
        <v>0.03</v>
      </c>
      <c r="DI318" t="s">
        <v>300</v>
      </c>
      <c r="DJ318" s="93">
        <v>46419</v>
      </c>
      <c r="DK318" s="91">
        <v>0.04</v>
      </c>
      <c r="DL318" t="s">
        <v>301</v>
      </c>
      <c r="DM318" s="93"/>
      <c r="DN318" s="91"/>
      <c r="DP318" s="93"/>
      <c r="DQ318" s="91"/>
    </row>
    <row r="319" spans="1:121" x14ac:dyDescent="0.3">
      <c r="A319" t="s">
        <v>32</v>
      </c>
      <c r="B319" t="s">
        <v>42</v>
      </c>
      <c r="C319" t="s">
        <v>48</v>
      </c>
      <c r="D319" t="s">
        <v>304</v>
      </c>
      <c r="E319" t="s">
        <v>681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13600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241.72185430463711</v>
      </c>
      <c r="BL319" s="88">
        <v>241.37511852374189</v>
      </c>
      <c r="BM319" s="88">
        <v>241.0293760621515</v>
      </c>
      <c r="BN319" s="88">
        <v>240.67295338294969</v>
      </c>
      <c r="BO319" s="88">
        <v>240.31758326878361</v>
      </c>
      <c r="BP319" s="88">
        <v>239.96326106397831</v>
      </c>
      <c r="BQ319" s="88">
        <v>239.60998214027231</v>
      </c>
      <c r="BR319" s="88">
        <v>239.25197609408161</v>
      </c>
      <c r="BS319" s="88">
        <v>238.90078687104429</v>
      </c>
      <c r="BT319" s="88">
        <v>238.5506271324887</v>
      </c>
      <c r="BU319" s="88">
        <v>238.20149235825949</v>
      </c>
      <c r="BV319" s="88">
        <v>237.85337805462169</v>
      </c>
      <c r="BW319" s="88">
        <v>0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13600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241.72185430463711</v>
      </c>
      <c r="CV319" s="88">
        <v>241.37511852374189</v>
      </c>
      <c r="CW319" s="88">
        <v>241.0293760621515</v>
      </c>
      <c r="CX319" s="88">
        <v>240.67295338294969</v>
      </c>
      <c r="CY319" s="88">
        <v>240.31758326878361</v>
      </c>
      <c r="CZ319" s="88">
        <v>239.96326106397831</v>
      </c>
      <c r="DA319" s="88">
        <v>239.60998214027231</v>
      </c>
      <c r="DB319" s="88">
        <v>239.25197609408161</v>
      </c>
      <c r="DC319" s="88">
        <v>238.90078687104429</v>
      </c>
      <c r="DD319" s="88">
        <v>238.5506271324887</v>
      </c>
      <c r="DE319" s="88">
        <v>238.20149235825949</v>
      </c>
      <c r="DF319" s="88">
        <v>237.85337805462169</v>
      </c>
      <c r="DG319" s="93"/>
      <c r="DH319" s="91"/>
      <c r="DJ319" s="93"/>
      <c r="DK319" s="91"/>
      <c r="DM319" s="93"/>
      <c r="DN319" s="91"/>
      <c r="DP319" s="93"/>
      <c r="DQ319" s="91"/>
    </row>
    <row r="320" spans="1:121" x14ac:dyDescent="0.3">
      <c r="A320" t="s">
        <v>32</v>
      </c>
      <c r="B320" t="s">
        <v>42</v>
      </c>
      <c r="C320" t="s">
        <v>50</v>
      </c>
      <c r="D320" t="s">
        <v>306</v>
      </c>
      <c r="E320" t="s">
        <v>682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10400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520.00000000000045</v>
      </c>
      <c r="BL320" s="88">
        <v>520.00000000000045</v>
      </c>
      <c r="BM320" s="88">
        <v>520.00000000000045</v>
      </c>
      <c r="BN320" s="88">
        <v>0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520.00000000000045</v>
      </c>
      <c r="BX320" s="88">
        <v>520.00000000000045</v>
      </c>
      <c r="BY320" s="88">
        <v>520.00000000000045</v>
      </c>
      <c r="BZ320" s="88">
        <v>0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93">
        <v>46113</v>
      </c>
      <c r="DH320" s="91">
        <v>0.05</v>
      </c>
      <c r="DI320" t="s">
        <v>300</v>
      </c>
      <c r="DJ320" s="93"/>
      <c r="DK320" s="91"/>
      <c r="DM320" s="93"/>
      <c r="DN320" s="91"/>
      <c r="DP320" s="93"/>
      <c r="DQ320" s="91"/>
    </row>
    <row r="321" spans="1:121" x14ac:dyDescent="0.3">
      <c r="A321" t="s">
        <v>32</v>
      </c>
      <c r="B321" t="s">
        <v>42</v>
      </c>
      <c r="C321" t="s">
        <v>57</v>
      </c>
      <c r="D321" t="s">
        <v>308</v>
      </c>
      <c r="E321" t="s">
        <v>683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7200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533.41854213818931</v>
      </c>
      <c r="BL321" s="88">
        <v>533.309734513276</v>
      </c>
      <c r="BM321" s="88">
        <v>533.20116010826052</v>
      </c>
      <c r="BN321" s="88">
        <v>533.08914963106474</v>
      </c>
      <c r="BO321" s="88">
        <v>95.261685687185604</v>
      </c>
      <c r="BP321" s="88">
        <v>95.156481962028579</v>
      </c>
      <c r="BQ321" s="88">
        <v>95.051510347280839</v>
      </c>
      <c r="BR321" s="88">
        <v>94.945054945056199</v>
      </c>
      <c r="BS321" s="88">
        <v>94.840549026212699</v>
      </c>
      <c r="BT321" s="88">
        <v>94.736272913524118</v>
      </c>
      <c r="BU321" s="88">
        <v>94.632225849816905</v>
      </c>
      <c r="BV321" s="88">
        <v>94.52840708123648</v>
      </c>
      <c r="BW321" s="88">
        <v>432.0000000000004</v>
      </c>
      <c r="BX321" s="88">
        <v>432.0000000000004</v>
      </c>
      <c r="BY321" s="88">
        <v>432.0000000000004</v>
      </c>
      <c r="BZ321" s="88">
        <v>432.0000000000004</v>
      </c>
      <c r="CA321" s="88">
        <v>0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7200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95.677869941687987</v>
      </c>
      <c r="CV321" s="88">
        <v>95.575221238939008</v>
      </c>
      <c r="CW321" s="88">
        <v>95.472792554962808</v>
      </c>
      <c r="CX321" s="88">
        <v>95.36712229345703</v>
      </c>
      <c r="CY321" s="88">
        <v>95.261685687185604</v>
      </c>
      <c r="CZ321" s="88">
        <v>95.156481962028579</v>
      </c>
      <c r="DA321" s="88">
        <v>95.051510347280839</v>
      </c>
      <c r="DB321" s="88">
        <v>94.945054945056199</v>
      </c>
      <c r="DC321" s="88">
        <v>94.840549026212699</v>
      </c>
      <c r="DD321" s="88">
        <v>94.736272913524118</v>
      </c>
      <c r="DE321" s="88">
        <v>94.632225849816905</v>
      </c>
      <c r="DF321" s="88">
        <v>94.52840708123648</v>
      </c>
      <c r="DG321" s="93">
        <v>46143</v>
      </c>
      <c r="DH321" s="91">
        <v>0.06</v>
      </c>
      <c r="DI321" t="s">
        <v>300</v>
      </c>
      <c r="DJ321" s="93"/>
      <c r="DK321" s="91"/>
      <c r="DM321" s="93"/>
      <c r="DN321" s="91"/>
      <c r="DP321" s="93"/>
      <c r="DQ321" s="91"/>
    </row>
    <row r="322" spans="1:121" x14ac:dyDescent="0.3">
      <c r="A322" t="s">
        <v>32</v>
      </c>
      <c r="B322" t="s">
        <v>42</v>
      </c>
      <c r="C322" t="s">
        <v>58</v>
      </c>
      <c r="D322" t="s">
        <v>310</v>
      </c>
      <c r="E322" t="s">
        <v>684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17600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911.74154300902364</v>
      </c>
      <c r="BL322" s="88">
        <v>888.61831850873182</v>
      </c>
      <c r="BM322" s="88">
        <v>865.53641487060952</v>
      </c>
      <c r="BN322" s="88">
        <v>841.71540182244337</v>
      </c>
      <c r="BO322" s="88">
        <v>817.93831838793596</v>
      </c>
      <c r="BP322" s="88">
        <v>706.19449271385656</v>
      </c>
      <c r="BQ322" s="88">
        <v>682.61825204205024</v>
      </c>
      <c r="BR322" s="88">
        <v>658.69994524180561</v>
      </c>
      <c r="BS322" s="88">
        <v>635.21100946455465</v>
      </c>
      <c r="BT322" s="88">
        <v>623.65992652585055</v>
      </c>
      <c r="BU322" s="88">
        <v>623.63044942739202</v>
      </c>
      <c r="BV322" s="88">
        <v>623.60095069045553</v>
      </c>
      <c r="BW322" s="88">
        <v>791.99999999999875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704.00000000000068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17600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114.5852086210752</v>
      </c>
      <c r="CV322" s="88">
        <v>92.457721060990039</v>
      </c>
      <c r="CW322" s="88">
        <v>70.369774995798906</v>
      </c>
      <c r="CX322" s="88">
        <v>47.574547198511041</v>
      </c>
      <c r="CY322" s="88">
        <v>24.821357309031811</v>
      </c>
      <c r="CZ322" s="88">
        <v>2.110089147936733</v>
      </c>
      <c r="DA322" s="88">
        <v>-20.559373036491198</v>
      </c>
      <c r="DB322" s="88">
        <v>-43.557744959803557</v>
      </c>
      <c r="DC322" s="88">
        <v>-66.143260130238346</v>
      </c>
      <c r="DD322" s="88">
        <v>-77.250070648219634</v>
      </c>
      <c r="DE322" s="88">
        <v>-77.278414012125467</v>
      </c>
      <c r="DF322" s="88">
        <v>-77.306778182255087</v>
      </c>
      <c r="DG322" s="93">
        <v>46174</v>
      </c>
      <c r="DH322" s="91">
        <v>4.4999999999999998E-2</v>
      </c>
      <c r="DI322" t="s">
        <v>300</v>
      </c>
      <c r="DJ322" s="93">
        <v>46539</v>
      </c>
      <c r="DK322" s="91">
        <v>0.04</v>
      </c>
      <c r="DL322" t="s">
        <v>301</v>
      </c>
      <c r="DM322" s="93"/>
      <c r="DN322" s="91"/>
      <c r="DP322" s="93"/>
      <c r="DQ322" s="91"/>
    </row>
    <row r="323" spans="1:121" x14ac:dyDescent="0.3">
      <c r="A323" t="s">
        <v>32</v>
      </c>
      <c r="B323" t="s">
        <v>42</v>
      </c>
      <c r="C323" t="s">
        <v>65</v>
      </c>
      <c r="D323" t="s">
        <v>312</v>
      </c>
      <c r="E323" t="s">
        <v>685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14400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562.98827713860646</v>
      </c>
      <c r="BL323" s="88">
        <v>562.89484755434205</v>
      </c>
      <c r="BM323" s="88">
        <v>562.80155115551474</v>
      </c>
      <c r="BN323" s="88">
        <v>562.70523189840378</v>
      </c>
      <c r="BO323" s="88">
        <v>562.60905439148837</v>
      </c>
      <c r="BP323" s="88">
        <v>562.51301832208435</v>
      </c>
      <c r="BQ323" s="88">
        <v>126.6185663868164</v>
      </c>
      <c r="BR323" s="88">
        <v>126.5240783313086</v>
      </c>
      <c r="BS323" s="88">
        <v>126.4312518040981</v>
      </c>
      <c r="BT323" s="88">
        <v>126.3385613845344</v>
      </c>
      <c r="BU323" s="88">
        <v>126.24600677347109</v>
      </c>
      <c r="BV323" s="88">
        <v>126.1535876726636</v>
      </c>
      <c r="BW323" s="88">
        <v>432.0000000000004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0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14400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127.17308460058869</v>
      </c>
      <c r="CV323" s="88">
        <v>127.0823762663497</v>
      </c>
      <c r="CW323" s="88">
        <v>126.99179723836269</v>
      </c>
      <c r="CX323" s="88">
        <v>126.8982833965087</v>
      </c>
      <c r="CY323" s="88">
        <v>126.8049071762007</v>
      </c>
      <c r="CZ323" s="88">
        <v>126.7116682738674</v>
      </c>
      <c r="DA323" s="88">
        <v>126.6185663868164</v>
      </c>
      <c r="DB323" s="88">
        <v>126.5240783313086</v>
      </c>
      <c r="DC323" s="88">
        <v>126.4312518040981</v>
      </c>
      <c r="DD323" s="88">
        <v>126.3385613845344</v>
      </c>
      <c r="DE323" s="88">
        <v>126.24600677347109</v>
      </c>
      <c r="DF323" s="88">
        <v>126.1535876726636</v>
      </c>
      <c r="DG323" s="93">
        <v>46204</v>
      </c>
      <c r="DH323" s="91">
        <v>0.03</v>
      </c>
      <c r="DI323" t="s">
        <v>300</v>
      </c>
      <c r="DJ323" s="93"/>
      <c r="DK323" s="91"/>
      <c r="DM323" s="93"/>
      <c r="DN323" s="91"/>
      <c r="DP323" s="93"/>
      <c r="DQ323" s="91"/>
    </row>
    <row r="324" spans="1:121" x14ac:dyDescent="0.3">
      <c r="A324" t="s">
        <v>32</v>
      </c>
      <c r="B324" t="s">
        <v>42</v>
      </c>
      <c r="C324" t="s">
        <v>66</v>
      </c>
      <c r="D324" t="s">
        <v>314</v>
      </c>
      <c r="E324" t="s">
        <v>686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11200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346.39716091720629</v>
      </c>
      <c r="BL324" s="88">
        <v>346.32548128662069</v>
      </c>
      <c r="BM324" s="88">
        <v>346.25370044632751</v>
      </c>
      <c r="BN324" s="88">
        <v>346.17937971500368</v>
      </c>
      <c r="BO324" s="88">
        <v>346.1049503289434</v>
      </c>
      <c r="BP324" s="88">
        <v>346.03041204969543</v>
      </c>
      <c r="BQ324" s="88">
        <v>345.95576463811432</v>
      </c>
      <c r="BR324" s="88">
        <v>-98.192517864649886</v>
      </c>
      <c r="BS324" s="88">
        <v>-98.26450651411011</v>
      </c>
      <c r="BT324" s="88">
        <v>-98.336600796218931</v>
      </c>
      <c r="BU324" s="88">
        <v>-98.408800943645673</v>
      </c>
      <c r="BV324" s="88">
        <v>-98.481107189748585</v>
      </c>
      <c r="BW324" s="88">
        <v>448.0000000000004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0</v>
      </c>
      <c r="CE324" s="88">
        <v>0</v>
      </c>
      <c r="CF324" s="88">
        <v>0</v>
      </c>
      <c r="CG324" s="88">
        <v>0</v>
      </c>
      <c r="CH324" s="88">
        <v>0</v>
      </c>
      <c r="CI324" s="88">
        <v>11200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-97.695037579609334</v>
      </c>
      <c r="CV324" s="88">
        <v>-97.763960301326421</v>
      </c>
      <c r="CW324" s="88">
        <v>-97.832980340069398</v>
      </c>
      <c r="CX324" s="88">
        <v>-97.904442581726954</v>
      </c>
      <c r="CY324" s="88">
        <v>-97.976009299092581</v>
      </c>
      <c r="CZ324" s="88">
        <v>-98.047680721446</v>
      </c>
      <c r="DA324" s="88">
        <v>-98.119457078737156</v>
      </c>
      <c r="DB324" s="88">
        <v>-98.192517864649886</v>
      </c>
      <c r="DC324" s="88">
        <v>-98.26450651411011</v>
      </c>
      <c r="DD324" s="88">
        <v>-98.336600796218931</v>
      </c>
      <c r="DE324" s="88">
        <v>-98.408800943645673</v>
      </c>
      <c r="DF324" s="88">
        <v>-98.481107189748585</v>
      </c>
      <c r="DG324" s="93">
        <v>46235</v>
      </c>
      <c r="DH324" s="91">
        <v>0.04</v>
      </c>
      <c r="DI324" t="s">
        <v>300</v>
      </c>
      <c r="DJ324" s="93"/>
      <c r="DK324" s="91"/>
      <c r="DM324" s="93"/>
      <c r="DN324" s="91"/>
      <c r="DP324" s="93"/>
      <c r="DQ324" s="91"/>
    </row>
    <row r="325" spans="1:121" x14ac:dyDescent="0.3">
      <c r="A325" t="s">
        <v>32</v>
      </c>
      <c r="B325" t="s">
        <v>42</v>
      </c>
      <c r="C325" t="s">
        <v>67</v>
      </c>
      <c r="D325" t="s">
        <v>316</v>
      </c>
      <c r="E325" t="s">
        <v>687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8000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35.216151188244282</v>
      </c>
      <c r="BL325" s="88">
        <v>35.203626455766468</v>
      </c>
      <c r="BM325" s="88">
        <v>35.191110629041233</v>
      </c>
      <c r="BN325" s="88">
        <v>35.178179890611013</v>
      </c>
      <c r="BO325" s="88">
        <v>35.165258651316478</v>
      </c>
      <c r="BP325" s="88">
        <v>35.152346900694909</v>
      </c>
      <c r="BQ325" s="88">
        <v>35.139444628297767</v>
      </c>
      <c r="BR325" s="88">
        <v>35.12634054505881</v>
      </c>
      <c r="BS325" s="88">
        <v>35.113457352782262</v>
      </c>
      <c r="BT325" s="88">
        <v>35.10058360730639</v>
      </c>
      <c r="BU325" s="88">
        <v>35.087719298244828</v>
      </c>
      <c r="BV325" s="88">
        <v>35.074864415229001</v>
      </c>
      <c r="BW325" s="88">
        <v>0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8000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35.216151188244282</v>
      </c>
      <c r="CV325" s="88">
        <v>35.203626455766468</v>
      </c>
      <c r="CW325" s="88">
        <v>35.191110629041233</v>
      </c>
      <c r="CX325" s="88">
        <v>35.178179890611013</v>
      </c>
      <c r="CY325" s="88">
        <v>35.165258651316478</v>
      </c>
      <c r="CZ325" s="88">
        <v>35.152346900694909</v>
      </c>
      <c r="DA325" s="88">
        <v>35.139444628297767</v>
      </c>
      <c r="DB325" s="88">
        <v>35.12634054505881</v>
      </c>
      <c r="DC325" s="88">
        <v>35.113457352782262</v>
      </c>
      <c r="DD325" s="88">
        <v>35.10058360730639</v>
      </c>
      <c r="DE325" s="88">
        <v>35.087719298244828</v>
      </c>
      <c r="DF325" s="88">
        <v>35.074864415229001</v>
      </c>
      <c r="DG325" s="93"/>
      <c r="DH325" s="91"/>
      <c r="DJ325" s="93"/>
      <c r="DK325" s="91"/>
      <c r="DM325" s="93"/>
      <c r="DN325" s="91"/>
      <c r="DP325" s="93"/>
      <c r="DQ325" s="91"/>
    </row>
    <row r="326" spans="1:121" x14ac:dyDescent="0.3">
      <c r="A326" t="s">
        <v>32</v>
      </c>
      <c r="B326" t="s">
        <v>42</v>
      </c>
      <c r="C326" t="s">
        <v>73</v>
      </c>
      <c r="D326" t="s">
        <v>318</v>
      </c>
      <c r="E326" t="s">
        <v>688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18400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1450.6575769380611</v>
      </c>
      <c r="BL326" s="88">
        <v>1450.160317035816</v>
      </c>
      <c r="BM326" s="88">
        <v>1449.6644816703099</v>
      </c>
      <c r="BN326" s="88">
        <v>1449.153329616255</v>
      </c>
      <c r="BO326" s="88">
        <v>1448.643687064291</v>
      </c>
      <c r="BP326" s="88">
        <v>1448.1355473376359</v>
      </c>
      <c r="BQ326" s="88">
        <v>1447.6289037988161</v>
      </c>
      <c r="BR326" s="88">
        <v>1447.115481010218</v>
      </c>
      <c r="BS326" s="88">
        <v>1446.6118343480059</v>
      </c>
      <c r="BT326" s="88">
        <v>1071.654764765243</v>
      </c>
      <c r="BU326" s="88">
        <v>1071.163511600563</v>
      </c>
      <c r="BV326" s="88">
        <v>1070.6736942980319</v>
      </c>
      <c r="BW326" s="88">
        <v>1104.0000000000009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736.00000000000068</v>
      </c>
      <c r="CG326" s="88">
        <v>736.00000000000068</v>
      </c>
      <c r="CH326" s="88">
        <v>736.00000000000068</v>
      </c>
      <c r="CI326" s="88">
        <v>18400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327.03544994156778</v>
      </c>
      <c r="CV326" s="88">
        <v>326.56633682623908</v>
      </c>
      <c r="CW326" s="88">
        <v>326.09856761349909</v>
      </c>
      <c r="CX326" s="88">
        <v>325.61634869457902</v>
      </c>
      <c r="CY326" s="88">
        <v>325.13555383423659</v>
      </c>
      <c r="CZ326" s="88">
        <v>324.65617673361771</v>
      </c>
      <c r="DA326" s="88">
        <v>324.17821113095658</v>
      </c>
      <c r="DB326" s="88">
        <v>323.69385000963979</v>
      </c>
      <c r="DC326" s="88">
        <v>323.21871164906003</v>
      </c>
      <c r="DD326" s="88">
        <v>322.74496612042589</v>
      </c>
      <c r="DE326" s="88">
        <v>322.27260730823338</v>
      </c>
      <c r="DF326" s="88">
        <v>321.80162913272352</v>
      </c>
      <c r="DG326" s="93">
        <v>46296</v>
      </c>
      <c r="DH326" s="91">
        <v>0.06</v>
      </c>
      <c r="DI326" t="s">
        <v>300</v>
      </c>
      <c r="DJ326" s="93">
        <v>46661</v>
      </c>
      <c r="DK326" s="91">
        <v>0.04</v>
      </c>
      <c r="DL326" t="s">
        <v>301</v>
      </c>
      <c r="DM326" s="93"/>
      <c r="DN326" s="91"/>
      <c r="DP326" s="93"/>
      <c r="DQ326" s="91"/>
    </row>
    <row r="327" spans="1:121" x14ac:dyDescent="0.3">
      <c r="A327" t="s">
        <v>32</v>
      </c>
      <c r="B327" t="s">
        <v>42</v>
      </c>
      <c r="C327" t="s">
        <v>78</v>
      </c>
      <c r="D327" t="s">
        <v>320</v>
      </c>
      <c r="E327" t="s">
        <v>689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15200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304.00000000000028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0</v>
      </c>
      <c r="BV327" s="88">
        <v>0</v>
      </c>
      <c r="BW327" s="88">
        <v>304.00000000000028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0</v>
      </c>
      <c r="CH327" s="88">
        <v>0</v>
      </c>
      <c r="CI327" s="88">
        <v>15200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93">
        <v>46327</v>
      </c>
      <c r="DH327" s="91">
        <v>0.02</v>
      </c>
      <c r="DI327" t="s">
        <v>300</v>
      </c>
      <c r="DJ327" s="93"/>
      <c r="DK327" s="91"/>
      <c r="DM327" s="93"/>
      <c r="DN327" s="91"/>
      <c r="DP327" s="93"/>
      <c r="DQ327" s="91"/>
    </row>
    <row r="328" spans="1:121" x14ac:dyDescent="0.3">
      <c r="A328" t="s">
        <v>32</v>
      </c>
      <c r="B328" t="s">
        <v>42</v>
      </c>
      <c r="C328" t="s">
        <v>80</v>
      </c>
      <c r="D328" t="s">
        <v>322</v>
      </c>
      <c r="E328" t="s">
        <v>690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12000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159.46311656948001</v>
      </c>
      <c r="BL328" s="88">
        <v>159.29203539823169</v>
      </c>
      <c r="BM328" s="88">
        <v>159.121320924938</v>
      </c>
      <c r="BN328" s="88">
        <v>158.9452038224284</v>
      </c>
      <c r="BO328" s="88">
        <v>158.76947614530931</v>
      </c>
      <c r="BP328" s="88">
        <v>158.59413660338089</v>
      </c>
      <c r="BQ328" s="88">
        <v>158.41918391213471</v>
      </c>
      <c r="BR328" s="88">
        <v>158.24175824176041</v>
      </c>
      <c r="BS328" s="88">
        <v>158.06758171035449</v>
      </c>
      <c r="BT328" s="88">
        <v>157.89378818920679</v>
      </c>
      <c r="BU328" s="88">
        <v>157.72037641636149</v>
      </c>
      <c r="BV328" s="88">
        <v>157.54734513539421</v>
      </c>
      <c r="BW328" s="88">
        <v>0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12000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159.46311656948001</v>
      </c>
      <c r="CV328" s="88">
        <v>159.29203539823169</v>
      </c>
      <c r="CW328" s="88">
        <v>159.121320924938</v>
      </c>
      <c r="CX328" s="88">
        <v>158.9452038224284</v>
      </c>
      <c r="CY328" s="88">
        <v>158.76947614530931</v>
      </c>
      <c r="CZ328" s="88">
        <v>158.59413660338089</v>
      </c>
      <c r="DA328" s="88">
        <v>158.41918391213471</v>
      </c>
      <c r="DB328" s="88">
        <v>158.24175824176041</v>
      </c>
      <c r="DC328" s="88">
        <v>158.06758171035449</v>
      </c>
      <c r="DD328" s="88">
        <v>157.89378818920679</v>
      </c>
      <c r="DE328" s="88">
        <v>157.72037641636149</v>
      </c>
      <c r="DF328" s="88">
        <v>157.54734513539421</v>
      </c>
      <c r="DG328" s="93"/>
      <c r="DH328" s="91"/>
      <c r="DJ328" s="93"/>
      <c r="DK328" s="91"/>
      <c r="DM328" s="93"/>
      <c r="DN328" s="91"/>
      <c r="DP328" s="93"/>
      <c r="DQ328" s="91"/>
    </row>
    <row r="329" spans="1:121" x14ac:dyDescent="0.3">
      <c r="A329" t="s">
        <v>32</v>
      </c>
      <c r="B329" t="s">
        <v>42</v>
      </c>
      <c r="C329" t="s">
        <v>82</v>
      </c>
      <c r="D329" t="s">
        <v>324</v>
      </c>
      <c r="E329" t="s">
        <v>691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8800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-38.498648591958329</v>
      </c>
      <c r="BL329" s="88">
        <v>-38.512265892904111</v>
      </c>
      <c r="BM329" s="88">
        <v>-38.525892830369472</v>
      </c>
      <c r="BN329" s="88">
        <v>-38.539991840848131</v>
      </c>
      <c r="BO329" s="88">
        <v>-38.554101174507679</v>
      </c>
      <c r="BP329" s="88">
        <v>-38.568220842689087</v>
      </c>
      <c r="BQ329" s="88">
        <v>-38.582350856751901</v>
      </c>
      <c r="BR329" s="88">
        <v>-38.59672312378688</v>
      </c>
      <c r="BS329" s="88">
        <v>-38.610874033827173</v>
      </c>
      <c r="BT329" s="88">
        <v>-38.625035324109817</v>
      </c>
      <c r="BU329" s="88">
        <v>-38.639207006062733</v>
      </c>
      <c r="BV329" s="88">
        <v>-38.653389091127544</v>
      </c>
      <c r="BW329" s="88">
        <v>0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8800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-38.498648591958329</v>
      </c>
      <c r="CV329" s="88">
        <v>-38.512265892904111</v>
      </c>
      <c r="CW329" s="88">
        <v>-38.525892830369472</v>
      </c>
      <c r="CX329" s="88">
        <v>-38.539991840848131</v>
      </c>
      <c r="CY329" s="88">
        <v>-38.554101174507679</v>
      </c>
      <c r="CZ329" s="88">
        <v>-38.568220842689087</v>
      </c>
      <c r="DA329" s="88">
        <v>-38.582350856751901</v>
      </c>
      <c r="DB329" s="88">
        <v>-38.59672312378688</v>
      </c>
      <c r="DC329" s="88">
        <v>-38.610874033827173</v>
      </c>
      <c r="DD329" s="88">
        <v>-38.625035324109817</v>
      </c>
      <c r="DE329" s="88">
        <v>-38.639207006062733</v>
      </c>
      <c r="DF329" s="88">
        <v>-38.653389091127544</v>
      </c>
      <c r="DG329" s="93">
        <v>46023</v>
      </c>
      <c r="DH329" s="91">
        <v>0.04</v>
      </c>
      <c r="DI329" t="s">
        <v>300</v>
      </c>
      <c r="DJ329" s="93"/>
      <c r="DK329" s="91"/>
      <c r="DM329" s="93"/>
      <c r="DN329" s="91"/>
      <c r="DP329" s="93"/>
      <c r="DQ329" s="91"/>
    </row>
    <row r="330" spans="1:121" x14ac:dyDescent="0.3">
      <c r="A330" t="s">
        <v>32</v>
      </c>
      <c r="B330" t="s">
        <v>42</v>
      </c>
      <c r="C330" t="s">
        <v>84</v>
      </c>
      <c r="D330" t="s">
        <v>326</v>
      </c>
      <c r="E330" t="s">
        <v>692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19200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1138.0423184408271</v>
      </c>
      <c r="BL330" s="88">
        <v>169.44316835513291</v>
      </c>
      <c r="BM330" s="88">
        <v>169.32239631781701</v>
      </c>
      <c r="BN330" s="88">
        <v>943.96561964315856</v>
      </c>
      <c r="BO330" s="88">
        <v>943.83613795099996</v>
      </c>
      <c r="BP330" s="88">
        <v>943.70684667309638</v>
      </c>
      <c r="BQ330" s="88">
        <v>943.57774538971739</v>
      </c>
      <c r="BR330" s="88">
        <v>943.44672195274916</v>
      </c>
      <c r="BS330" s="88">
        <v>943.31800250168521</v>
      </c>
      <c r="BT330" s="88">
        <v>943.18947178655606</v>
      </c>
      <c r="BU330" s="88">
        <v>943.0611293925466</v>
      </c>
      <c r="BV330" s="88">
        <v>942.93297490609552</v>
      </c>
      <c r="BW330" s="88">
        <v>960.00000000000091</v>
      </c>
      <c r="BX330" s="88">
        <v>0</v>
      </c>
      <c r="BY330" s="88">
        <v>0</v>
      </c>
      <c r="BZ330" s="88">
        <v>768.00000000000068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19200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169.56411280078501</v>
      </c>
      <c r="CV330" s="88">
        <v>169.44316835513291</v>
      </c>
      <c r="CW330" s="88">
        <v>169.32239631781701</v>
      </c>
      <c r="CX330" s="88">
        <v>169.19771119534491</v>
      </c>
      <c r="CY330" s="88">
        <v>169.07320956826771</v>
      </c>
      <c r="CZ330" s="88">
        <v>168.94889103182319</v>
      </c>
      <c r="DA330" s="88">
        <v>168.82475518242191</v>
      </c>
      <c r="DB330" s="88">
        <v>168.69877110841139</v>
      </c>
      <c r="DC330" s="88">
        <v>168.57500240546409</v>
      </c>
      <c r="DD330" s="88">
        <v>168.45141517937921</v>
      </c>
      <c r="DE330" s="88">
        <v>168.32800903129481</v>
      </c>
      <c r="DF330" s="88">
        <v>168.2047835635515</v>
      </c>
      <c r="DG330" s="93">
        <v>46054</v>
      </c>
      <c r="DH330" s="91">
        <v>0.05</v>
      </c>
      <c r="DI330" t="s">
        <v>300</v>
      </c>
      <c r="DJ330" s="93">
        <v>46478</v>
      </c>
      <c r="DK330" s="91">
        <v>0.04</v>
      </c>
      <c r="DL330" t="s">
        <v>301</v>
      </c>
      <c r="DM330" s="93"/>
      <c r="DN330" s="91"/>
      <c r="DP330" s="93"/>
      <c r="DQ330" s="91"/>
    </row>
    <row r="331" spans="1:121" x14ac:dyDescent="0.3">
      <c r="A331" t="s">
        <v>32</v>
      </c>
      <c r="B331" t="s">
        <v>42</v>
      </c>
      <c r="C331" t="s">
        <v>86</v>
      </c>
      <c r="D331" t="s">
        <v>328</v>
      </c>
      <c r="E331" t="s">
        <v>693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16000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-139.56433939944191</v>
      </c>
      <c r="BL331" s="88">
        <v>-139.66280043046629</v>
      </c>
      <c r="BM331" s="88">
        <v>-139.7614004858134</v>
      </c>
      <c r="BN331" s="88">
        <v>-139.86348940246711</v>
      </c>
      <c r="BO331" s="88">
        <v>-139.96572757013229</v>
      </c>
      <c r="BP331" s="88">
        <v>-140.06811531635151</v>
      </c>
      <c r="BQ331" s="88">
        <v>-140.17065296962451</v>
      </c>
      <c r="BR331" s="88">
        <v>-140.27502552092841</v>
      </c>
      <c r="BS331" s="88">
        <v>-140.37786644872881</v>
      </c>
      <c r="BT331" s="88">
        <v>-140.48085828031279</v>
      </c>
      <c r="BU331" s="88">
        <v>-140.5840013480653</v>
      </c>
      <c r="BV331" s="88">
        <v>-140.68729598535509</v>
      </c>
      <c r="BW331" s="88">
        <v>0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16000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-139.56433939944191</v>
      </c>
      <c r="CV331" s="88">
        <v>-139.66280043046629</v>
      </c>
      <c r="CW331" s="88">
        <v>-139.7614004858134</v>
      </c>
      <c r="CX331" s="88">
        <v>-139.86348940246711</v>
      </c>
      <c r="CY331" s="88">
        <v>-139.96572757013229</v>
      </c>
      <c r="CZ331" s="88">
        <v>-140.06811531635151</v>
      </c>
      <c r="DA331" s="88">
        <v>-140.17065296962451</v>
      </c>
      <c r="DB331" s="88">
        <v>-140.27502552092841</v>
      </c>
      <c r="DC331" s="88">
        <v>-140.37786644872881</v>
      </c>
      <c r="DD331" s="88">
        <v>-140.48085828031279</v>
      </c>
      <c r="DE331" s="88">
        <v>-140.5840013480653</v>
      </c>
      <c r="DF331" s="88">
        <v>-140.68729598535509</v>
      </c>
      <c r="DG331" s="93"/>
      <c r="DH331" s="91"/>
      <c r="DJ331" s="93"/>
      <c r="DK331" s="91"/>
      <c r="DM331" s="93"/>
      <c r="DN331" s="91"/>
      <c r="DP331" s="93"/>
      <c r="DQ331" s="91"/>
    </row>
    <row r="332" spans="1:121" x14ac:dyDescent="0.3">
      <c r="A332" t="s">
        <v>32</v>
      </c>
      <c r="B332" t="s">
        <v>42</v>
      </c>
      <c r="C332" t="s">
        <v>88</v>
      </c>
      <c r="D332" t="s">
        <v>330</v>
      </c>
      <c r="E332" t="s">
        <v>694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12800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313.4727587392149</v>
      </c>
      <c r="BL332" s="88">
        <v>313.45231837581201</v>
      </c>
      <c r="BM332" s="88">
        <v>313.43189254659478</v>
      </c>
      <c r="BN332" s="88">
        <v>56.285087824977609</v>
      </c>
      <c r="BO332" s="88">
        <v>56.264413842106357</v>
      </c>
      <c r="BP332" s="88">
        <v>56.243755041111847</v>
      </c>
      <c r="BQ332" s="88">
        <v>56.223111405276427</v>
      </c>
      <c r="BR332" s="88">
        <v>56.202144872094102</v>
      </c>
      <c r="BS332" s="88">
        <v>56.18153176445162</v>
      </c>
      <c r="BT332" s="88">
        <v>56.160933771690217</v>
      </c>
      <c r="BU332" s="88">
        <v>56.140350877191743</v>
      </c>
      <c r="BV332" s="88">
        <v>56.119783064366402</v>
      </c>
      <c r="BW332" s="88">
        <v>256.00000000000023</v>
      </c>
      <c r="BX332" s="88">
        <v>256.00000000000023</v>
      </c>
      <c r="BY332" s="88">
        <v>256.00000000000023</v>
      </c>
      <c r="BZ332" s="88">
        <v>0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12800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56.345841901190852</v>
      </c>
      <c r="CV332" s="88">
        <v>56.325802329226349</v>
      </c>
      <c r="CW332" s="88">
        <v>56.305777006465973</v>
      </c>
      <c r="CX332" s="88">
        <v>56.285087824977609</v>
      </c>
      <c r="CY332" s="88">
        <v>56.264413842106357</v>
      </c>
      <c r="CZ332" s="88">
        <v>56.243755041111847</v>
      </c>
      <c r="DA332" s="88">
        <v>56.223111405276427</v>
      </c>
      <c r="DB332" s="88">
        <v>56.202144872094102</v>
      </c>
      <c r="DC332" s="88">
        <v>56.18153176445162</v>
      </c>
      <c r="DD332" s="88">
        <v>56.160933771690217</v>
      </c>
      <c r="DE332" s="88">
        <v>56.140350877191743</v>
      </c>
      <c r="DF332" s="88">
        <v>56.119783064366402</v>
      </c>
      <c r="DG332" s="93">
        <v>46113</v>
      </c>
      <c r="DH332" s="91">
        <v>0.02</v>
      </c>
      <c r="DI332" t="s">
        <v>300</v>
      </c>
      <c r="DJ332" s="93"/>
      <c r="DK332" s="91"/>
      <c r="DM332" s="93"/>
      <c r="DN332" s="91"/>
      <c r="DP332" s="93"/>
      <c r="DQ332" s="91"/>
    </row>
    <row r="333" spans="1:121" x14ac:dyDescent="0.3">
      <c r="A333" t="s">
        <v>32</v>
      </c>
      <c r="B333" t="s">
        <v>42</v>
      </c>
      <c r="C333" t="s">
        <v>90</v>
      </c>
      <c r="D333" t="s">
        <v>332</v>
      </c>
      <c r="E333" t="s">
        <v>695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9600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463.74600701207811</v>
      </c>
      <c r="BL333" s="88">
        <v>463.49390970314488</v>
      </c>
      <c r="BM333" s="88">
        <v>463.24253459577631</v>
      </c>
      <c r="BN333" s="88">
        <v>462.98339434195549</v>
      </c>
      <c r="BO333" s="88">
        <v>169.6359411309061</v>
      </c>
      <c r="BP333" s="88">
        <v>169.38583133927881</v>
      </c>
      <c r="BQ333" s="88">
        <v>169.13645798136869</v>
      </c>
      <c r="BR333" s="88">
        <v>168.88374783111641</v>
      </c>
      <c r="BS333" s="88">
        <v>168.6358495560313</v>
      </c>
      <c r="BT333" s="88">
        <v>168.3886779758744</v>
      </c>
      <c r="BU333" s="88">
        <v>168.14222989994789</v>
      </c>
      <c r="BV333" s="88">
        <v>167.89650215620361</v>
      </c>
      <c r="BW333" s="88">
        <v>288.00000000000023</v>
      </c>
      <c r="BX333" s="88">
        <v>288.00000000000023</v>
      </c>
      <c r="BY333" s="88">
        <v>288.00000000000023</v>
      </c>
      <c r="BZ333" s="88">
        <v>288.00000000000023</v>
      </c>
      <c r="CA333" s="88">
        <v>0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9600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170.62719127386151</v>
      </c>
      <c r="CV333" s="88">
        <v>170.3824366049943</v>
      </c>
      <c r="CW333" s="88">
        <v>170.1383831026952</v>
      </c>
      <c r="CX333" s="88">
        <v>169.88679062325861</v>
      </c>
      <c r="CY333" s="88">
        <v>169.6359411309061</v>
      </c>
      <c r="CZ333" s="88">
        <v>169.38583133927881</v>
      </c>
      <c r="DA333" s="88">
        <v>169.13645798136869</v>
      </c>
      <c r="DB333" s="88">
        <v>168.88374783111641</v>
      </c>
      <c r="DC333" s="88">
        <v>168.6358495560313</v>
      </c>
      <c r="DD333" s="88">
        <v>168.3886779758744</v>
      </c>
      <c r="DE333" s="88">
        <v>168.14222989994789</v>
      </c>
      <c r="DF333" s="88">
        <v>167.89650215620361</v>
      </c>
      <c r="DG333" s="93">
        <v>46143</v>
      </c>
      <c r="DH333" s="91">
        <v>0.03</v>
      </c>
      <c r="DI333" t="s">
        <v>300</v>
      </c>
      <c r="DJ333" s="93"/>
      <c r="DK333" s="91"/>
      <c r="DM333" s="93"/>
      <c r="DN333" s="91"/>
      <c r="DP333" s="93"/>
      <c r="DQ333" s="91"/>
    </row>
    <row r="334" spans="1:121" x14ac:dyDescent="0.3">
      <c r="A334" t="s">
        <v>32</v>
      </c>
      <c r="B334" t="s">
        <v>42</v>
      </c>
      <c r="C334" t="s">
        <v>91</v>
      </c>
      <c r="D334" t="s">
        <v>334</v>
      </c>
      <c r="E334" t="s">
        <v>696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6400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256.00000000000023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0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256.00000000000023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6400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93">
        <v>46600</v>
      </c>
      <c r="DH334" s="91">
        <v>0.04</v>
      </c>
      <c r="DI334" t="s">
        <v>301</v>
      </c>
      <c r="DJ334" s="93"/>
      <c r="DK334" s="91"/>
      <c r="DM334" s="93"/>
      <c r="DN334" s="91"/>
      <c r="DP334" s="93"/>
      <c r="DQ334" s="91"/>
    </row>
    <row r="335" spans="1:121" x14ac:dyDescent="0.3">
      <c r="A335" t="s">
        <v>32</v>
      </c>
      <c r="B335" t="s">
        <v>42</v>
      </c>
      <c r="C335" t="s">
        <v>93</v>
      </c>
      <c r="D335" t="s">
        <v>336</v>
      </c>
      <c r="E335" t="s">
        <v>697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16800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1074.4107813571361</v>
      </c>
      <c r="BL335" s="88">
        <v>1074.1592920354001</v>
      </c>
      <c r="BM335" s="88">
        <v>1073.9083417596589</v>
      </c>
      <c r="BN335" s="88">
        <v>1073.6494496189709</v>
      </c>
      <c r="BO335" s="88">
        <v>1073.3911299336071</v>
      </c>
      <c r="BP335" s="88">
        <v>1073.1333808069719</v>
      </c>
      <c r="BQ335" s="88">
        <v>221.78685747698859</v>
      </c>
      <c r="BR335" s="88">
        <v>221.5384615384645</v>
      </c>
      <c r="BS335" s="88">
        <v>221.29461439449631</v>
      </c>
      <c r="BT335" s="88">
        <v>221.0513034648896</v>
      </c>
      <c r="BU335" s="88">
        <v>220.8085269829061</v>
      </c>
      <c r="BV335" s="88">
        <v>220.5662831895518</v>
      </c>
      <c r="BW335" s="88">
        <v>840.0000000000008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0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16800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223.248363197272</v>
      </c>
      <c r="CV335" s="88">
        <v>223.00884955752429</v>
      </c>
      <c r="CW335" s="88">
        <v>222.7698492949132</v>
      </c>
      <c r="CX335" s="88">
        <v>222.52328535139969</v>
      </c>
      <c r="CY335" s="88">
        <v>222.27726660343311</v>
      </c>
      <c r="CZ335" s="88">
        <v>222.03179124473331</v>
      </c>
      <c r="DA335" s="88">
        <v>221.78685747698859</v>
      </c>
      <c r="DB335" s="88">
        <v>221.5384615384645</v>
      </c>
      <c r="DC335" s="88">
        <v>221.29461439449631</v>
      </c>
      <c r="DD335" s="88">
        <v>221.0513034648896</v>
      </c>
      <c r="DE335" s="88">
        <v>220.8085269829061</v>
      </c>
      <c r="DF335" s="88">
        <v>220.5662831895518</v>
      </c>
      <c r="DG335" s="93">
        <v>46204</v>
      </c>
      <c r="DH335" s="91">
        <v>0.05</v>
      </c>
      <c r="DI335" t="s">
        <v>300</v>
      </c>
      <c r="DJ335" s="93"/>
      <c r="DK335" s="91"/>
      <c r="DM335" s="93"/>
      <c r="DN335" s="91"/>
      <c r="DP335" s="93"/>
      <c r="DQ335" s="91"/>
    </row>
    <row r="336" spans="1:121" x14ac:dyDescent="0.3">
      <c r="A336" t="s">
        <v>32</v>
      </c>
      <c r="B336" t="s">
        <v>42</v>
      </c>
      <c r="C336" t="s">
        <v>94</v>
      </c>
      <c r="D336" t="s">
        <v>338</v>
      </c>
      <c r="E336" t="s">
        <v>698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13600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752.93221385208483</v>
      </c>
      <c r="BL336" s="88">
        <v>752.90990623726123</v>
      </c>
      <c r="BM336" s="88">
        <v>752.88758283606933</v>
      </c>
      <c r="BN336" s="88">
        <v>752.86448609344689</v>
      </c>
      <c r="BO336" s="88">
        <v>752.84137243958116</v>
      </c>
      <c r="BP336" s="88">
        <v>752.81824185588528</v>
      </c>
      <c r="BQ336" s="88">
        <v>752.79509432375721</v>
      </c>
      <c r="BR336" s="88">
        <v>-59.649481191306997</v>
      </c>
      <c r="BS336" s="88">
        <v>-59.671350779551076</v>
      </c>
      <c r="BT336" s="88">
        <v>-59.69323640998789</v>
      </c>
      <c r="BU336" s="88">
        <v>-59.715138100278779</v>
      </c>
      <c r="BV336" s="88">
        <v>-59.737055868106196</v>
      </c>
      <c r="BW336" s="88">
        <v>816.00000000000068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0</v>
      </c>
      <c r="CE336" s="88">
        <v>0</v>
      </c>
      <c r="CF336" s="88">
        <v>0</v>
      </c>
      <c r="CG336" s="88">
        <v>0</v>
      </c>
      <c r="CH336" s="88">
        <v>0</v>
      </c>
      <c r="CI336" s="88">
        <v>13600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-59.497911460299242</v>
      </c>
      <c r="CV336" s="88">
        <v>-59.518956379942708</v>
      </c>
      <c r="CW336" s="88">
        <v>-59.540016192389167</v>
      </c>
      <c r="CX336" s="88">
        <v>-59.561805572219839</v>
      </c>
      <c r="CY336" s="88">
        <v>-59.583610906057331</v>
      </c>
      <c r="CZ336" s="88">
        <v>-59.605432211428599</v>
      </c>
      <c r="DA336" s="88">
        <v>-59.627269505889302</v>
      </c>
      <c r="DB336" s="88">
        <v>-59.649481191306997</v>
      </c>
      <c r="DC336" s="88">
        <v>-59.671350779551076</v>
      </c>
      <c r="DD336" s="88">
        <v>-59.69323640998789</v>
      </c>
      <c r="DE336" s="88">
        <v>-59.715138100278779</v>
      </c>
      <c r="DF336" s="88">
        <v>-59.737055868106196</v>
      </c>
      <c r="DG336" s="93">
        <v>46235</v>
      </c>
      <c r="DH336" s="91">
        <v>0.06</v>
      </c>
      <c r="DI336" t="s">
        <v>300</v>
      </c>
      <c r="DJ336" s="93"/>
      <c r="DK336" s="91"/>
      <c r="DM336" s="93"/>
      <c r="DN336" s="91"/>
      <c r="DP336" s="93"/>
      <c r="DQ336" s="91"/>
    </row>
    <row r="337" spans="1:121" x14ac:dyDescent="0.3">
      <c r="A337" t="s">
        <v>32</v>
      </c>
      <c r="B337" t="s">
        <v>42</v>
      </c>
      <c r="C337" t="s">
        <v>95</v>
      </c>
      <c r="D337" t="s">
        <v>340</v>
      </c>
      <c r="E337" t="s">
        <v>699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10400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91.847227767091866</v>
      </c>
      <c r="BL337" s="88">
        <v>91.78171619236366</v>
      </c>
      <c r="BM337" s="88">
        <v>91.716298005484191</v>
      </c>
      <c r="BN337" s="88">
        <v>91.648760230811803</v>
      </c>
      <c r="BO337" s="88">
        <v>91.581321849478314</v>
      </c>
      <c r="BP337" s="88">
        <v>91.513982642237579</v>
      </c>
      <c r="BQ337" s="88">
        <v>91.446742390478519</v>
      </c>
      <c r="BR337" s="88">
        <v>91.378501017056209</v>
      </c>
      <c r="BS337" s="88">
        <v>91.31145963629308</v>
      </c>
      <c r="BT337" s="88">
        <v>91.244516555497057</v>
      </c>
      <c r="BU337" s="88">
        <v>91.177671558618016</v>
      </c>
      <c r="BV337" s="88">
        <v>91.110924430257086</v>
      </c>
      <c r="BW337" s="88">
        <v>0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10400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91.847227767091866</v>
      </c>
      <c r="CV337" s="88">
        <v>91.78171619236366</v>
      </c>
      <c r="CW337" s="88">
        <v>91.716298005484191</v>
      </c>
      <c r="CX337" s="88">
        <v>91.648760230811803</v>
      </c>
      <c r="CY337" s="88">
        <v>91.581321849478314</v>
      </c>
      <c r="CZ337" s="88">
        <v>91.513982642237579</v>
      </c>
      <c r="DA337" s="88">
        <v>91.446742390478519</v>
      </c>
      <c r="DB337" s="88">
        <v>91.378501017056209</v>
      </c>
      <c r="DC337" s="88">
        <v>91.31145963629308</v>
      </c>
      <c r="DD337" s="88">
        <v>91.244516555497057</v>
      </c>
      <c r="DE337" s="88">
        <v>91.177671558618016</v>
      </c>
      <c r="DF337" s="88">
        <v>91.110924430257086</v>
      </c>
      <c r="DG337" s="93"/>
      <c r="DH337" s="91"/>
      <c r="DJ337" s="93"/>
      <c r="DK337" s="91"/>
      <c r="DM337" s="93"/>
      <c r="DN337" s="91"/>
      <c r="DP337" s="93"/>
      <c r="DQ337" s="91"/>
    </row>
    <row r="338" spans="1:121" x14ac:dyDescent="0.3">
      <c r="A338" t="s">
        <v>32</v>
      </c>
      <c r="B338" t="s">
        <v>45</v>
      </c>
      <c r="C338" t="s">
        <v>43</v>
      </c>
      <c r="D338" t="s">
        <v>342</v>
      </c>
      <c r="E338" t="s">
        <v>700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7200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151.31192868835871</v>
      </c>
      <c r="BL338" s="88">
        <v>445.31694368049978</v>
      </c>
      <c r="BM338" s="88">
        <v>445.26941450981911</v>
      </c>
      <c r="BN338" s="88">
        <v>445.22020356843638</v>
      </c>
      <c r="BO338" s="88">
        <v>445.1709206820949</v>
      </c>
      <c r="BP338" s="88">
        <v>445.12156569290647</v>
      </c>
      <c r="BQ338" s="88">
        <v>445.07213844252271</v>
      </c>
      <c r="BR338" s="88">
        <v>445.02182669789312</v>
      </c>
      <c r="BS338" s="88">
        <v>444.97225325705602</v>
      </c>
      <c r="BT338" s="88">
        <v>222.25495832481349</v>
      </c>
      <c r="BU338" s="88">
        <v>222.20668736910571</v>
      </c>
      <c r="BV338" s="88">
        <v>222.15834547885331</v>
      </c>
      <c r="BW338" s="88">
        <v>216.0000000000002</v>
      </c>
      <c r="BX338" s="88">
        <v>512.64000000000112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288.00000000000023</v>
      </c>
      <c r="CG338" s="88">
        <v>288.00000000000023</v>
      </c>
      <c r="CH338" s="88">
        <v>288.00000000000023</v>
      </c>
      <c r="CI338" s="88">
        <v>7200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-62.803952729748858</v>
      </c>
      <c r="CV338" s="88">
        <v>-62.848260193709827</v>
      </c>
      <c r="CW338" s="88">
        <v>-62.892630218616041</v>
      </c>
      <c r="CX338" s="88">
        <v>-62.938570231110177</v>
      </c>
      <c r="CY338" s="88">
        <v>-62.984577406559517</v>
      </c>
      <c r="CZ338" s="88">
        <v>-63.030651892358151</v>
      </c>
      <c r="DA338" s="88">
        <v>-63.076793836331021</v>
      </c>
      <c r="DB338" s="88">
        <v>-63.123761484417777</v>
      </c>
      <c r="DC338" s="88">
        <v>-63.170039901927943</v>
      </c>
      <c r="DD338" s="88">
        <v>-63.216386226140742</v>
      </c>
      <c r="DE338" s="88">
        <v>-63.262800606629369</v>
      </c>
      <c r="DF338" s="88">
        <v>-63.309283193409797</v>
      </c>
      <c r="DG338" s="93">
        <v>46296</v>
      </c>
      <c r="DH338" s="91">
        <v>0.03</v>
      </c>
      <c r="DI338" t="s">
        <v>300</v>
      </c>
      <c r="DJ338" s="93">
        <v>46419</v>
      </c>
      <c r="DK338" s="91">
        <v>0.04</v>
      </c>
      <c r="DL338" t="s">
        <v>301</v>
      </c>
      <c r="DM338" s="93"/>
      <c r="DN338" s="91"/>
      <c r="DP338" s="93"/>
      <c r="DQ338" s="91"/>
    </row>
    <row r="339" spans="1:121" x14ac:dyDescent="0.3">
      <c r="A339" t="s">
        <v>32</v>
      </c>
      <c r="B339" t="s">
        <v>45</v>
      </c>
      <c r="C339" t="s">
        <v>46</v>
      </c>
      <c r="D339" t="s">
        <v>344</v>
      </c>
      <c r="E339" t="s">
        <v>701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17600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784.57455391870349</v>
      </c>
      <c r="BL339" s="88">
        <v>784.54589733079274</v>
      </c>
      <c r="BM339" s="88">
        <v>784.51726111924881</v>
      </c>
      <c r="BN339" s="88">
        <v>784.48767558971997</v>
      </c>
      <c r="BO339" s="88">
        <v>784.45811179421162</v>
      </c>
      <c r="BP339" s="88">
        <v>784.4285697087912</v>
      </c>
      <c r="BQ339" s="88">
        <v>784.39904930954572</v>
      </c>
      <c r="BR339" s="88">
        <v>784.36906716709484</v>
      </c>
      <c r="BS339" s="88">
        <v>784.33959042316485</v>
      </c>
      <c r="BT339" s="88">
        <v>784.31013529351856</v>
      </c>
      <c r="BU339" s="88">
        <v>77.192982456138637</v>
      </c>
      <c r="BV339" s="88">
        <v>77.164701713503803</v>
      </c>
      <c r="BW339" s="88">
        <v>704.00000000000068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0</v>
      </c>
      <c r="CH339" s="88">
        <v>0</v>
      </c>
      <c r="CI339" s="88">
        <v>17600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77.475532614137421</v>
      </c>
      <c r="CV339" s="88">
        <v>77.44797820268623</v>
      </c>
      <c r="CW339" s="88">
        <v>77.420443383890714</v>
      </c>
      <c r="CX339" s="88">
        <v>77.391995759344212</v>
      </c>
      <c r="CY339" s="88">
        <v>77.363569032896251</v>
      </c>
      <c r="CZ339" s="88">
        <v>77.335163181528799</v>
      </c>
      <c r="DA339" s="88">
        <v>77.306778182255087</v>
      </c>
      <c r="DB339" s="88">
        <v>77.277949199129381</v>
      </c>
      <c r="DC339" s="88">
        <v>77.249606176120977</v>
      </c>
      <c r="DD339" s="88">
        <v>77.221283936074059</v>
      </c>
      <c r="DE339" s="88">
        <v>77.192982456138637</v>
      </c>
      <c r="DF339" s="88">
        <v>77.164701713503803</v>
      </c>
      <c r="DG339" s="93">
        <v>46327</v>
      </c>
      <c r="DH339" s="91">
        <v>0.04</v>
      </c>
      <c r="DI339" t="s">
        <v>300</v>
      </c>
      <c r="DJ339" s="93"/>
      <c r="DK339" s="91"/>
      <c r="DM339" s="93"/>
      <c r="DN339" s="91"/>
      <c r="DP339" s="93"/>
      <c r="DQ339" s="91"/>
    </row>
    <row r="340" spans="1:121" x14ac:dyDescent="0.3">
      <c r="A340" t="s">
        <v>32</v>
      </c>
      <c r="B340" t="s">
        <v>45</v>
      </c>
      <c r="C340" t="s">
        <v>48</v>
      </c>
      <c r="D340" t="s">
        <v>346</v>
      </c>
      <c r="E340" t="s">
        <v>702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14400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1371.2342103641649</v>
      </c>
      <c r="BL340" s="88">
        <v>1314.1060903732809</v>
      </c>
      <c r="BM340" s="88">
        <v>1570.5381537896869</v>
      </c>
      <c r="BN340" s="88">
        <v>753.49000487566968</v>
      </c>
      <c r="BO340" s="88">
        <v>945.73852465727271</v>
      </c>
      <c r="BP340" s="88">
        <v>1092.898845735031</v>
      </c>
      <c r="BQ340" s="88">
        <v>1035.936225664519</v>
      </c>
      <c r="BR340" s="88">
        <v>978.46741848315662</v>
      </c>
      <c r="BS340" s="88">
        <v>1083.2262120473879</v>
      </c>
      <c r="BT340" s="88">
        <v>1026.923571276305</v>
      </c>
      <c r="BU340" s="88">
        <v>971.02892065573735</v>
      </c>
      <c r="BV340" s="88">
        <v>915.53784151979687</v>
      </c>
      <c r="BW340" s="88">
        <v>720.00000000000068</v>
      </c>
      <c r="BX340" s="88">
        <v>720.00000000000068</v>
      </c>
      <c r="BY340" s="88">
        <v>720.00000000000068</v>
      </c>
      <c r="BZ340" s="88">
        <v>0</v>
      </c>
      <c r="CA340" s="88">
        <v>236.90322580645039</v>
      </c>
      <c r="CB340" s="88">
        <v>432.0000000000004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14400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620.22305748967983</v>
      </c>
      <c r="CV340" s="88">
        <v>565.81532416502898</v>
      </c>
      <c r="CW340" s="88">
        <v>810.03633694255757</v>
      </c>
      <c r="CX340" s="88">
        <v>753.49000487566968</v>
      </c>
      <c r="CY340" s="88">
        <v>697.36255996113846</v>
      </c>
      <c r="CZ340" s="88">
        <v>641.64936479129005</v>
      </c>
      <c r="DA340" s="88">
        <v>586.34585015972573</v>
      </c>
      <c r="DB340" s="88">
        <v>530.55089173122099</v>
      </c>
      <c r="DC340" s="88">
        <v>632.25845829843342</v>
      </c>
      <c r="DD340" s="88">
        <v>577.59570026825634</v>
      </c>
      <c r="DE340" s="88">
        <v>523.32904918032739</v>
      </c>
      <c r="DF340" s="88">
        <v>469.45421506776228</v>
      </c>
      <c r="DG340" s="93">
        <v>46113</v>
      </c>
      <c r="DH340" s="91">
        <v>0.05</v>
      </c>
      <c r="DI340" t="s">
        <v>300</v>
      </c>
      <c r="DJ340" s="93">
        <v>46522</v>
      </c>
      <c r="DK340" s="91">
        <v>0.03</v>
      </c>
      <c r="DL340" t="s">
        <v>301</v>
      </c>
      <c r="DM340" s="93"/>
      <c r="DN340" s="91"/>
      <c r="DP340" s="93"/>
      <c r="DQ340" s="91"/>
    </row>
    <row r="341" spans="1:121" x14ac:dyDescent="0.3">
      <c r="A341" t="s">
        <v>32</v>
      </c>
      <c r="B341" t="s">
        <v>45</v>
      </c>
      <c r="C341" t="s">
        <v>50</v>
      </c>
      <c r="D341" t="s">
        <v>348</v>
      </c>
      <c r="E341" t="s">
        <v>703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11200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896.0000000000008</v>
      </c>
      <c r="BL341" s="88">
        <v>896.0000000000008</v>
      </c>
      <c r="BM341" s="88">
        <v>1476.608000000002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537.60000000000048</v>
      </c>
      <c r="BU341" s="88">
        <v>537.60000000000048</v>
      </c>
      <c r="BV341" s="88">
        <v>537.60000000000048</v>
      </c>
      <c r="BW341" s="88">
        <v>896.0000000000008</v>
      </c>
      <c r="BX341" s="88">
        <v>896.0000000000008</v>
      </c>
      <c r="BY341" s="88">
        <v>1476.608000000002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537.60000000000048</v>
      </c>
      <c r="CG341" s="88">
        <v>537.60000000000048</v>
      </c>
      <c r="CH341" s="88">
        <v>537.60000000000048</v>
      </c>
      <c r="CI341" s="88">
        <v>11200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93">
        <v>46296</v>
      </c>
      <c r="DH341" s="91">
        <v>0.08</v>
      </c>
      <c r="DI341" t="s">
        <v>300</v>
      </c>
      <c r="DJ341" s="93">
        <v>46447</v>
      </c>
      <c r="DK341" s="91">
        <v>4.8000000000000001E-2</v>
      </c>
      <c r="DL341" t="s">
        <v>301</v>
      </c>
      <c r="DM341" s="93"/>
      <c r="DN341" s="91"/>
      <c r="DP341" s="93"/>
      <c r="DQ341" s="91"/>
    </row>
    <row r="342" spans="1:121" x14ac:dyDescent="0.3">
      <c r="A342" t="s">
        <v>32</v>
      </c>
      <c r="B342" t="s">
        <v>45</v>
      </c>
      <c r="C342" t="s">
        <v>57</v>
      </c>
      <c r="D342" t="s">
        <v>350</v>
      </c>
      <c r="E342" t="s">
        <v>704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8000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268.43491926724641</v>
      </c>
      <c r="BL342" s="88">
        <v>106.19469026548779</v>
      </c>
      <c r="BM342" s="88">
        <v>106.08088061662539</v>
      </c>
      <c r="BN342" s="88">
        <v>105.9634692149523</v>
      </c>
      <c r="BO342" s="88">
        <v>105.8463174302062</v>
      </c>
      <c r="BP342" s="88">
        <v>429.95860137834359</v>
      </c>
      <c r="BQ342" s="88">
        <v>429.83730084574739</v>
      </c>
      <c r="BR342" s="88">
        <v>429.71428571428658</v>
      </c>
      <c r="BS342" s="88">
        <v>429.59352331917881</v>
      </c>
      <c r="BT342" s="88">
        <v>429.47302647785079</v>
      </c>
      <c r="BU342" s="88">
        <v>429.35279431534389</v>
      </c>
      <c r="BV342" s="88">
        <v>429.2328259605398</v>
      </c>
      <c r="BW342" s="88">
        <v>160.00000000000011</v>
      </c>
      <c r="BX342" s="88">
        <v>0</v>
      </c>
      <c r="BY342" s="88">
        <v>0</v>
      </c>
      <c r="BZ342" s="88">
        <v>0</v>
      </c>
      <c r="CA342" s="88">
        <v>0</v>
      </c>
      <c r="CB342" s="88">
        <v>320.00000000000028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8000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106.30874437965331</v>
      </c>
      <c r="CV342" s="88">
        <v>106.19469026548779</v>
      </c>
      <c r="CW342" s="88">
        <v>106.08088061662539</v>
      </c>
      <c r="CX342" s="88">
        <v>105.9634692149523</v>
      </c>
      <c r="CY342" s="88">
        <v>105.8463174302062</v>
      </c>
      <c r="CZ342" s="88">
        <v>105.729424402254</v>
      </c>
      <c r="DA342" s="88">
        <v>105.61278927475649</v>
      </c>
      <c r="DB342" s="88">
        <v>105.4945054945069</v>
      </c>
      <c r="DC342" s="88">
        <v>105.37838780690301</v>
      </c>
      <c r="DD342" s="88">
        <v>105.26252545947121</v>
      </c>
      <c r="DE342" s="88">
        <v>105.14691761090771</v>
      </c>
      <c r="DF342" s="88">
        <v>105.0315634235961</v>
      </c>
      <c r="DG342" s="93">
        <v>46054</v>
      </c>
      <c r="DH342" s="91">
        <v>0.02</v>
      </c>
      <c r="DI342" t="s">
        <v>300</v>
      </c>
      <c r="DJ342" s="93">
        <v>46539</v>
      </c>
      <c r="DK342" s="91">
        <v>0.04</v>
      </c>
      <c r="DL342" t="s">
        <v>301</v>
      </c>
      <c r="DM342" s="93"/>
      <c r="DN342" s="91"/>
      <c r="DP342" s="93"/>
      <c r="DQ342" s="91"/>
    </row>
    <row r="343" spans="1:121" x14ac:dyDescent="0.3">
      <c r="A343" t="s">
        <v>32</v>
      </c>
      <c r="B343" t="s">
        <v>45</v>
      </c>
      <c r="C343" t="s">
        <v>58</v>
      </c>
      <c r="D343" t="s">
        <v>352</v>
      </c>
      <c r="E343" t="s">
        <v>705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18400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-80.497174328640142</v>
      </c>
      <c r="BL343" s="88">
        <v>-80.525646866981319</v>
      </c>
      <c r="BM343" s="88">
        <v>-80.554139554408891</v>
      </c>
      <c r="BN343" s="88">
        <v>-80.583619303591547</v>
      </c>
      <c r="BO343" s="88">
        <v>-80.613120637606968</v>
      </c>
      <c r="BP343" s="88">
        <v>-80.642643580168112</v>
      </c>
      <c r="BQ343" s="88">
        <v>-80.672188155026703</v>
      </c>
      <c r="BR343" s="88">
        <v>-80.70223925882712</v>
      </c>
      <c r="BS343" s="88">
        <v>-80.731827525274994</v>
      </c>
      <c r="BT343" s="88">
        <v>-80.761437495865977</v>
      </c>
      <c r="BU343" s="88">
        <v>-80.79106919449481</v>
      </c>
      <c r="BV343" s="88">
        <v>-80.820722645084857</v>
      </c>
      <c r="BW343" s="88">
        <v>0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18400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-80.497174328640142</v>
      </c>
      <c r="CV343" s="88">
        <v>-80.525646866981319</v>
      </c>
      <c r="CW343" s="88">
        <v>-80.554139554408891</v>
      </c>
      <c r="CX343" s="88">
        <v>-80.583619303591547</v>
      </c>
      <c r="CY343" s="88">
        <v>-80.613120637606968</v>
      </c>
      <c r="CZ343" s="88">
        <v>-80.642643580168112</v>
      </c>
      <c r="DA343" s="88">
        <v>-80.672188155026703</v>
      </c>
      <c r="DB343" s="88">
        <v>-80.70223925882712</v>
      </c>
      <c r="DC343" s="88">
        <v>-80.731827525274994</v>
      </c>
      <c r="DD343" s="88">
        <v>-80.761437495865977</v>
      </c>
      <c r="DE343" s="88">
        <v>-80.79106919449481</v>
      </c>
      <c r="DF343" s="88">
        <v>-80.820722645084857</v>
      </c>
      <c r="DG343" s="93"/>
      <c r="DH343" s="91"/>
      <c r="DJ343" s="93"/>
      <c r="DK343" s="91"/>
      <c r="DM343" s="93"/>
      <c r="DN343" s="91"/>
      <c r="DP343" s="93"/>
      <c r="DQ343" s="91"/>
    </row>
    <row r="344" spans="1:121" x14ac:dyDescent="0.3">
      <c r="A344" t="s">
        <v>32</v>
      </c>
      <c r="B344" t="s">
        <v>45</v>
      </c>
      <c r="C344" t="s">
        <v>65</v>
      </c>
      <c r="D344" t="s">
        <v>354</v>
      </c>
      <c r="E344" t="s">
        <v>706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15200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747.6077862059808</v>
      </c>
      <c r="BL344" s="88">
        <v>747.50820861239208</v>
      </c>
      <c r="BM344" s="88">
        <v>747.40877296833651</v>
      </c>
      <c r="BN344" s="88">
        <v>133.94818802964801</v>
      </c>
      <c r="BO344" s="88">
        <v>133.8496242415452</v>
      </c>
      <c r="BP344" s="88">
        <v>133.75120540019341</v>
      </c>
      <c r="BQ344" s="88">
        <v>133.652931186084</v>
      </c>
      <c r="BR344" s="88">
        <v>133.55319379415911</v>
      </c>
      <c r="BS344" s="88">
        <v>133.45521023765909</v>
      </c>
      <c r="BT344" s="88">
        <v>133.35737035034191</v>
      </c>
      <c r="BU344" s="88">
        <v>133.2596738164417</v>
      </c>
      <c r="BV344" s="88">
        <v>133.16212032114501</v>
      </c>
      <c r="BW344" s="88">
        <v>608.00000000000057</v>
      </c>
      <c r="BX344" s="88">
        <v>608.00000000000057</v>
      </c>
      <c r="BY344" s="88">
        <v>608.00000000000057</v>
      </c>
      <c r="BZ344" s="88">
        <v>0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15200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134.2382559672881</v>
      </c>
      <c r="CV344" s="88">
        <v>134.14250828114689</v>
      </c>
      <c r="CW344" s="88">
        <v>134.04689708493851</v>
      </c>
      <c r="CX344" s="88">
        <v>133.94818802964801</v>
      </c>
      <c r="CY344" s="88">
        <v>133.8496242415452</v>
      </c>
      <c r="CZ344" s="88">
        <v>133.75120540019341</v>
      </c>
      <c r="DA344" s="88">
        <v>133.652931186084</v>
      </c>
      <c r="DB344" s="88">
        <v>133.55319379415911</v>
      </c>
      <c r="DC344" s="88">
        <v>133.45521023765909</v>
      </c>
      <c r="DD344" s="88">
        <v>133.35737035034191</v>
      </c>
      <c r="DE344" s="88">
        <v>133.2596738164417</v>
      </c>
      <c r="DF344" s="88">
        <v>133.16212032114501</v>
      </c>
      <c r="DG344" s="93">
        <v>46113</v>
      </c>
      <c r="DH344" s="91">
        <v>0.04</v>
      </c>
      <c r="DI344" t="s">
        <v>300</v>
      </c>
      <c r="DJ344" s="93"/>
      <c r="DK344" s="91"/>
      <c r="DM344" s="93"/>
      <c r="DN344" s="91"/>
      <c r="DP344" s="93"/>
      <c r="DQ344" s="91"/>
    </row>
    <row r="345" spans="1:121" x14ac:dyDescent="0.3">
      <c r="A345" t="s">
        <v>32</v>
      </c>
      <c r="B345" t="s">
        <v>45</v>
      </c>
      <c r="C345" t="s">
        <v>66</v>
      </c>
      <c r="D345" t="s">
        <v>356</v>
      </c>
      <c r="E345" t="s">
        <v>707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12000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490.09308272293953</v>
      </c>
      <c r="BL345" s="88">
        <v>490.01554466100839</v>
      </c>
      <c r="BM345" s="88">
        <v>489.93789711742153</v>
      </c>
      <c r="BN345" s="88">
        <v>489.85750209555778</v>
      </c>
      <c r="BO345" s="88">
        <v>-104.9742956775992</v>
      </c>
      <c r="BP345" s="88">
        <v>-105.0510864872636</v>
      </c>
      <c r="BQ345" s="88">
        <v>-105.12798972721841</v>
      </c>
      <c r="BR345" s="88">
        <v>-105.20626914069631</v>
      </c>
      <c r="BS345" s="88">
        <v>-105.28339983654659</v>
      </c>
      <c r="BT345" s="88">
        <v>-105.3606437102346</v>
      </c>
      <c r="BU345" s="88">
        <v>-105.4380010110489</v>
      </c>
      <c r="BV345" s="88">
        <v>-105.51547198901631</v>
      </c>
      <c r="BW345" s="88">
        <v>600.00000000000057</v>
      </c>
      <c r="BX345" s="88">
        <v>600.00000000000057</v>
      </c>
      <c r="BY345" s="88">
        <v>600.00000000000057</v>
      </c>
      <c r="BZ345" s="88">
        <v>600.00000000000057</v>
      </c>
      <c r="CA345" s="88">
        <v>0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12000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-104.6732545495814</v>
      </c>
      <c r="CV345" s="88">
        <v>-104.7471003228497</v>
      </c>
      <c r="CW345" s="88">
        <v>-104.8210503643601</v>
      </c>
      <c r="CX345" s="88">
        <v>-104.8976170518503</v>
      </c>
      <c r="CY345" s="88">
        <v>-104.9742956775992</v>
      </c>
      <c r="CZ345" s="88">
        <v>-105.0510864872636</v>
      </c>
      <c r="DA345" s="88">
        <v>-105.12798972721841</v>
      </c>
      <c r="DB345" s="88">
        <v>-105.20626914069631</v>
      </c>
      <c r="DC345" s="88">
        <v>-105.28339983654659</v>
      </c>
      <c r="DD345" s="88">
        <v>-105.3606437102346</v>
      </c>
      <c r="DE345" s="88">
        <v>-105.4380010110489</v>
      </c>
      <c r="DF345" s="88">
        <v>-105.51547198901631</v>
      </c>
      <c r="DG345" s="93">
        <v>46143</v>
      </c>
      <c r="DH345" s="91">
        <v>0.05</v>
      </c>
      <c r="DI345" t="s">
        <v>300</v>
      </c>
      <c r="DJ345" s="93"/>
      <c r="DK345" s="91"/>
      <c r="DM345" s="93"/>
      <c r="DN345" s="91"/>
      <c r="DP345" s="93"/>
      <c r="DQ345" s="91"/>
    </row>
    <row r="346" spans="1:121" x14ac:dyDescent="0.3">
      <c r="A346" t="s">
        <v>32</v>
      </c>
      <c r="B346" t="s">
        <v>45</v>
      </c>
      <c r="C346" t="s">
        <v>67</v>
      </c>
      <c r="D346" t="s">
        <v>358</v>
      </c>
      <c r="E346" t="s">
        <v>708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8800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38.737766307068711</v>
      </c>
      <c r="BL346" s="88">
        <v>38.723989101343108</v>
      </c>
      <c r="BM346" s="88">
        <v>38.710221691945357</v>
      </c>
      <c r="BN346" s="88">
        <v>38.695997879672113</v>
      </c>
      <c r="BO346" s="88">
        <v>38.681784516448133</v>
      </c>
      <c r="BP346" s="88">
        <v>38.667581590764399</v>
      </c>
      <c r="BQ346" s="88">
        <v>38.653389091127544</v>
      </c>
      <c r="BR346" s="88">
        <v>38.63897459956469</v>
      </c>
      <c r="BS346" s="88">
        <v>38.624803088060489</v>
      </c>
      <c r="BT346" s="88">
        <v>392.15506764675928</v>
      </c>
      <c r="BU346" s="88">
        <v>392.14035087719179</v>
      </c>
      <c r="BV346" s="88">
        <v>392.12564489102141</v>
      </c>
      <c r="BW346" s="88">
        <v>0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352.00000000000028</v>
      </c>
      <c r="CG346" s="88">
        <v>352.00000000000028</v>
      </c>
      <c r="CH346" s="88">
        <v>352.00000000000028</v>
      </c>
      <c r="CI346" s="88">
        <v>8800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38.737766307068711</v>
      </c>
      <c r="CV346" s="88">
        <v>38.723989101343108</v>
      </c>
      <c r="CW346" s="88">
        <v>38.710221691945357</v>
      </c>
      <c r="CX346" s="88">
        <v>38.695997879672113</v>
      </c>
      <c r="CY346" s="88">
        <v>38.681784516448133</v>
      </c>
      <c r="CZ346" s="88">
        <v>38.667581590764399</v>
      </c>
      <c r="DA346" s="88">
        <v>38.653389091127544</v>
      </c>
      <c r="DB346" s="88">
        <v>38.63897459956469</v>
      </c>
      <c r="DC346" s="88">
        <v>38.624803088060489</v>
      </c>
      <c r="DD346" s="88">
        <v>38.610641968037029</v>
      </c>
      <c r="DE346" s="88">
        <v>38.596491228069318</v>
      </c>
      <c r="DF346" s="88">
        <v>38.582350856751901</v>
      </c>
      <c r="DG346" s="93">
        <v>46661</v>
      </c>
      <c r="DH346" s="91">
        <v>0.04</v>
      </c>
      <c r="DI346" t="s">
        <v>301</v>
      </c>
      <c r="DJ346" s="93"/>
      <c r="DK346" s="91"/>
      <c r="DM346" s="93"/>
      <c r="DN346" s="91"/>
      <c r="DP346" s="93"/>
      <c r="DQ346" s="91"/>
    </row>
    <row r="347" spans="1:121" x14ac:dyDescent="0.3">
      <c r="A347" t="s">
        <v>32</v>
      </c>
      <c r="B347" t="s">
        <v>45</v>
      </c>
      <c r="C347" t="s">
        <v>73</v>
      </c>
      <c r="D347" t="s">
        <v>360</v>
      </c>
      <c r="E347" t="s">
        <v>709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19200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732.07947019867697</v>
      </c>
      <c r="BL347" s="88">
        <v>731.58017067419087</v>
      </c>
      <c r="BM347" s="88">
        <v>731.0823015295</v>
      </c>
      <c r="BN347" s="88">
        <v>730.56905287144923</v>
      </c>
      <c r="BO347" s="88">
        <v>730.05731990704703</v>
      </c>
      <c r="BP347" s="88">
        <v>729.54709593213067</v>
      </c>
      <c r="BQ347" s="88">
        <v>338.27291596273739</v>
      </c>
      <c r="BR347" s="88">
        <v>337.76749566223288</v>
      </c>
      <c r="BS347" s="88">
        <v>337.27169911206261</v>
      </c>
      <c r="BT347" s="88">
        <v>336.7773559517488</v>
      </c>
      <c r="BU347" s="88">
        <v>336.28445979989579</v>
      </c>
      <c r="BV347" s="88">
        <v>335.79300431240711</v>
      </c>
      <c r="BW347" s="88">
        <v>384.00000000000028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0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19200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341.25438254772291</v>
      </c>
      <c r="CV347" s="88">
        <v>340.76487320998871</v>
      </c>
      <c r="CW347" s="88">
        <v>340.2767662053904</v>
      </c>
      <c r="CX347" s="88">
        <v>339.77358124651721</v>
      </c>
      <c r="CY347" s="88">
        <v>339.27188226181221</v>
      </c>
      <c r="CZ347" s="88">
        <v>338.77166267855762</v>
      </c>
      <c r="DA347" s="88">
        <v>338.27291596273739</v>
      </c>
      <c r="DB347" s="88">
        <v>337.76749566223288</v>
      </c>
      <c r="DC347" s="88">
        <v>337.27169911206261</v>
      </c>
      <c r="DD347" s="88">
        <v>336.7773559517488</v>
      </c>
      <c r="DE347" s="88">
        <v>336.28445979989579</v>
      </c>
      <c r="DF347" s="88">
        <v>335.79300431240711</v>
      </c>
      <c r="DG347" s="93">
        <v>46204</v>
      </c>
      <c r="DH347" s="91">
        <v>0.02</v>
      </c>
      <c r="DI347" t="s">
        <v>300</v>
      </c>
      <c r="DJ347" s="93"/>
      <c r="DK347" s="91"/>
      <c r="DM347" s="93"/>
      <c r="DN347" s="91"/>
      <c r="DP347" s="93"/>
      <c r="DQ347" s="91"/>
    </row>
    <row r="348" spans="1:121" x14ac:dyDescent="0.3">
      <c r="A348" t="s">
        <v>32</v>
      </c>
      <c r="B348" t="s">
        <v>45</v>
      </c>
      <c r="C348" t="s">
        <v>78</v>
      </c>
      <c r="D348" t="s">
        <v>362</v>
      </c>
      <c r="E348" t="s">
        <v>710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16000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480.00000000000051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0</v>
      </c>
      <c r="BS348" s="88">
        <v>0</v>
      </c>
      <c r="BT348" s="88">
        <v>0</v>
      </c>
      <c r="BU348" s="88">
        <v>0</v>
      </c>
      <c r="BV348" s="88">
        <v>0</v>
      </c>
      <c r="BW348" s="88">
        <v>480.00000000000051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0</v>
      </c>
      <c r="CE348" s="88">
        <v>0</v>
      </c>
      <c r="CF348" s="88">
        <v>0</v>
      </c>
      <c r="CG348" s="88">
        <v>0</v>
      </c>
      <c r="CH348" s="88">
        <v>0</v>
      </c>
      <c r="CI348" s="88">
        <v>16000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93">
        <v>46235</v>
      </c>
      <c r="DH348" s="91">
        <v>0.03</v>
      </c>
      <c r="DI348" t="s">
        <v>300</v>
      </c>
      <c r="DJ348" s="93"/>
      <c r="DK348" s="91"/>
      <c r="DM348" s="93"/>
      <c r="DN348" s="91"/>
      <c r="DP348" s="93"/>
      <c r="DQ348" s="91"/>
    </row>
    <row r="349" spans="1:121" x14ac:dyDescent="0.3">
      <c r="A349" t="s">
        <v>32</v>
      </c>
      <c r="B349" t="s">
        <v>45</v>
      </c>
      <c r="C349" t="s">
        <v>80</v>
      </c>
      <c r="D349" t="s">
        <v>364</v>
      </c>
      <c r="E349" t="s">
        <v>711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12800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170.09399100744531</v>
      </c>
      <c r="BL349" s="88">
        <v>169.91150442478039</v>
      </c>
      <c r="BM349" s="88">
        <v>169.72940898660059</v>
      </c>
      <c r="BN349" s="88">
        <v>169.54155074392361</v>
      </c>
      <c r="BO349" s="88">
        <v>169.35410788832999</v>
      </c>
      <c r="BP349" s="88">
        <v>169.16707904360629</v>
      </c>
      <c r="BQ349" s="88">
        <v>168.9804628396104</v>
      </c>
      <c r="BR349" s="88">
        <v>168.79120879121101</v>
      </c>
      <c r="BS349" s="88">
        <v>168.60542049104481</v>
      </c>
      <c r="BT349" s="88">
        <v>168.420040735154</v>
      </c>
      <c r="BU349" s="88">
        <v>168.23506817745229</v>
      </c>
      <c r="BV349" s="88">
        <v>168.05050147775381</v>
      </c>
      <c r="BW349" s="88">
        <v>0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12800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170.09399100744531</v>
      </c>
      <c r="CV349" s="88">
        <v>169.91150442478039</v>
      </c>
      <c r="CW349" s="88">
        <v>169.72940898660059</v>
      </c>
      <c r="CX349" s="88">
        <v>169.54155074392361</v>
      </c>
      <c r="CY349" s="88">
        <v>169.35410788832999</v>
      </c>
      <c r="CZ349" s="88">
        <v>169.16707904360629</v>
      </c>
      <c r="DA349" s="88">
        <v>168.9804628396104</v>
      </c>
      <c r="DB349" s="88">
        <v>168.79120879121101</v>
      </c>
      <c r="DC349" s="88">
        <v>168.60542049104481</v>
      </c>
      <c r="DD349" s="88">
        <v>168.420040735154</v>
      </c>
      <c r="DE349" s="88">
        <v>168.23506817745229</v>
      </c>
      <c r="DF349" s="88">
        <v>168.05050147775381</v>
      </c>
      <c r="DG349" s="93"/>
      <c r="DH349" s="91"/>
      <c r="DJ349" s="93"/>
      <c r="DK349" s="91"/>
      <c r="DM349" s="93"/>
      <c r="DN349" s="91"/>
      <c r="DP349" s="93"/>
      <c r="DQ349" s="91"/>
    </row>
    <row r="350" spans="1:121" x14ac:dyDescent="0.3">
      <c r="A350" t="s">
        <v>32</v>
      </c>
      <c r="B350" t="s">
        <v>45</v>
      </c>
      <c r="C350" t="s">
        <v>82</v>
      </c>
      <c r="D350" t="s">
        <v>366</v>
      </c>
      <c r="E350" t="s">
        <v>712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9600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435.90154797648489</v>
      </c>
      <c r="BL350" s="88">
        <v>435.88594997721941</v>
      </c>
      <c r="BM350" s="88">
        <v>435.87034093975842</v>
      </c>
      <c r="BN350" s="88">
        <v>837.28835881068517</v>
      </c>
      <c r="BO350" s="88">
        <v>837.27155074629638</v>
      </c>
      <c r="BP350" s="88">
        <v>837.25473037067388</v>
      </c>
      <c r="BQ350" s="88">
        <v>837.23789767028404</v>
      </c>
      <c r="BR350" s="88">
        <v>837.22077638053702</v>
      </c>
      <c r="BS350" s="88">
        <v>837.20391878734051</v>
      </c>
      <c r="BT350" s="88">
        <v>340.178141741373</v>
      </c>
      <c r="BU350" s="88">
        <v>340.16206332403198</v>
      </c>
      <c r="BV350" s="88">
        <v>340.14597310388478</v>
      </c>
      <c r="BW350" s="88">
        <v>480.00000000000051</v>
      </c>
      <c r="BX350" s="88">
        <v>480.00000000000051</v>
      </c>
      <c r="BY350" s="88">
        <v>480.00000000000051</v>
      </c>
      <c r="BZ350" s="88">
        <v>883.20000000000073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384.00000000000028</v>
      </c>
      <c r="CG350" s="88">
        <v>384.00000000000028</v>
      </c>
      <c r="CH350" s="88">
        <v>384.00000000000028</v>
      </c>
      <c r="CI350" s="88">
        <v>9600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-41.998525736681813</v>
      </c>
      <c r="CV350" s="88">
        <v>-42.013380974077208</v>
      </c>
      <c r="CW350" s="88">
        <v>-42.02824672403942</v>
      </c>
      <c r="CX350" s="88">
        <v>-42.043627462743423</v>
      </c>
      <c r="CY350" s="88">
        <v>-42.05901946309929</v>
      </c>
      <c r="CZ350" s="88">
        <v>-42.074422737479011</v>
      </c>
      <c r="DA350" s="88">
        <v>-42.089837298274801</v>
      </c>
      <c r="DB350" s="88">
        <v>-42.105516135040233</v>
      </c>
      <c r="DC350" s="88">
        <v>-42.120953491447821</v>
      </c>
      <c r="DD350" s="88">
        <v>-42.13640217175616</v>
      </c>
      <c r="DE350" s="88">
        <v>-42.151862188432077</v>
      </c>
      <c r="DF350" s="88">
        <v>-42.16733355395732</v>
      </c>
      <c r="DG350" s="93">
        <v>46296</v>
      </c>
      <c r="DH350" s="91">
        <v>0.05</v>
      </c>
      <c r="DI350" t="s">
        <v>300</v>
      </c>
      <c r="DJ350" s="93">
        <v>46478</v>
      </c>
      <c r="DK350" s="91">
        <v>0.04</v>
      </c>
      <c r="DL350" t="s">
        <v>301</v>
      </c>
      <c r="DM350" s="93"/>
      <c r="DN350" s="91"/>
      <c r="DP350" s="93"/>
      <c r="DQ350" s="91"/>
    </row>
    <row r="351" spans="1:121" x14ac:dyDescent="0.3">
      <c r="A351" t="s">
        <v>32</v>
      </c>
      <c r="B351" t="s">
        <v>45</v>
      </c>
      <c r="C351" t="s">
        <v>84</v>
      </c>
      <c r="D351" t="s">
        <v>368</v>
      </c>
      <c r="E351" t="s">
        <v>713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6400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443.91265318961081</v>
      </c>
      <c r="BL351" s="88">
        <v>443.86991948548058</v>
      </c>
      <c r="BM351" s="88">
        <v>443.82724669896311</v>
      </c>
      <c r="BN351" s="88">
        <v>443.78319128902177</v>
      </c>
      <c r="BO351" s="88">
        <v>443.7392007141213</v>
      </c>
      <c r="BP351" s="88">
        <v>443.695274831245</v>
      </c>
      <c r="BQ351" s="88">
        <v>443.6514134977898</v>
      </c>
      <c r="BR351" s="88">
        <v>443.60689912497259</v>
      </c>
      <c r="BS351" s="88">
        <v>443.5631675165979</v>
      </c>
      <c r="BT351" s="88">
        <v>443.51950003004822</v>
      </c>
      <c r="BU351" s="88">
        <v>56.109336343764937</v>
      </c>
      <c r="BV351" s="88">
        <v>56.06826118785051</v>
      </c>
      <c r="BW351" s="88">
        <v>384.00000000000028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0</v>
      </c>
      <c r="CH351" s="88">
        <v>0</v>
      </c>
      <c r="CI351" s="88">
        <v>6400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56.521370933594987</v>
      </c>
      <c r="CV351" s="88">
        <v>56.481056118377637</v>
      </c>
      <c r="CW351" s="88">
        <v>56.44079877260566</v>
      </c>
      <c r="CX351" s="88">
        <v>56.39923706511496</v>
      </c>
      <c r="CY351" s="88">
        <v>56.357736522755893</v>
      </c>
      <c r="CZ351" s="88">
        <v>56.316297010607741</v>
      </c>
      <c r="DA351" s="88">
        <v>56.274918394140627</v>
      </c>
      <c r="DB351" s="88">
        <v>56.232923702803816</v>
      </c>
      <c r="DC351" s="88">
        <v>56.191667468488049</v>
      </c>
      <c r="DD351" s="88">
        <v>56.150471726459728</v>
      </c>
      <c r="DE351" s="88">
        <v>56.109336343764937</v>
      </c>
      <c r="DF351" s="88">
        <v>56.06826118785051</v>
      </c>
      <c r="DG351" s="93">
        <v>46327</v>
      </c>
      <c r="DH351" s="91">
        <v>0.06</v>
      </c>
      <c r="DI351" t="s">
        <v>300</v>
      </c>
      <c r="DJ351" s="93"/>
      <c r="DK351" s="91"/>
      <c r="DM351" s="93"/>
      <c r="DN351" s="91"/>
      <c r="DP351" s="93"/>
      <c r="DQ351" s="91"/>
    </row>
    <row r="352" spans="1:121" x14ac:dyDescent="0.3">
      <c r="A352" t="s">
        <v>32</v>
      </c>
      <c r="B352" t="s">
        <v>45</v>
      </c>
      <c r="C352" t="s">
        <v>86</v>
      </c>
      <c r="D352" t="s">
        <v>370</v>
      </c>
      <c r="E352" t="s">
        <v>714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16800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-146.542556369414</v>
      </c>
      <c r="BL352" s="88">
        <v>-146.64594045198959</v>
      </c>
      <c r="BM352" s="88">
        <v>-146.74947051010409</v>
      </c>
      <c r="BN352" s="88">
        <v>-146.85666387259039</v>
      </c>
      <c r="BO352" s="88">
        <v>-146.96401394863889</v>
      </c>
      <c r="BP352" s="88">
        <v>-147.071521082169</v>
      </c>
      <c r="BQ352" s="88">
        <v>-147.17918561810569</v>
      </c>
      <c r="BR352" s="88">
        <v>-147.28877679697479</v>
      </c>
      <c r="BS352" s="88">
        <v>-147.39675977116519</v>
      </c>
      <c r="BT352" s="88">
        <v>-147.5049011943284</v>
      </c>
      <c r="BU352" s="88">
        <v>-147.6132014154685</v>
      </c>
      <c r="BV352" s="88">
        <v>-147.72166078462291</v>
      </c>
      <c r="BW352" s="88">
        <v>0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16800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-146.542556369414</v>
      </c>
      <c r="CV352" s="88">
        <v>-146.64594045198959</v>
      </c>
      <c r="CW352" s="88">
        <v>-146.74947051010409</v>
      </c>
      <c r="CX352" s="88">
        <v>-146.85666387259039</v>
      </c>
      <c r="CY352" s="88">
        <v>-146.96401394863889</v>
      </c>
      <c r="CZ352" s="88">
        <v>-147.071521082169</v>
      </c>
      <c r="DA352" s="88">
        <v>-147.17918561810569</v>
      </c>
      <c r="DB352" s="88">
        <v>-147.28877679697479</v>
      </c>
      <c r="DC352" s="88">
        <v>-147.39675977116519</v>
      </c>
      <c r="DD352" s="88">
        <v>-147.5049011943284</v>
      </c>
      <c r="DE352" s="88">
        <v>-147.6132014154685</v>
      </c>
      <c r="DF352" s="88">
        <v>-147.72166078462291</v>
      </c>
      <c r="DG352" s="93"/>
      <c r="DH352" s="91"/>
      <c r="DJ352" s="93"/>
      <c r="DK352" s="91"/>
      <c r="DM352" s="93"/>
      <c r="DN352" s="91"/>
      <c r="DP352" s="93"/>
      <c r="DQ352" s="91"/>
    </row>
    <row r="353" spans="1:121" x14ac:dyDescent="0.3">
      <c r="A353" t="s">
        <v>32</v>
      </c>
      <c r="B353" t="s">
        <v>45</v>
      </c>
      <c r="C353" t="s">
        <v>88</v>
      </c>
      <c r="D353" t="s">
        <v>372</v>
      </c>
      <c r="E353" t="s">
        <v>715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13600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59.86745702001528</v>
      </c>
      <c r="BL353" s="88">
        <v>59.846164974803003</v>
      </c>
      <c r="BM353" s="88">
        <v>59.824888069370097</v>
      </c>
      <c r="BN353" s="88">
        <v>59.802905814038709</v>
      </c>
      <c r="BO353" s="88">
        <v>59.780939707238012</v>
      </c>
      <c r="BP353" s="88">
        <v>59.758989731181337</v>
      </c>
      <c r="BQ353" s="88">
        <v>59.737055868106196</v>
      </c>
      <c r="BR353" s="88">
        <v>59.714778926599983</v>
      </c>
      <c r="BS353" s="88">
        <v>59.692877499729853</v>
      </c>
      <c r="BT353" s="88">
        <v>59.670992132420857</v>
      </c>
      <c r="BU353" s="88">
        <v>59.649122807016219</v>
      </c>
      <c r="BV353" s="88">
        <v>59.627269505889302</v>
      </c>
      <c r="BW353" s="88">
        <v>0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13600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59.86745702001528</v>
      </c>
      <c r="CV353" s="88">
        <v>59.846164974803003</v>
      </c>
      <c r="CW353" s="88">
        <v>59.824888069370097</v>
      </c>
      <c r="CX353" s="88">
        <v>59.802905814038709</v>
      </c>
      <c r="CY353" s="88">
        <v>59.780939707238012</v>
      </c>
      <c r="CZ353" s="88">
        <v>59.758989731181337</v>
      </c>
      <c r="DA353" s="88">
        <v>59.737055868106196</v>
      </c>
      <c r="DB353" s="88">
        <v>59.714778926599983</v>
      </c>
      <c r="DC353" s="88">
        <v>59.692877499729853</v>
      </c>
      <c r="DD353" s="88">
        <v>59.670992132420857</v>
      </c>
      <c r="DE353" s="88">
        <v>59.649122807016219</v>
      </c>
      <c r="DF353" s="88">
        <v>59.627269505889302</v>
      </c>
      <c r="DG353" s="93">
        <v>46023</v>
      </c>
      <c r="DH353" s="91">
        <v>0.03</v>
      </c>
      <c r="DI353" t="s">
        <v>300</v>
      </c>
      <c r="DJ353" s="93"/>
      <c r="DK353" s="91"/>
      <c r="DM353" s="93"/>
      <c r="DN353" s="91"/>
      <c r="DP353" s="93"/>
      <c r="DQ353" s="91"/>
    </row>
    <row r="354" spans="1:121" x14ac:dyDescent="0.3">
      <c r="A354" t="s">
        <v>32</v>
      </c>
      <c r="B354" t="s">
        <v>45</v>
      </c>
      <c r="C354" t="s">
        <v>90</v>
      </c>
      <c r="D354" t="s">
        <v>374</v>
      </c>
      <c r="E354" t="s">
        <v>716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10400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608.23996883521681</v>
      </c>
      <c r="BL354" s="88">
        <v>184.58097298874381</v>
      </c>
      <c r="BM354" s="88">
        <v>184.31658169458649</v>
      </c>
      <c r="BN354" s="88">
        <v>184.0440231751968</v>
      </c>
      <c r="BO354" s="88">
        <v>183.77226955848161</v>
      </c>
      <c r="BP354" s="88">
        <v>183.50131728421869</v>
      </c>
      <c r="BQ354" s="88">
        <v>183.23116281314941</v>
      </c>
      <c r="BR354" s="88">
        <v>606.27568922305795</v>
      </c>
      <c r="BS354" s="88">
        <v>605.99639049979555</v>
      </c>
      <c r="BT354" s="88">
        <v>605.71791051948514</v>
      </c>
      <c r="BU354" s="88">
        <v>605.44024568727491</v>
      </c>
      <c r="BV354" s="88">
        <v>605.16339242932258</v>
      </c>
      <c r="BW354" s="88">
        <v>416.00000000000028</v>
      </c>
      <c r="BX354" s="88">
        <v>0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416.00000000000028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10400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184.84612388001659</v>
      </c>
      <c r="CV354" s="88">
        <v>184.58097298874381</v>
      </c>
      <c r="CW354" s="88">
        <v>184.31658169458649</v>
      </c>
      <c r="CX354" s="88">
        <v>184.0440231751968</v>
      </c>
      <c r="CY354" s="88">
        <v>183.77226955848161</v>
      </c>
      <c r="CZ354" s="88">
        <v>183.50131728421869</v>
      </c>
      <c r="DA354" s="88">
        <v>183.23116281314941</v>
      </c>
      <c r="DB354" s="88">
        <v>182.9573934837095</v>
      </c>
      <c r="DC354" s="88">
        <v>182.68883701903391</v>
      </c>
      <c r="DD354" s="88">
        <v>182.42106780719729</v>
      </c>
      <c r="DE354" s="88">
        <v>182.15408239161019</v>
      </c>
      <c r="DF354" s="88">
        <v>181.8878773358872</v>
      </c>
      <c r="DG354" s="93">
        <v>46054</v>
      </c>
      <c r="DH354" s="91">
        <v>0.04</v>
      </c>
      <c r="DI354" t="s">
        <v>300</v>
      </c>
      <c r="DJ354" s="93">
        <v>46600</v>
      </c>
      <c r="DK354" s="91">
        <v>0.04</v>
      </c>
      <c r="DL354" t="s">
        <v>301</v>
      </c>
      <c r="DM354" s="93"/>
      <c r="DN354" s="91"/>
      <c r="DP354" s="93"/>
      <c r="DQ354" s="91"/>
    </row>
    <row r="355" spans="1:121" x14ac:dyDescent="0.3">
      <c r="A355" t="s">
        <v>32</v>
      </c>
      <c r="B355" t="s">
        <v>45</v>
      </c>
      <c r="C355" t="s">
        <v>91</v>
      </c>
      <c r="D355" t="s">
        <v>376</v>
      </c>
      <c r="E355" t="s">
        <v>717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7200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7200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93"/>
      <c r="DH355" s="91"/>
      <c r="DJ355" s="93"/>
      <c r="DK355" s="91"/>
      <c r="DM355" s="93"/>
      <c r="DN355" s="91"/>
      <c r="DP355" s="93"/>
      <c r="DQ355" s="91"/>
    </row>
    <row r="356" spans="1:121" x14ac:dyDescent="0.3">
      <c r="A356" t="s">
        <v>32</v>
      </c>
      <c r="B356" t="s">
        <v>45</v>
      </c>
      <c r="C356" t="s">
        <v>93</v>
      </c>
      <c r="D356" t="s">
        <v>378</v>
      </c>
      <c r="E356" t="s">
        <v>718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17600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1303.911991893352</v>
      </c>
      <c r="BL356" s="88">
        <v>1303.6460176991191</v>
      </c>
      <c r="BM356" s="88">
        <v>1303.3806135979701</v>
      </c>
      <c r="BN356" s="88">
        <v>233.11963227289499</v>
      </c>
      <c r="BO356" s="88">
        <v>232.8618983464537</v>
      </c>
      <c r="BP356" s="88">
        <v>232.60473368495869</v>
      </c>
      <c r="BQ356" s="88">
        <v>232.34813640446421</v>
      </c>
      <c r="BR356" s="88">
        <v>232.08791208791521</v>
      </c>
      <c r="BS356" s="88">
        <v>231.8324531751866</v>
      </c>
      <c r="BT356" s="88">
        <v>231.5775560108367</v>
      </c>
      <c r="BU356" s="88">
        <v>231.32321874399679</v>
      </c>
      <c r="BV356" s="88">
        <v>231.0694395319114</v>
      </c>
      <c r="BW356" s="88">
        <v>1056.0000000000009</v>
      </c>
      <c r="BX356" s="88">
        <v>1056.0000000000009</v>
      </c>
      <c r="BY356" s="88">
        <v>1056.0000000000009</v>
      </c>
      <c r="BZ356" s="88">
        <v>0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17600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233.8792376352373</v>
      </c>
      <c r="CV356" s="88">
        <v>233.6283185840731</v>
      </c>
      <c r="CW356" s="88">
        <v>233.37793735657581</v>
      </c>
      <c r="CX356" s="88">
        <v>233.11963227289499</v>
      </c>
      <c r="CY356" s="88">
        <v>232.8618983464537</v>
      </c>
      <c r="CZ356" s="88">
        <v>232.60473368495869</v>
      </c>
      <c r="DA356" s="88">
        <v>232.34813640446421</v>
      </c>
      <c r="DB356" s="88">
        <v>232.08791208791521</v>
      </c>
      <c r="DC356" s="88">
        <v>231.8324531751866</v>
      </c>
      <c r="DD356" s="88">
        <v>231.5775560108367</v>
      </c>
      <c r="DE356" s="88">
        <v>231.32321874399679</v>
      </c>
      <c r="DF356" s="88">
        <v>231.0694395319114</v>
      </c>
      <c r="DG356" s="93">
        <v>46113</v>
      </c>
      <c r="DH356" s="91">
        <v>0.06</v>
      </c>
      <c r="DI356" t="s">
        <v>300</v>
      </c>
      <c r="DJ356" s="93"/>
      <c r="DK356" s="91"/>
      <c r="DM356" s="93"/>
      <c r="DN356" s="91"/>
      <c r="DP356" s="93"/>
      <c r="DQ356" s="91"/>
    </row>
    <row r="357" spans="1:121" x14ac:dyDescent="0.3">
      <c r="A357" t="s">
        <v>32</v>
      </c>
      <c r="B357" t="s">
        <v>45</v>
      </c>
      <c r="C357" t="s">
        <v>94</v>
      </c>
      <c r="D357" t="s">
        <v>380</v>
      </c>
      <c r="E357" t="s">
        <v>719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14400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223.74225562287859</v>
      </c>
      <c r="BL357" s="88">
        <v>223.71952710966309</v>
      </c>
      <c r="BM357" s="88">
        <v>223.6967825122193</v>
      </c>
      <c r="BN357" s="88">
        <v>223.6732499820036</v>
      </c>
      <c r="BO357" s="88">
        <v>-63.088529194648928</v>
      </c>
      <c r="BP357" s="88">
        <v>-63.111634106218517</v>
      </c>
      <c r="BQ357" s="88">
        <v>-63.134755947412202</v>
      </c>
      <c r="BR357" s="88">
        <v>-63.158274202560349</v>
      </c>
      <c r="BS357" s="88">
        <v>-63.181430237171732</v>
      </c>
      <c r="BT357" s="88">
        <v>-63.20460325763424</v>
      </c>
      <c r="BU357" s="88">
        <v>-63.227793282648108</v>
      </c>
      <c r="BV357" s="88">
        <v>-63.25100033093598</v>
      </c>
      <c r="BW357" s="88">
        <v>288.00000000000023</v>
      </c>
      <c r="BX357" s="88">
        <v>288.00000000000023</v>
      </c>
      <c r="BY357" s="88">
        <v>288.00000000000023</v>
      </c>
      <c r="BZ357" s="88">
        <v>288.00000000000023</v>
      </c>
      <c r="CA357" s="88">
        <v>0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14400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-62.99778860502272</v>
      </c>
      <c r="CV357" s="88">
        <v>-63.020071461115812</v>
      </c>
      <c r="CW357" s="88">
        <v>-63.04237008605913</v>
      </c>
      <c r="CX357" s="88">
        <v>-63.065441194115117</v>
      </c>
      <c r="CY357" s="88">
        <v>-63.088529194648928</v>
      </c>
      <c r="CZ357" s="88">
        <v>-63.111634106218517</v>
      </c>
      <c r="DA357" s="88">
        <v>-63.134755947412202</v>
      </c>
      <c r="DB357" s="88">
        <v>-63.158274202560349</v>
      </c>
      <c r="DC357" s="88">
        <v>-63.181430237171732</v>
      </c>
      <c r="DD357" s="88">
        <v>-63.20460325763424</v>
      </c>
      <c r="DE357" s="88">
        <v>-63.227793282648108</v>
      </c>
      <c r="DF357" s="88">
        <v>-63.25100033093598</v>
      </c>
      <c r="DG357" s="93">
        <v>46143</v>
      </c>
      <c r="DH357" s="91">
        <v>0.02</v>
      </c>
      <c r="DI357" t="s">
        <v>300</v>
      </c>
      <c r="DJ357" s="93"/>
      <c r="DK357" s="91"/>
      <c r="DM357" s="93"/>
      <c r="DN357" s="91"/>
      <c r="DP357" s="93"/>
      <c r="DQ357" s="91"/>
    </row>
    <row r="358" spans="1:121" x14ac:dyDescent="0.3">
      <c r="A358" t="s">
        <v>32</v>
      </c>
      <c r="B358" t="s">
        <v>45</v>
      </c>
      <c r="C358" t="s">
        <v>95</v>
      </c>
      <c r="D358" t="s">
        <v>382</v>
      </c>
      <c r="E358" t="s">
        <v>720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11200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98.91239913379124</v>
      </c>
      <c r="BL358" s="88">
        <v>550.79552213544684</v>
      </c>
      <c r="BM358" s="88">
        <v>550.72225376614267</v>
      </c>
      <c r="BN358" s="88">
        <v>550.64661145850914</v>
      </c>
      <c r="BO358" s="88">
        <v>550.57108047141662</v>
      </c>
      <c r="BP358" s="88">
        <v>550.4956605593062</v>
      </c>
      <c r="BQ358" s="88">
        <v>550.42035147733509</v>
      </c>
      <c r="BR358" s="88">
        <v>550.3439211391036</v>
      </c>
      <c r="BS358" s="88">
        <v>550.26883479264973</v>
      </c>
      <c r="BT358" s="88">
        <v>550.19385854215773</v>
      </c>
      <c r="BU358" s="88">
        <v>550.11899214565221</v>
      </c>
      <c r="BV358" s="88">
        <v>550.04423536188904</v>
      </c>
      <c r="BW358" s="88">
        <v>0</v>
      </c>
      <c r="BX358" s="88">
        <v>448.0000000000004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11200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98.91239913379124</v>
      </c>
      <c r="CV358" s="88">
        <v>98.841848207160865</v>
      </c>
      <c r="CW358" s="88">
        <v>98.771397852059906</v>
      </c>
      <c r="CX358" s="88">
        <v>98.69866486395118</v>
      </c>
      <c r="CY358" s="88">
        <v>98.6260389148228</v>
      </c>
      <c r="CZ358" s="88">
        <v>98.553519768563547</v>
      </c>
      <c r="DA358" s="88">
        <v>98.481107189746098</v>
      </c>
      <c r="DB358" s="88">
        <v>98.407616479906679</v>
      </c>
      <c r="DC358" s="88">
        <v>98.335418069854086</v>
      </c>
      <c r="DD358" s="88">
        <v>98.263325521304523</v>
      </c>
      <c r="DE358" s="88">
        <v>98.19133860158864</v>
      </c>
      <c r="DF358" s="88">
        <v>98.119457078738392</v>
      </c>
      <c r="DG358" s="93">
        <v>46419</v>
      </c>
      <c r="DH358" s="91">
        <v>0.04</v>
      </c>
      <c r="DI358" t="s">
        <v>301</v>
      </c>
      <c r="DJ358" s="93"/>
      <c r="DK358" s="91"/>
      <c r="DM358" s="93"/>
      <c r="DN358" s="91"/>
      <c r="DP358" s="93"/>
      <c r="DQ358" s="91"/>
    </row>
    <row r="359" spans="1:121" x14ac:dyDescent="0.3">
      <c r="A359" t="s">
        <v>32</v>
      </c>
      <c r="B359" t="s">
        <v>47</v>
      </c>
      <c r="C359" t="s">
        <v>43</v>
      </c>
      <c r="D359" t="s">
        <v>384</v>
      </c>
      <c r="E359" t="s">
        <v>721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8000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247.42654351229021</v>
      </c>
      <c r="BL359" s="88">
        <v>247.37534377615759</v>
      </c>
      <c r="BM359" s="88">
        <v>247.32407174737679</v>
      </c>
      <c r="BN359" s="88">
        <v>247.27098551071691</v>
      </c>
      <c r="BO359" s="88">
        <v>247.217821663531</v>
      </c>
      <c r="BP359" s="88">
        <v>247.1645800354967</v>
      </c>
      <c r="BQ359" s="88">
        <v>-70.085326484812242</v>
      </c>
      <c r="BR359" s="88">
        <v>-70.137512760464205</v>
      </c>
      <c r="BS359" s="88">
        <v>-70.188933224364376</v>
      </c>
      <c r="BT359" s="88">
        <v>-70.24042914015638</v>
      </c>
      <c r="BU359" s="88">
        <v>-70.292000674032636</v>
      </c>
      <c r="BV359" s="88">
        <v>-70.34364799267756</v>
      </c>
      <c r="BW359" s="88">
        <v>320.00000000000028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0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8000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-69.782169699720953</v>
      </c>
      <c r="CV359" s="88">
        <v>-69.831400215233145</v>
      </c>
      <c r="CW359" s="88">
        <v>-69.880700242906713</v>
      </c>
      <c r="CX359" s="88">
        <v>-69.931744701233526</v>
      </c>
      <c r="CY359" s="88">
        <v>-69.982863785066129</v>
      </c>
      <c r="CZ359" s="88">
        <v>-70.034057658175726</v>
      </c>
      <c r="DA359" s="88">
        <v>-70.085326484812242</v>
      </c>
      <c r="DB359" s="88">
        <v>-70.137512760464205</v>
      </c>
      <c r="DC359" s="88">
        <v>-70.188933224364376</v>
      </c>
      <c r="DD359" s="88">
        <v>-70.24042914015638</v>
      </c>
      <c r="DE359" s="88">
        <v>-70.292000674032636</v>
      </c>
      <c r="DF359" s="88">
        <v>-70.34364799267756</v>
      </c>
      <c r="DG359" s="93">
        <v>46204</v>
      </c>
      <c r="DH359" s="91">
        <v>0.04</v>
      </c>
      <c r="DI359" t="s">
        <v>300</v>
      </c>
      <c r="DJ359" s="93"/>
      <c r="DK359" s="91"/>
      <c r="DM359" s="93"/>
      <c r="DN359" s="91"/>
      <c r="DP359" s="93"/>
      <c r="DQ359" s="91"/>
    </row>
    <row r="360" spans="1:121" x14ac:dyDescent="0.3">
      <c r="A360" t="s">
        <v>32</v>
      </c>
      <c r="B360" t="s">
        <v>47</v>
      </c>
      <c r="C360" t="s">
        <v>46</v>
      </c>
      <c r="D360" t="s">
        <v>386</v>
      </c>
      <c r="E360" t="s">
        <v>722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18400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1005.047005119611</v>
      </c>
      <c r="BL360" s="88">
        <v>1005.016757890678</v>
      </c>
      <c r="BM360" s="88">
        <v>1004.986532169135</v>
      </c>
      <c r="BN360" s="88">
        <v>1004.955304435825</v>
      </c>
      <c r="BO360" s="88">
        <v>1004.924099642929</v>
      </c>
      <c r="BP360" s="88">
        <v>1004.89291776518</v>
      </c>
      <c r="BQ360" s="88">
        <v>1004.8617587773419</v>
      </c>
      <c r="BR360" s="88">
        <v>80.790583253635262</v>
      </c>
      <c r="BS360" s="88">
        <v>80.760951911399204</v>
      </c>
      <c r="BT360" s="88">
        <v>80.731342296804698</v>
      </c>
      <c r="BU360" s="88">
        <v>80.701754385963113</v>
      </c>
      <c r="BV360" s="88">
        <v>80.672188155026703</v>
      </c>
      <c r="BW360" s="88">
        <v>920.0000000000008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0</v>
      </c>
      <c r="CE360" s="88">
        <v>0</v>
      </c>
      <c r="CF360" s="88">
        <v>0</v>
      </c>
      <c r="CG360" s="88">
        <v>0</v>
      </c>
      <c r="CH360" s="88">
        <v>0</v>
      </c>
      <c r="CI360" s="88">
        <v>18400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80.997147732961849</v>
      </c>
      <c r="CV360" s="88">
        <v>80.968340848262869</v>
      </c>
      <c r="CW360" s="88">
        <v>80.93955444679483</v>
      </c>
      <c r="CX360" s="88">
        <v>80.909813748405313</v>
      </c>
      <c r="CY360" s="88">
        <v>80.880094898027892</v>
      </c>
      <c r="CZ360" s="88">
        <v>80.85039787159829</v>
      </c>
      <c r="DA360" s="88">
        <v>80.820722645084857</v>
      </c>
      <c r="DB360" s="88">
        <v>80.790583253635262</v>
      </c>
      <c r="DC360" s="88">
        <v>80.760951911399204</v>
      </c>
      <c r="DD360" s="88">
        <v>80.731342296804698</v>
      </c>
      <c r="DE360" s="88">
        <v>80.701754385963113</v>
      </c>
      <c r="DF360" s="88">
        <v>80.672188155026703</v>
      </c>
      <c r="DG360" s="93">
        <v>46235</v>
      </c>
      <c r="DH360" s="91">
        <v>0.05</v>
      </c>
      <c r="DI360" t="s">
        <v>300</v>
      </c>
      <c r="DJ360" s="93"/>
      <c r="DK360" s="91"/>
      <c r="DM360" s="93"/>
      <c r="DN360" s="91"/>
      <c r="DP360" s="93"/>
      <c r="DQ360" s="91"/>
    </row>
    <row r="361" spans="1:121" x14ac:dyDescent="0.3">
      <c r="A361" t="s">
        <v>32</v>
      </c>
      <c r="B361" t="s">
        <v>47</v>
      </c>
      <c r="C361" t="s">
        <v>48</v>
      </c>
      <c r="D361" t="s">
        <v>388</v>
      </c>
      <c r="E361" t="s">
        <v>723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15200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270.15971951694729</v>
      </c>
      <c r="BL361" s="88">
        <v>269.77219129124097</v>
      </c>
      <c r="BM361" s="88">
        <v>269.38577324593399</v>
      </c>
      <c r="BN361" s="88">
        <v>268.98741848682607</v>
      </c>
      <c r="BO361" s="88">
        <v>268.59024012393462</v>
      </c>
      <c r="BP361" s="88">
        <v>268.19423295385809</v>
      </c>
      <c r="BQ361" s="88">
        <v>267.79939180383383</v>
      </c>
      <c r="BR361" s="88">
        <v>267.39926739926773</v>
      </c>
      <c r="BS361" s="88">
        <v>267.00676179704948</v>
      </c>
      <c r="BT361" s="88">
        <v>266.61540679513439</v>
      </c>
      <c r="BU361" s="88">
        <v>266.22519734158408</v>
      </c>
      <c r="BV361" s="88">
        <v>265.83612841398889</v>
      </c>
      <c r="BW361" s="88">
        <v>0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15200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270.15971951694729</v>
      </c>
      <c r="CV361" s="88">
        <v>269.77219129124097</v>
      </c>
      <c r="CW361" s="88">
        <v>269.38577324593399</v>
      </c>
      <c r="CX361" s="88">
        <v>268.98741848682607</v>
      </c>
      <c r="CY361" s="88">
        <v>268.59024012393462</v>
      </c>
      <c r="CZ361" s="88">
        <v>268.19423295385809</v>
      </c>
      <c r="DA361" s="88">
        <v>267.79939180383383</v>
      </c>
      <c r="DB361" s="88">
        <v>267.39926739926773</v>
      </c>
      <c r="DC361" s="88">
        <v>267.00676179704948</v>
      </c>
      <c r="DD361" s="88">
        <v>266.61540679513439</v>
      </c>
      <c r="DE361" s="88">
        <v>266.22519734158408</v>
      </c>
      <c r="DF361" s="88">
        <v>265.83612841398889</v>
      </c>
      <c r="DG361" s="93"/>
      <c r="DH361" s="91"/>
      <c r="DJ361" s="93"/>
      <c r="DK361" s="91"/>
      <c r="DM361" s="93"/>
      <c r="DN361" s="91"/>
      <c r="DP361" s="93"/>
      <c r="DQ361" s="91"/>
    </row>
    <row r="362" spans="1:121" x14ac:dyDescent="0.3">
      <c r="A362" t="s">
        <v>32</v>
      </c>
      <c r="B362" t="s">
        <v>47</v>
      </c>
      <c r="C362" t="s">
        <v>50</v>
      </c>
      <c r="D362" t="s">
        <v>390</v>
      </c>
      <c r="E362" t="s">
        <v>724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12000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240.0000000000002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729.59999999999957</v>
      </c>
      <c r="BQ362" s="88">
        <v>729.59999999999957</v>
      </c>
      <c r="BR362" s="88">
        <v>729.59999999999957</v>
      </c>
      <c r="BS362" s="88">
        <v>729.59999999999957</v>
      </c>
      <c r="BT362" s="88">
        <v>480.00000000000051</v>
      </c>
      <c r="BU362" s="88">
        <v>480.00000000000051</v>
      </c>
      <c r="BV362" s="88">
        <v>480.00000000000051</v>
      </c>
      <c r="BW362" s="88">
        <v>240.0000000000002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729.59999999999957</v>
      </c>
      <c r="CC362" s="88">
        <v>729.59999999999957</v>
      </c>
      <c r="CD362" s="88">
        <v>729.59999999999957</v>
      </c>
      <c r="CE362" s="88">
        <v>729.59999999999957</v>
      </c>
      <c r="CF362" s="88">
        <v>480.00000000000051</v>
      </c>
      <c r="CG362" s="88">
        <v>480.00000000000051</v>
      </c>
      <c r="CH362" s="88">
        <v>480.00000000000051</v>
      </c>
      <c r="CI362" s="88">
        <v>12000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93">
        <v>46296</v>
      </c>
      <c r="DH362" s="91">
        <v>0.02</v>
      </c>
      <c r="DI362" t="s">
        <v>300</v>
      </c>
      <c r="DJ362" s="93">
        <v>46539</v>
      </c>
      <c r="DK362" s="91">
        <v>0.04</v>
      </c>
      <c r="DL362" t="s">
        <v>301</v>
      </c>
      <c r="DM362" s="93"/>
      <c r="DN362" s="91"/>
      <c r="DP362" s="93"/>
      <c r="DQ362" s="91"/>
    </row>
    <row r="363" spans="1:121" x14ac:dyDescent="0.3">
      <c r="A363" t="s">
        <v>32</v>
      </c>
      <c r="B363" t="s">
        <v>47</v>
      </c>
      <c r="C363" t="s">
        <v>57</v>
      </c>
      <c r="D363" t="s">
        <v>392</v>
      </c>
      <c r="E363" t="s">
        <v>725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8800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116.93961881761869</v>
      </c>
      <c r="BL363" s="88">
        <v>116.81415929203651</v>
      </c>
      <c r="BM363" s="88">
        <v>116.68896867828791</v>
      </c>
      <c r="BN363" s="88">
        <v>116.55981613644749</v>
      </c>
      <c r="BO363" s="88">
        <v>116.43094917322679</v>
      </c>
      <c r="BP363" s="88">
        <v>116.3023668424794</v>
      </c>
      <c r="BQ363" s="88">
        <v>116.17406820223211</v>
      </c>
      <c r="BR363" s="88">
        <v>116.04395604395761</v>
      </c>
      <c r="BS363" s="88">
        <v>115.9162265875933</v>
      </c>
      <c r="BT363" s="88">
        <v>115.78877800541839</v>
      </c>
      <c r="BU363" s="88">
        <v>115.6616093719984</v>
      </c>
      <c r="BV363" s="88">
        <v>115.5347197659557</v>
      </c>
      <c r="BW363" s="88">
        <v>0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8800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116.93961881761869</v>
      </c>
      <c r="CV363" s="88">
        <v>116.81415929203651</v>
      </c>
      <c r="CW363" s="88">
        <v>116.68896867828791</v>
      </c>
      <c r="CX363" s="88">
        <v>116.55981613644749</v>
      </c>
      <c r="CY363" s="88">
        <v>116.43094917322679</v>
      </c>
      <c r="CZ363" s="88">
        <v>116.3023668424794</v>
      </c>
      <c r="DA363" s="88">
        <v>116.17406820223211</v>
      </c>
      <c r="DB363" s="88">
        <v>116.04395604395761</v>
      </c>
      <c r="DC363" s="88">
        <v>115.9162265875933</v>
      </c>
      <c r="DD363" s="88">
        <v>115.78877800541839</v>
      </c>
      <c r="DE363" s="88">
        <v>115.6616093719984</v>
      </c>
      <c r="DF363" s="88">
        <v>115.5347197659557</v>
      </c>
      <c r="DG363" s="93"/>
      <c r="DH363" s="91"/>
      <c r="DJ363" s="93"/>
      <c r="DK363" s="91"/>
      <c r="DM363" s="93"/>
      <c r="DN363" s="91"/>
      <c r="DP363" s="93"/>
      <c r="DQ363" s="91"/>
    </row>
    <row r="364" spans="1:121" x14ac:dyDescent="0.3">
      <c r="A364" t="s">
        <v>32</v>
      </c>
      <c r="B364" t="s">
        <v>47</v>
      </c>
      <c r="C364" t="s">
        <v>58</v>
      </c>
      <c r="D364" t="s">
        <v>394</v>
      </c>
      <c r="E364" t="s">
        <v>726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19200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-83.997051473363626</v>
      </c>
      <c r="BL364" s="88">
        <v>-84.026761948154416</v>
      </c>
      <c r="BM364" s="88">
        <v>-84.056493448078839</v>
      </c>
      <c r="BN364" s="88">
        <v>-84.087254925486832</v>
      </c>
      <c r="BO364" s="88">
        <v>-84.118038926198579</v>
      </c>
      <c r="BP364" s="88">
        <v>-84.148845474958023</v>
      </c>
      <c r="BQ364" s="88">
        <v>-84.179674596549603</v>
      </c>
      <c r="BR364" s="88">
        <v>-84.211032270080466</v>
      </c>
      <c r="BS364" s="88">
        <v>-84.241906982895642</v>
      </c>
      <c r="BT364" s="88">
        <v>-84.27280434351232</v>
      </c>
      <c r="BU364" s="88">
        <v>-84.303724376864153</v>
      </c>
      <c r="BV364" s="88">
        <v>-84.33466710791464</v>
      </c>
      <c r="BW364" s="88">
        <v>0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19200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-83.997051473363626</v>
      </c>
      <c r="CV364" s="88">
        <v>-84.026761948154416</v>
      </c>
      <c r="CW364" s="88">
        <v>-84.056493448078839</v>
      </c>
      <c r="CX364" s="88">
        <v>-84.087254925486832</v>
      </c>
      <c r="CY364" s="88">
        <v>-84.118038926198579</v>
      </c>
      <c r="CZ364" s="88">
        <v>-84.148845474958023</v>
      </c>
      <c r="DA364" s="88">
        <v>-84.179674596549603</v>
      </c>
      <c r="DB364" s="88">
        <v>-84.211032270080466</v>
      </c>
      <c r="DC364" s="88">
        <v>-84.241906982895642</v>
      </c>
      <c r="DD364" s="88">
        <v>-84.27280434351232</v>
      </c>
      <c r="DE364" s="88">
        <v>-84.303724376864153</v>
      </c>
      <c r="DF364" s="88">
        <v>-84.33466710791464</v>
      </c>
      <c r="DG364" s="93"/>
      <c r="DH364" s="91"/>
      <c r="DJ364" s="93"/>
      <c r="DK364" s="91"/>
      <c r="DM364" s="93"/>
      <c r="DN364" s="91"/>
      <c r="DP364" s="93"/>
      <c r="DQ364" s="91"/>
    </row>
    <row r="365" spans="1:121" x14ac:dyDescent="0.3">
      <c r="A365" t="s">
        <v>32</v>
      </c>
      <c r="B365" t="s">
        <v>47</v>
      </c>
      <c r="C365" t="s">
        <v>65</v>
      </c>
      <c r="D365" t="s">
        <v>396</v>
      </c>
      <c r="E365" t="s">
        <v>727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16000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1401.233736693659</v>
      </c>
      <c r="BL365" s="88">
        <v>1370.1525793170219</v>
      </c>
      <c r="BM365" s="88">
        <v>1339.1822549938049</v>
      </c>
      <c r="BN365" s="88">
        <v>1491.888957528957</v>
      </c>
      <c r="BO365" s="88">
        <v>1621.0007406738321</v>
      </c>
      <c r="BP365" s="88">
        <v>1588.6968083188081</v>
      </c>
      <c r="BQ365" s="88">
        <v>484.98695065246619</v>
      </c>
      <c r="BR365" s="88">
        <v>454.38332784381782</v>
      </c>
      <c r="BS365" s="88">
        <v>424.38400382568989</v>
      </c>
      <c r="BT365" s="88">
        <v>394.49386914884252</v>
      </c>
      <c r="BU365" s="88">
        <v>364.71232876712281</v>
      </c>
      <c r="BV365" s="88">
        <v>335.03879195029992</v>
      </c>
      <c r="BW365" s="88">
        <v>1039.9999999999991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0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16000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339.186607224093</v>
      </c>
      <c r="CV365" s="88">
        <v>310.00242189391969</v>
      </c>
      <c r="CW365" s="88">
        <v>280.92230515850139</v>
      </c>
      <c r="CX365" s="88">
        <v>424.30888030888173</v>
      </c>
      <c r="CY365" s="88">
        <v>545.54060157167328</v>
      </c>
      <c r="CZ365" s="88">
        <v>515.20827072188524</v>
      </c>
      <c r="DA365" s="88">
        <v>484.98695065246619</v>
      </c>
      <c r="DB365" s="88">
        <v>454.38332784381782</v>
      </c>
      <c r="DC365" s="88">
        <v>424.38400382568989</v>
      </c>
      <c r="DD365" s="88">
        <v>394.49386914884252</v>
      </c>
      <c r="DE365" s="88">
        <v>364.71232876712281</v>
      </c>
      <c r="DF365" s="88">
        <v>335.03879195029992</v>
      </c>
      <c r="DG365" s="93">
        <v>46204</v>
      </c>
      <c r="DH365" s="91">
        <v>6.5000000000000002E-2</v>
      </c>
      <c r="DI365" t="s">
        <v>301</v>
      </c>
      <c r="DJ365" s="93"/>
      <c r="DK365" s="91"/>
      <c r="DM365" s="93"/>
      <c r="DN365" s="91"/>
      <c r="DP365" s="93"/>
      <c r="DQ365" s="91"/>
    </row>
    <row r="366" spans="1:121" x14ac:dyDescent="0.3">
      <c r="A366" t="s">
        <v>32</v>
      </c>
      <c r="B366" t="s">
        <v>47</v>
      </c>
      <c r="C366" t="s">
        <v>66</v>
      </c>
      <c r="D366" t="s">
        <v>398</v>
      </c>
      <c r="E366" t="s">
        <v>728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12800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649.64944018927326</v>
      </c>
      <c r="BL366" s="88">
        <v>-111.730240344373</v>
      </c>
      <c r="BM366" s="88">
        <v>-111.8091203886507</v>
      </c>
      <c r="BN366" s="88">
        <v>-111.8907915219737</v>
      </c>
      <c r="BO366" s="88">
        <v>-111.97258205610579</v>
      </c>
      <c r="BP366" s="88">
        <v>-112.05449225308119</v>
      </c>
      <c r="BQ366" s="88">
        <v>-112.1365223756996</v>
      </c>
      <c r="BR366" s="88">
        <v>-112.2200204167427</v>
      </c>
      <c r="BS366" s="88">
        <v>-112.30229315898301</v>
      </c>
      <c r="BT366" s="88">
        <v>395.11992591077961</v>
      </c>
      <c r="BU366" s="88">
        <v>395.03411087841022</v>
      </c>
      <c r="BV366" s="88">
        <v>394.94816974018357</v>
      </c>
      <c r="BW366" s="88">
        <v>768.00000000000068</v>
      </c>
      <c r="BX366" s="88">
        <v>0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512.00000000000045</v>
      </c>
      <c r="CG366" s="88">
        <v>512.00000000000045</v>
      </c>
      <c r="CH366" s="88">
        <v>512.00000000000045</v>
      </c>
      <c r="CI366" s="88">
        <v>12800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-111.6514715195535</v>
      </c>
      <c r="CV366" s="88">
        <v>-111.730240344373</v>
      </c>
      <c r="CW366" s="88">
        <v>-111.8091203886507</v>
      </c>
      <c r="CX366" s="88">
        <v>-111.8907915219737</v>
      </c>
      <c r="CY366" s="88">
        <v>-111.97258205610579</v>
      </c>
      <c r="CZ366" s="88">
        <v>-112.05449225308119</v>
      </c>
      <c r="DA366" s="88">
        <v>-112.1365223756996</v>
      </c>
      <c r="DB366" s="88">
        <v>-112.2200204167427</v>
      </c>
      <c r="DC366" s="88">
        <v>-112.30229315898301</v>
      </c>
      <c r="DD366" s="88">
        <v>-112.38468662425019</v>
      </c>
      <c r="DE366" s="88">
        <v>-112.46720107845221</v>
      </c>
      <c r="DF366" s="88">
        <v>-112.5498367882841</v>
      </c>
      <c r="DG366" s="93">
        <v>46054</v>
      </c>
      <c r="DH366" s="91">
        <v>0.06</v>
      </c>
      <c r="DI366" t="s">
        <v>300</v>
      </c>
      <c r="DJ366" s="93">
        <v>46661</v>
      </c>
      <c r="DK366" s="91">
        <v>0.04</v>
      </c>
      <c r="DL366" t="s">
        <v>301</v>
      </c>
      <c r="DM366" s="93"/>
      <c r="DN366" s="91"/>
      <c r="DP366" s="93"/>
      <c r="DQ366" s="91"/>
    </row>
    <row r="367" spans="1:121" x14ac:dyDescent="0.3">
      <c r="A367" t="s">
        <v>32</v>
      </c>
      <c r="B367" t="s">
        <v>47</v>
      </c>
      <c r="C367" t="s">
        <v>67</v>
      </c>
      <c r="D367" t="s">
        <v>400</v>
      </c>
      <c r="E367" t="s">
        <v>729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9600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1006.485319568483</v>
      </c>
      <c r="BL367" s="88">
        <v>1006.468786921614</v>
      </c>
      <c r="BM367" s="88">
        <v>1006.452266030335</v>
      </c>
      <c r="BN367" s="88">
        <v>1430.692605353833</v>
      </c>
      <c r="BO367" s="88">
        <v>1430.674867076528</v>
      </c>
      <c r="BP367" s="88">
        <v>1430.6571418252749</v>
      </c>
      <c r="BQ367" s="88">
        <v>1430.6394295857281</v>
      </c>
      <c r="BR367" s="88">
        <v>1430.621440300258</v>
      </c>
      <c r="BS367" s="88">
        <v>1430.6037542539</v>
      </c>
      <c r="BT367" s="88">
        <v>427.80552834191923</v>
      </c>
      <c r="BU367" s="88">
        <v>427.78947368420933</v>
      </c>
      <c r="BV367" s="88">
        <v>427.77343079020511</v>
      </c>
      <c r="BW367" s="88">
        <v>960.00000000000091</v>
      </c>
      <c r="BX367" s="88">
        <v>960.00000000000091</v>
      </c>
      <c r="BY367" s="88">
        <v>960.00000000000091</v>
      </c>
      <c r="BZ367" s="88">
        <v>1382.400000000001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384.00000000000028</v>
      </c>
      <c r="CG367" s="88">
        <v>384.00000000000028</v>
      </c>
      <c r="CH367" s="88">
        <v>384.00000000000028</v>
      </c>
      <c r="CI367" s="88">
        <v>9600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42.259381425893139</v>
      </c>
      <c r="CV367" s="88">
        <v>42.244351746919762</v>
      </c>
      <c r="CW367" s="88">
        <v>42.22933275484948</v>
      </c>
      <c r="CX367" s="88">
        <v>42.213815868733207</v>
      </c>
      <c r="CY367" s="88">
        <v>42.198310381579773</v>
      </c>
      <c r="CZ367" s="88">
        <v>42.18281628083389</v>
      </c>
      <c r="DA367" s="88">
        <v>42.16733355395732</v>
      </c>
      <c r="DB367" s="88">
        <v>42.151608654070571</v>
      </c>
      <c r="DC367" s="88">
        <v>42.136148823338708</v>
      </c>
      <c r="DD367" s="88">
        <v>42.120700328767668</v>
      </c>
      <c r="DE367" s="88">
        <v>42.105263157893802</v>
      </c>
      <c r="DF367" s="88">
        <v>42.089837298274801</v>
      </c>
      <c r="DG367" s="93">
        <v>46296</v>
      </c>
      <c r="DH367" s="91">
        <v>0.1</v>
      </c>
      <c r="DI367" t="s">
        <v>402</v>
      </c>
      <c r="DJ367" s="93">
        <v>46478</v>
      </c>
      <c r="DK367" s="91">
        <v>0.04</v>
      </c>
      <c r="DL367" t="s">
        <v>301</v>
      </c>
      <c r="DM367" s="93"/>
      <c r="DN367" s="91"/>
      <c r="DP367" s="93"/>
      <c r="DQ367" s="91"/>
    </row>
    <row r="368" spans="1:121" x14ac:dyDescent="0.3">
      <c r="A368" t="s">
        <v>32</v>
      </c>
      <c r="B368" t="s">
        <v>47</v>
      </c>
      <c r="C368" t="s">
        <v>73</v>
      </c>
      <c r="D368" t="s">
        <v>403</v>
      </c>
      <c r="E368" t="s">
        <v>730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6400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309.16400467471868</v>
      </c>
      <c r="BL368" s="88">
        <v>308.99593980209659</v>
      </c>
      <c r="BM368" s="88">
        <v>308.82835639718422</v>
      </c>
      <c r="BN368" s="88">
        <v>113.2578604155057</v>
      </c>
      <c r="BO368" s="88">
        <v>113.09062742060409</v>
      </c>
      <c r="BP368" s="88">
        <v>112.9238875595192</v>
      </c>
      <c r="BQ368" s="88">
        <v>112.7576386542458</v>
      </c>
      <c r="BR368" s="88">
        <v>112.58916522074431</v>
      </c>
      <c r="BS368" s="88">
        <v>112.4238997040209</v>
      </c>
      <c r="BT368" s="88">
        <v>112.25911865058291</v>
      </c>
      <c r="BU368" s="88">
        <v>112.0948199332986</v>
      </c>
      <c r="BV368" s="88">
        <v>111.93100143746901</v>
      </c>
      <c r="BW368" s="88">
        <v>192.0000000000002</v>
      </c>
      <c r="BX368" s="88">
        <v>192.0000000000002</v>
      </c>
      <c r="BY368" s="88">
        <v>192.0000000000002</v>
      </c>
      <c r="BZ368" s="88">
        <v>0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6400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113.751460849241</v>
      </c>
      <c r="CV368" s="88">
        <v>113.5882910699962</v>
      </c>
      <c r="CW368" s="88">
        <v>113.42558873513011</v>
      </c>
      <c r="CX368" s="88">
        <v>113.2578604155057</v>
      </c>
      <c r="CY368" s="88">
        <v>113.09062742060409</v>
      </c>
      <c r="CZ368" s="88">
        <v>112.9238875595192</v>
      </c>
      <c r="DA368" s="88">
        <v>112.7576386542458</v>
      </c>
      <c r="DB368" s="88">
        <v>112.58916522074431</v>
      </c>
      <c r="DC368" s="88">
        <v>112.4238997040209</v>
      </c>
      <c r="DD368" s="88">
        <v>112.25911865058291</v>
      </c>
      <c r="DE368" s="88">
        <v>112.0948199332986</v>
      </c>
      <c r="DF368" s="88">
        <v>111.93100143746901</v>
      </c>
      <c r="DG368" s="93">
        <v>46113</v>
      </c>
      <c r="DH368" s="91">
        <v>0.03</v>
      </c>
      <c r="DI368" t="s">
        <v>300</v>
      </c>
      <c r="DJ368" s="93"/>
      <c r="DK368" s="91"/>
      <c r="DM368" s="93"/>
      <c r="DN368" s="91"/>
      <c r="DP368" s="93"/>
      <c r="DQ368" s="91"/>
    </row>
    <row r="369" spans="1:121" x14ac:dyDescent="0.3">
      <c r="A369" t="s">
        <v>32</v>
      </c>
      <c r="B369" t="s">
        <v>47</v>
      </c>
      <c r="C369" t="s">
        <v>78</v>
      </c>
      <c r="D369" t="s">
        <v>405</v>
      </c>
      <c r="E369" t="s">
        <v>731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16800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672.00000000000057</v>
      </c>
      <c r="BL369" s="88">
        <v>672.00000000000057</v>
      </c>
      <c r="BM369" s="88">
        <v>672.00000000000057</v>
      </c>
      <c r="BN369" s="88">
        <v>672.00000000000057</v>
      </c>
      <c r="BO369" s="88">
        <v>0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672.00000000000057</v>
      </c>
      <c r="BX369" s="88">
        <v>672.00000000000057</v>
      </c>
      <c r="BY369" s="88">
        <v>672.00000000000057</v>
      </c>
      <c r="BZ369" s="88">
        <v>672.00000000000057</v>
      </c>
      <c r="CA369" s="88">
        <v>0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16800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93">
        <v>46143</v>
      </c>
      <c r="DH369" s="91">
        <v>0.04</v>
      </c>
      <c r="DI369" t="s">
        <v>300</v>
      </c>
      <c r="DJ369" s="93"/>
      <c r="DK369" s="91"/>
      <c r="DM369" s="93"/>
      <c r="DN369" s="91"/>
      <c r="DP369" s="93"/>
      <c r="DQ369" s="91"/>
    </row>
    <row r="370" spans="1:121" x14ac:dyDescent="0.3">
      <c r="A370" t="s">
        <v>32</v>
      </c>
      <c r="B370" t="s">
        <v>47</v>
      </c>
      <c r="C370" t="s">
        <v>80</v>
      </c>
      <c r="D370" t="s">
        <v>407</v>
      </c>
      <c r="E370" t="s">
        <v>732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13600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180.72486544541059</v>
      </c>
      <c r="BL370" s="88">
        <v>180.5309734513292</v>
      </c>
      <c r="BM370" s="88">
        <v>180.33749704826309</v>
      </c>
      <c r="BN370" s="88">
        <v>731.34341357203687</v>
      </c>
      <c r="BO370" s="88">
        <v>731.13628921660484</v>
      </c>
      <c r="BP370" s="88">
        <v>730.92962234318418</v>
      </c>
      <c r="BQ370" s="88">
        <v>730.72341143777066</v>
      </c>
      <c r="BR370" s="88">
        <v>730.51428571428721</v>
      </c>
      <c r="BS370" s="88">
        <v>730.30898964260393</v>
      </c>
      <c r="BT370" s="88">
        <v>730.10414501234641</v>
      </c>
      <c r="BU370" s="88">
        <v>729.89975033608459</v>
      </c>
      <c r="BV370" s="88">
        <v>729.6958041329176</v>
      </c>
      <c r="BW370" s="88">
        <v>0</v>
      </c>
      <c r="BX370" s="88">
        <v>0</v>
      </c>
      <c r="BY370" s="88">
        <v>0</v>
      </c>
      <c r="BZ370" s="88">
        <v>544.00000000000045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13600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180.72486544541059</v>
      </c>
      <c r="CV370" s="88">
        <v>180.5309734513292</v>
      </c>
      <c r="CW370" s="88">
        <v>180.33749704826309</v>
      </c>
      <c r="CX370" s="88">
        <v>180.13789766541879</v>
      </c>
      <c r="CY370" s="88">
        <v>179.93873963135059</v>
      </c>
      <c r="CZ370" s="88">
        <v>179.74002148383181</v>
      </c>
      <c r="DA370" s="88">
        <v>179.54174176708599</v>
      </c>
      <c r="DB370" s="88">
        <v>179.34065934066169</v>
      </c>
      <c r="DC370" s="88">
        <v>179.1432592717351</v>
      </c>
      <c r="DD370" s="88">
        <v>178.94629328110111</v>
      </c>
      <c r="DE370" s="88">
        <v>178.74975993854301</v>
      </c>
      <c r="DF370" s="88">
        <v>178.55365782011339</v>
      </c>
      <c r="DG370" s="93">
        <v>46478</v>
      </c>
      <c r="DH370" s="91">
        <v>0.04</v>
      </c>
      <c r="DI370" t="s">
        <v>301</v>
      </c>
      <c r="DJ370" s="93"/>
      <c r="DK370" s="91"/>
      <c r="DM370" s="93"/>
      <c r="DN370" s="91"/>
      <c r="DP370" s="93"/>
      <c r="DQ370" s="91"/>
    </row>
    <row r="371" spans="1:121" x14ac:dyDescent="0.3">
      <c r="A371" t="s">
        <v>32</v>
      </c>
      <c r="B371" t="s">
        <v>47</v>
      </c>
      <c r="C371" t="s">
        <v>82</v>
      </c>
      <c r="D371" t="s">
        <v>409</v>
      </c>
      <c r="E371" t="s">
        <v>733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10400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575.77169294571195</v>
      </c>
      <c r="BL371" s="88">
        <v>575.75463418143511</v>
      </c>
      <c r="BM371" s="88">
        <v>575.73756334522943</v>
      </c>
      <c r="BN371" s="88">
        <v>575.71990113028289</v>
      </c>
      <c r="BO371" s="88">
        <v>575.70222598320913</v>
      </c>
      <c r="BP371" s="88">
        <v>575.68453788979457</v>
      </c>
      <c r="BQ371" s="88">
        <v>-45.597323739797702</v>
      </c>
      <c r="BR371" s="88">
        <v>-45.614309146293593</v>
      </c>
      <c r="BS371" s="88">
        <v>-45.631032949068469</v>
      </c>
      <c r="BT371" s="88">
        <v>-45.647769019402503</v>
      </c>
      <c r="BU371" s="88">
        <v>-45.66451737080142</v>
      </c>
      <c r="BV371" s="88">
        <v>-45.681278016787097</v>
      </c>
      <c r="BW371" s="88">
        <v>624.00000000000057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0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10400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-45.498402881405298</v>
      </c>
      <c r="CV371" s="88">
        <v>-45.514496055250312</v>
      </c>
      <c r="CW371" s="88">
        <v>-45.530600617709368</v>
      </c>
      <c r="CX371" s="88">
        <v>-45.547263084638701</v>
      </c>
      <c r="CY371" s="88">
        <v>-45.563937751690901</v>
      </c>
      <c r="CZ371" s="88">
        <v>-45.580624632268929</v>
      </c>
      <c r="DA371" s="88">
        <v>-45.597323739797702</v>
      </c>
      <c r="DB371" s="88">
        <v>-45.614309146293593</v>
      </c>
      <c r="DC371" s="88">
        <v>-45.631032949068469</v>
      </c>
      <c r="DD371" s="88">
        <v>-45.647769019402503</v>
      </c>
      <c r="DE371" s="88">
        <v>-45.66451737080142</v>
      </c>
      <c r="DF371" s="88">
        <v>-45.681278016787097</v>
      </c>
      <c r="DG371" s="93">
        <v>46204</v>
      </c>
      <c r="DH371" s="91">
        <v>0.06</v>
      </c>
      <c r="DI371" t="s">
        <v>300</v>
      </c>
      <c r="DJ371" s="93"/>
      <c r="DK371" s="91"/>
      <c r="DM371" s="93"/>
      <c r="DN371" s="91"/>
      <c r="DP371" s="93"/>
      <c r="DQ371" s="91"/>
    </row>
    <row r="372" spans="1:121" x14ac:dyDescent="0.3">
      <c r="A372" t="s">
        <v>32</v>
      </c>
      <c r="B372" t="s">
        <v>47</v>
      </c>
      <c r="C372" t="s">
        <v>84</v>
      </c>
      <c r="D372" t="s">
        <v>411</v>
      </c>
      <c r="E372" t="s">
        <v>734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7200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208.85827314629981</v>
      </c>
      <c r="BL372" s="88">
        <v>208.81201189583899</v>
      </c>
      <c r="BM372" s="88">
        <v>208.76581659156591</v>
      </c>
      <c r="BN372" s="88">
        <v>208.71812453221941</v>
      </c>
      <c r="BO372" s="88">
        <v>208.67050265986191</v>
      </c>
      <c r="BP372" s="88">
        <v>208.62295081967321</v>
      </c>
      <c r="BQ372" s="88">
        <v>208.57546885727609</v>
      </c>
      <c r="BR372" s="88">
        <v>63.262039165654294</v>
      </c>
      <c r="BS372" s="88">
        <v>63.215625902049062</v>
      </c>
      <c r="BT372" s="88">
        <v>63.169280692267193</v>
      </c>
      <c r="BU372" s="88">
        <v>63.123003386735547</v>
      </c>
      <c r="BV372" s="88">
        <v>63.076793836331817</v>
      </c>
      <c r="BW372" s="88">
        <v>144.00000000000011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0</v>
      </c>
      <c r="CE372" s="88">
        <v>0</v>
      </c>
      <c r="CF372" s="88">
        <v>0</v>
      </c>
      <c r="CG372" s="88">
        <v>0</v>
      </c>
      <c r="CH372" s="88">
        <v>0</v>
      </c>
      <c r="CI372" s="88">
        <v>7200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63.586542300294369</v>
      </c>
      <c r="CV372" s="88">
        <v>63.541188133174842</v>
      </c>
      <c r="CW372" s="88">
        <v>63.495898619181368</v>
      </c>
      <c r="CX372" s="88">
        <v>63.44914169825433</v>
      </c>
      <c r="CY372" s="88">
        <v>63.402453588100371</v>
      </c>
      <c r="CZ372" s="88">
        <v>63.355834136933709</v>
      </c>
      <c r="DA372" s="88">
        <v>63.309283193408213</v>
      </c>
      <c r="DB372" s="88">
        <v>63.262039165654294</v>
      </c>
      <c r="DC372" s="88">
        <v>63.215625902049062</v>
      </c>
      <c r="DD372" s="88">
        <v>63.169280692267193</v>
      </c>
      <c r="DE372" s="88">
        <v>63.123003386735547</v>
      </c>
      <c r="DF372" s="88">
        <v>63.076793836331817</v>
      </c>
      <c r="DG372" s="93">
        <v>46235</v>
      </c>
      <c r="DH372" s="91">
        <v>0.02</v>
      </c>
      <c r="DI372" t="s">
        <v>300</v>
      </c>
      <c r="DJ372" s="93"/>
      <c r="DK372" s="91"/>
      <c r="DM372" s="93"/>
      <c r="DN372" s="91"/>
      <c r="DP372" s="93"/>
      <c r="DQ372" s="91"/>
    </row>
    <row r="373" spans="1:121" x14ac:dyDescent="0.3">
      <c r="A373" t="s">
        <v>32</v>
      </c>
      <c r="B373" t="s">
        <v>47</v>
      </c>
      <c r="C373" t="s">
        <v>86</v>
      </c>
      <c r="D373" t="s">
        <v>413</v>
      </c>
      <c r="E373" t="s">
        <v>735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17600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-153.5207733393861</v>
      </c>
      <c r="BL373" s="88">
        <v>-153.62908047351289</v>
      </c>
      <c r="BM373" s="88">
        <v>-153.73754053439481</v>
      </c>
      <c r="BN373" s="88">
        <v>-153.84983834271381</v>
      </c>
      <c r="BO373" s="88">
        <v>-153.9623003271455</v>
      </c>
      <c r="BP373" s="88">
        <v>-154.0749268479866</v>
      </c>
      <c r="BQ373" s="88">
        <v>-154.18771826658701</v>
      </c>
      <c r="BR373" s="88">
        <v>-154.30252807302131</v>
      </c>
      <c r="BS373" s="88">
        <v>-154.41565309360161</v>
      </c>
      <c r="BT373" s="88">
        <v>-154.52894410834401</v>
      </c>
      <c r="BU373" s="88">
        <v>-154.6424014828718</v>
      </c>
      <c r="BV373" s="88">
        <v>-154.75602558389059</v>
      </c>
      <c r="BW373" s="88">
        <v>0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17600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-153.5207733393861</v>
      </c>
      <c r="CV373" s="88">
        <v>-153.62908047351289</v>
      </c>
      <c r="CW373" s="88">
        <v>-153.73754053439481</v>
      </c>
      <c r="CX373" s="88">
        <v>-153.84983834271381</v>
      </c>
      <c r="CY373" s="88">
        <v>-153.9623003271455</v>
      </c>
      <c r="CZ373" s="88">
        <v>-154.0749268479866</v>
      </c>
      <c r="DA373" s="88">
        <v>-154.18771826658701</v>
      </c>
      <c r="DB373" s="88">
        <v>-154.30252807302131</v>
      </c>
      <c r="DC373" s="88">
        <v>-154.41565309360161</v>
      </c>
      <c r="DD373" s="88">
        <v>-154.52894410834401</v>
      </c>
      <c r="DE373" s="88">
        <v>-154.6424014828718</v>
      </c>
      <c r="DF373" s="88">
        <v>-154.75602558389059</v>
      </c>
      <c r="DG373" s="93"/>
      <c r="DH373" s="91"/>
      <c r="DJ373" s="93"/>
      <c r="DK373" s="91"/>
      <c r="DM373" s="93"/>
      <c r="DN373" s="91"/>
      <c r="DP373" s="93"/>
      <c r="DQ373" s="91"/>
    </row>
    <row r="374" spans="1:121" x14ac:dyDescent="0.3">
      <c r="A374" t="s">
        <v>32</v>
      </c>
      <c r="B374" t="s">
        <v>47</v>
      </c>
      <c r="C374" t="s">
        <v>88</v>
      </c>
      <c r="D374" t="s">
        <v>415</v>
      </c>
      <c r="E374" t="s">
        <v>736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14400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641.92463502439387</v>
      </c>
      <c r="BL374" s="88">
        <v>641.90118872519406</v>
      </c>
      <c r="BM374" s="88">
        <v>641.87775909756726</v>
      </c>
      <c r="BN374" s="88">
        <v>641.85355275522545</v>
      </c>
      <c r="BO374" s="88">
        <v>641.82936419526402</v>
      </c>
      <c r="BP374" s="88">
        <v>641.80519339810189</v>
      </c>
      <c r="BQ374" s="88">
        <v>641.78104034417379</v>
      </c>
      <c r="BR374" s="88">
        <v>1243.426769880366</v>
      </c>
      <c r="BS374" s="88">
        <v>1243.4016878509869</v>
      </c>
      <c r="BT374" s="88">
        <v>641.70829251287887</v>
      </c>
      <c r="BU374" s="88">
        <v>641.6842105263139</v>
      </c>
      <c r="BV374" s="88">
        <v>641.66014618530767</v>
      </c>
      <c r="BW374" s="88">
        <v>576.00000000000045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1175.040000000002</v>
      </c>
      <c r="CE374" s="88">
        <v>1175.040000000002</v>
      </c>
      <c r="CF374" s="88">
        <v>576.00000000000045</v>
      </c>
      <c r="CG374" s="88">
        <v>576.00000000000045</v>
      </c>
      <c r="CH374" s="88">
        <v>576.00000000000045</v>
      </c>
      <c r="CI374" s="88">
        <v>14400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63.389072138839708</v>
      </c>
      <c r="CV374" s="88">
        <v>63.366527620379642</v>
      </c>
      <c r="CW374" s="88">
        <v>63.34399913227422</v>
      </c>
      <c r="CX374" s="88">
        <v>63.32072380309981</v>
      </c>
      <c r="CY374" s="88">
        <v>63.29746557236966</v>
      </c>
      <c r="CZ374" s="88">
        <v>63.274224421250842</v>
      </c>
      <c r="DA374" s="88">
        <v>63.25100033093598</v>
      </c>
      <c r="DB374" s="88">
        <v>63.227412981105857</v>
      </c>
      <c r="DC374" s="88">
        <v>63.204223235008072</v>
      </c>
      <c r="DD374" s="88">
        <v>63.181050493151503</v>
      </c>
      <c r="DE374" s="88">
        <v>63.157894736840703</v>
      </c>
      <c r="DF374" s="88">
        <v>63.134755947412202</v>
      </c>
      <c r="DG374" s="93">
        <v>46296</v>
      </c>
      <c r="DH374" s="91">
        <v>0.04</v>
      </c>
      <c r="DI374" t="s">
        <v>300</v>
      </c>
      <c r="DJ374" s="93">
        <v>46600</v>
      </c>
      <c r="DK374" s="91">
        <v>0.04</v>
      </c>
      <c r="DL374" t="s">
        <v>301</v>
      </c>
      <c r="DM374" s="93"/>
      <c r="DN374" s="91"/>
      <c r="DP374" s="93"/>
      <c r="DQ374" s="91"/>
    </row>
    <row r="375" spans="1:121" x14ac:dyDescent="0.3">
      <c r="A375" t="s">
        <v>32</v>
      </c>
      <c r="B375" t="s">
        <v>47</v>
      </c>
      <c r="C375" t="s">
        <v>90</v>
      </c>
      <c r="D375" t="s">
        <v>417</v>
      </c>
      <c r="E375" t="s">
        <v>737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11200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769.01830931048107</v>
      </c>
      <c r="BL375" s="88">
        <v>768.71848484111774</v>
      </c>
      <c r="BM375" s="88">
        <v>768.41951930080302</v>
      </c>
      <c r="BN375" s="88">
        <v>768.11131851349182</v>
      </c>
      <c r="BO375" s="88">
        <v>767.80402788536048</v>
      </c>
      <c r="BP375" s="88">
        <v>767.49764339061812</v>
      </c>
      <c r="BQ375" s="88">
        <v>767.19216102717701</v>
      </c>
      <c r="BR375" s="88">
        <v>766.882591093119</v>
      </c>
      <c r="BS375" s="88">
        <v>766.57891570613936</v>
      </c>
      <c r="BT375" s="88">
        <v>766.27613052044558</v>
      </c>
      <c r="BU375" s="88">
        <v>196.16593488327251</v>
      </c>
      <c r="BV375" s="88">
        <v>195.87925251557081</v>
      </c>
      <c r="BW375" s="88">
        <v>560.00000000000045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0</v>
      </c>
      <c r="CH375" s="88">
        <v>0</v>
      </c>
      <c r="CI375" s="88">
        <v>11200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199.0650564861717</v>
      </c>
      <c r="CV375" s="88">
        <v>198.77950937249341</v>
      </c>
      <c r="CW375" s="88">
        <v>198.49478028647769</v>
      </c>
      <c r="CX375" s="88">
        <v>198.20125572713499</v>
      </c>
      <c r="CY375" s="88">
        <v>197.90859798605709</v>
      </c>
      <c r="CZ375" s="88">
        <v>197.61680322915859</v>
      </c>
      <c r="DA375" s="88">
        <v>197.32586764493021</v>
      </c>
      <c r="DB375" s="88">
        <v>197.0310391363025</v>
      </c>
      <c r="DC375" s="88">
        <v>196.74182448203649</v>
      </c>
      <c r="DD375" s="88">
        <v>196.45345763852009</v>
      </c>
      <c r="DE375" s="88">
        <v>196.16593488327251</v>
      </c>
      <c r="DF375" s="88">
        <v>195.87925251557081</v>
      </c>
      <c r="DG375" s="93">
        <v>46327</v>
      </c>
      <c r="DH375" s="91">
        <v>0.05</v>
      </c>
      <c r="DI375" t="s">
        <v>300</v>
      </c>
      <c r="DJ375" s="93"/>
      <c r="DK375" s="91"/>
      <c r="DM375" s="93"/>
      <c r="DN375" s="91"/>
      <c r="DP375" s="93"/>
      <c r="DQ375" s="91"/>
    </row>
    <row r="376" spans="1:121" x14ac:dyDescent="0.3">
      <c r="A376" t="s">
        <v>32</v>
      </c>
      <c r="B376" t="s">
        <v>47</v>
      </c>
      <c r="C376" t="s">
        <v>91</v>
      </c>
      <c r="D376" t="s">
        <v>419</v>
      </c>
      <c r="E376" t="s">
        <v>738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8000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8000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93"/>
      <c r="DH376" s="91"/>
      <c r="DJ376" s="93"/>
      <c r="DK376" s="91"/>
      <c r="DM376" s="93"/>
      <c r="DN376" s="91"/>
      <c r="DP376" s="93"/>
      <c r="DQ376" s="91"/>
    </row>
    <row r="377" spans="1:121" x14ac:dyDescent="0.3">
      <c r="A377" t="s">
        <v>32</v>
      </c>
      <c r="B377" t="s">
        <v>47</v>
      </c>
      <c r="C377" t="s">
        <v>93</v>
      </c>
      <c r="D377" t="s">
        <v>421</v>
      </c>
      <c r="E377" t="s">
        <v>739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18400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244.51011207320261</v>
      </c>
      <c r="BL377" s="88">
        <v>244.24778761062191</v>
      </c>
      <c r="BM377" s="88">
        <v>243.98602541823831</v>
      </c>
      <c r="BN377" s="88">
        <v>243.7159791943902</v>
      </c>
      <c r="BO377" s="88">
        <v>243.44653008947429</v>
      </c>
      <c r="BP377" s="88">
        <v>243.17767612518409</v>
      </c>
      <c r="BQ377" s="88">
        <v>242.9094153319399</v>
      </c>
      <c r="BR377" s="88">
        <v>242.6373626373659</v>
      </c>
      <c r="BS377" s="88">
        <v>242.37029195587689</v>
      </c>
      <c r="BT377" s="88">
        <v>242.1038085567838</v>
      </c>
      <c r="BU377" s="88">
        <v>241.83791050508759</v>
      </c>
      <c r="BV377" s="88">
        <v>241.572595874271</v>
      </c>
      <c r="BW377" s="88">
        <v>0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18400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244.51011207320261</v>
      </c>
      <c r="CV377" s="88">
        <v>244.24778761062191</v>
      </c>
      <c r="CW377" s="88">
        <v>243.98602541823831</v>
      </c>
      <c r="CX377" s="88">
        <v>243.7159791943902</v>
      </c>
      <c r="CY377" s="88">
        <v>243.44653008947429</v>
      </c>
      <c r="CZ377" s="88">
        <v>243.17767612518409</v>
      </c>
      <c r="DA377" s="88">
        <v>242.9094153319399</v>
      </c>
      <c r="DB377" s="88">
        <v>242.6373626373659</v>
      </c>
      <c r="DC377" s="88">
        <v>242.37029195587689</v>
      </c>
      <c r="DD377" s="88">
        <v>242.1038085567838</v>
      </c>
      <c r="DE377" s="88">
        <v>241.83791050508759</v>
      </c>
      <c r="DF377" s="88">
        <v>241.572595874271</v>
      </c>
      <c r="DG377" s="93">
        <v>46023</v>
      </c>
      <c r="DH377" s="91">
        <v>0.02</v>
      </c>
      <c r="DI377" t="s">
        <v>300</v>
      </c>
      <c r="DJ377" s="93"/>
      <c r="DK377" s="91"/>
      <c r="DM377" s="93"/>
      <c r="DN377" s="91"/>
      <c r="DP377" s="93"/>
      <c r="DQ377" s="91"/>
    </row>
    <row r="378" spans="1:121" x14ac:dyDescent="0.3">
      <c r="A378" t="s">
        <v>32</v>
      </c>
      <c r="B378" t="s">
        <v>47</v>
      </c>
      <c r="C378" t="s">
        <v>94</v>
      </c>
      <c r="D378" t="s">
        <v>423</v>
      </c>
      <c r="E378" t="s">
        <v>740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15200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387.50740427776088</v>
      </c>
      <c r="BL378" s="88">
        <v>538.81796599602046</v>
      </c>
      <c r="BM378" s="88">
        <v>538.7934870610826</v>
      </c>
      <c r="BN378" s="88">
        <v>538.76816011135134</v>
      </c>
      <c r="BO378" s="88">
        <v>538.74281461742953</v>
      </c>
      <c r="BP378" s="88">
        <v>538.71745055895201</v>
      </c>
      <c r="BQ378" s="88">
        <v>538.6920679155096</v>
      </c>
      <c r="BR378" s="88">
        <v>538.66625009763447</v>
      </c>
      <c r="BS378" s="88">
        <v>538.64082991741498</v>
      </c>
      <c r="BT378" s="88">
        <v>538.61539109050727</v>
      </c>
      <c r="BU378" s="88">
        <v>538.58993359638396</v>
      </c>
      <c r="BV378" s="88">
        <v>538.56445741448431</v>
      </c>
      <c r="BW378" s="88">
        <v>456.0000000000004</v>
      </c>
      <c r="BX378" s="88">
        <v>608.00000000000057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15200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-66.497665749746204</v>
      </c>
      <c r="CV378" s="88">
        <v>-66.521186542288916</v>
      </c>
      <c r="CW378" s="88">
        <v>-66.544723979729085</v>
      </c>
      <c r="CX378" s="88">
        <v>-66.569076816010408</v>
      </c>
      <c r="CY378" s="88">
        <v>-66.593447483240539</v>
      </c>
      <c r="CZ378" s="88">
        <v>-66.617836001008442</v>
      </c>
      <c r="DA378" s="88">
        <v>-66.642242388935102</v>
      </c>
      <c r="DB378" s="88">
        <v>-66.667067213813709</v>
      </c>
      <c r="DC378" s="88">
        <v>-66.691509694792387</v>
      </c>
      <c r="DD378" s="88">
        <v>-66.71597010528059</v>
      </c>
      <c r="DE378" s="88">
        <v>-66.740448465017451</v>
      </c>
      <c r="DF378" s="88">
        <v>-66.76494479376575</v>
      </c>
      <c r="DG378" s="93">
        <v>46054</v>
      </c>
      <c r="DH378" s="91">
        <v>0.03</v>
      </c>
      <c r="DI378" t="s">
        <v>300</v>
      </c>
      <c r="DJ378" s="93">
        <v>46419</v>
      </c>
      <c r="DK378" s="91">
        <v>0.04</v>
      </c>
      <c r="DL378" t="s">
        <v>301</v>
      </c>
      <c r="DM378" s="93"/>
      <c r="DN378" s="91"/>
      <c r="DP378" s="93"/>
      <c r="DQ378" s="91"/>
    </row>
    <row r="379" spans="1:121" x14ac:dyDescent="0.3">
      <c r="A379" t="s">
        <v>32</v>
      </c>
      <c r="B379" t="s">
        <v>47</v>
      </c>
      <c r="C379" t="s">
        <v>95</v>
      </c>
      <c r="D379" t="s">
        <v>425</v>
      </c>
      <c r="E379" t="s">
        <v>741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12000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105.9775705004906</v>
      </c>
      <c r="BL379" s="88">
        <v>105.9019802219581</v>
      </c>
      <c r="BM379" s="88">
        <v>105.82649769863561</v>
      </c>
      <c r="BN379" s="88">
        <v>105.7485694970906</v>
      </c>
      <c r="BO379" s="88">
        <v>105.6707559801673</v>
      </c>
      <c r="BP379" s="88">
        <v>105.5930568948895</v>
      </c>
      <c r="BQ379" s="88">
        <v>105.5154719890137</v>
      </c>
      <c r="BR379" s="88">
        <v>105.43673194275711</v>
      </c>
      <c r="BS379" s="88">
        <v>105.35937650341511</v>
      </c>
      <c r="BT379" s="88">
        <v>105.282134487112</v>
      </c>
      <c r="BU379" s="88">
        <v>105.20500564455929</v>
      </c>
      <c r="BV379" s="88">
        <v>105.1279897272197</v>
      </c>
      <c r="BW379" s="88">
        <v>0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12000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105.9775705004906</v>
      </c>
      <c r="CV379" s="88">
        <v>105.9019802219581</v>
      </c>
      <c r="CW379" s="88">
        <v>105.82649769863561</v>
      </c>
      <c r="CX379" s="88">
        <v>105.7485694970906</v>
      </c>
      <c r="CY379" s="88">
        <v>105.6707559801673</v>
      </c>
      <c r="CZ379" s="88">
        <v>105.5930568948895</v>
      </c>
      <c r="DA379" s="88">
        <v>105.5154719890137</v>
      </c>
      <c r="DB379" s="88">
        <v>105.43673194275711</v>
      </c>
      <c r="DC379" s="88">
        <v>105.35937650341511</v>
      </c>
      <c r="DD379" s="88">
        <v>105.282134487112</v>
      </c>
      <c r="DE379" s="88">
        <v>105.20500564455929</v>
      </c>
      <c r="DF379" s="88">
        <v>105.1279897272197</v>
      </c>
      <c r="DG379" s="93"/>
      <c r="DH379" s="91"/>
      <c r="DJ379" s="93"/>
      <c r="DK379" s="91"/>
      <c r="DM379" s="93"/>
      <c r="DN379" s="91"/>
      <c r="DP379" s="93"/>
      <c r="DQ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2026-08-02T16:11:14Z</dcterms:created>
  <dcterms:modified xsi:type="dcterms:W3CDTF">2026-08-02T16:12:33Z</dcterms:modified>
</cp:coreProperties>
</file>